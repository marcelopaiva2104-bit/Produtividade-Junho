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7empreendimentos-my.sharepoint.com/personal/gestaocomercial_7lm_com_br/Documents/Área de Trabalho/Produtividade/"/>
    </mc:Choice>
  </mc:AlternateContent>
  <xr:revisionPtr revIDLastSave="0" documentId="8_{AD6A61EA-BB5F-4DDE-8914-0823B21D0CE8}" xr6:coauthVersionLast="47" xr6:coauthVersionMax="47" xr10:uidLastSave="{00000000-0000-0000-0000-000000000000}"/>
  <bookViews>
    <workbookView xWindow="-110" yWindow="-110" windowWidth="19420" windowHeight="10420" xr2:uid="{0A8C736A-C3F8-4E40-9BCE-88BDFE499B0A}"/>
  </bookViews>
  <sheets>
    <sheet name="20260529102110_6a1992c61e73f" sheetId="1" r:id="rId1"/>
  </sheets>
  <calcPr calcId="0"/>
</workbook>
</file>

<file path=xl/calcChain.xml><?xml version="1.0" encoding="utf-8"?>
<calcChain xmlns="http://schemas.openxmlformats.org/spreadsheetml/2006/main">
  <c r="A2" i="1" l="1"/>
  <c r="R2" i="1"/>
  <c r="A3" i="1"/>
  <c r="R3" i="1"/>
  <c r="A4" i="1"/>
  <c r="R4" i="1"/>
  <c r="A5" i="1"/>
  <c r="R5" i="1"/>
  <c r="A6" i="1"/>
  <c r="R6" i="1"/>
  <c r="A7" i="1"/>
  <c r="R7" i="1"/>
  <c r="A8" i="1"/>
  <c r="R8" i="1"/>
  <c r="A9" i="1"/>
  <c r="R9" i="1"/>
  <c r="A10" i="1"/>
  <c r="R10" i="1"/>
  <c r="A11" i="1"/>
  <c r="R11" i="1"/>
  <c r="A12" i="1"/>
  <c r="R12" i="1"/>
  <c r="A13" i="1"/>
  <c r="R13" i="1"/>
  <c r="A14" i="1"/>
  <c r="R14" i="1"/>
  <c r="A15" i="1"/>
  <c r="R15" i="1"/>
  <c r="A16" i="1"/>
  <c r="R16" i="1"/>
  <c r="A17" i="1"/>
  <c r="R17" i="1"/>
  <c r="A18" i="1"/>
  <c r="R18" i="1"/>
  <c r="A19" i="1"/>
  <c r="R19" i="1"/>
  <c r="A20" i="1"/>
  <c r="R20" i="1"/>
  <c r="A21" i="1"/>
  <c r="R21" i="1"/>
  <c r="A22" i="1"/>
  <c r="R22" i="1"/>
  <c r="A23" i="1"/>
  <c r="R23" i="1"/>
  <c r="A24" i="1"/>
  <c r="R24" i="1"/>
  <c r="A25" i="1"/>
  <c r="R25" i="1"/>
  <c r="A26" i="1"/>
  <c r="R26" i="1"/>
  <c r="A27" i="1"/>
  <c r="R27" i="1"/>
  <c r="A28" i="1"/>
  <c r="R28" i="1"/>
  <c r="A29" i="1"/>
  <c r="R29" i="1"/>
  <c r="A30" i="1"/>
  <c r="R30" i="1"/>
  <c r="A31" i="1"/>
  <c r="R31" i="1"/>
  <c r="A32" i="1"/>
  <c r="R32" i="1"/>
  <c r="A33" i="1"/>
  <c r="R33" i="1"/>
  <c r="A34" i="1"/>
  <c r="R34" i="1"/>
  <c r="A35" i="1"/>
  <c r="R35" i="1"/>
  <c r="A36" i="1"/>
  <c r="R36" i="1"/>
  <c r="A37" i="1"/>
  <c r="R37" i="1"/>
  <c r="A38" i="1"/>
  <c r="R38" i="1"/>
  <c r="A39" i="1"/>
  <c r="R39" i="1"/>
  <c r="A40" i="1"/>
  <c r="R40" i="1"/>
  <c r="A41" i="1"/>
  <c r="R41" i="1"/>
  <c r="A42" i="1"/>
  <c r="R42" i="1"/>
  <c r="A43" i="1"/>
  <c r="R43" i="1"/>
  <c r="A44" i="1"/>
  <c r="R44" i="1"/>
  <c r="A45" i="1"/>
  <c r="R45" i="1"/>
  <c r="A46" i="1"/>
  <c r="R46" i="1"/>
  <c r="A47" i="1"/>
  <c r="R47" i="1"/>
  <c r="A48" i="1"/>
  <c r="R48" i="1"/>
  <c r="A49" i="1"/>
  <c r="R49" i="1"/>
  <c r="A50" i="1"/>
  <c r="R50" i="1"/>
  <c r="A51" i="1"/>
  <c r="R51" i="1"/>
  <c r="A52" i="1"/>
  <c r="R52" i="1"/>
  <c r="A53" i="1"/>
  <c r="R53" i="1"/>
  <c r="A54" i="1"/>
  <c r="R54" i="1"/>
  <c r="A55" i="1"/>
  <c r="R55" i="1"/>
  <c r="A56" i="1"/>
  <c r="R56" i="1"/>
  <c r="A57" i="1"/>
  <c r="R57" i="1"/>
  <c r="A58" i="1"/>
  <c r="R58" i="1"/>
  <c r="A59" i="1"/>
  <c r="R59" i="1"/>
  <c r="A60" i="1"/>
  <c r="R60" i="1"/>
  <c r="A61" i="1"/>
  <c r="R61" i="1"/>
  <c r="A62" i="1"/>
  <c r="R62" i="1"/>
  <c r="A63" i="1"/>
  <c r="R63" i="1"/>
  <c r="A64" i="1"/>
  <c r="R64" i="1"/>
  <c r="A65" i="1"/>
  <c r="R65" i="1"/>
  <c r="A66" i="1"/>
  <c r="R66" i="1"/>
  <c r="A67" i="1"/>
  <c r="R67" i="1"/>
  <c r="A68" i="1"/>
  <c r="R68" i="1"/>
  <c r="A69" i="1"/>
  <c r="R69" i="1"/>
  <c r="A70" i="1"/>
  <c r="R70" i="1"/>
  <c r="A71" i="1"/>
  <c r="R71" i="1"/>
  <c r="A72" i="1"/>
  <c r="R72" i="1"/>
  <c r="A73" i="1"/>
  <c r="R73" i="1"/>
  <c r="A74" i="1"/>
  <c r="R74" i="1"/>
  <c r="A75" i="1"/>
  <c r="R75" i="1"/>
  <c r="A76" i="1"/>
  <c r="R76" i="1"/>
  <c r="A77" i="1"/>
  <c r="R77" i="1"/>
  <c r="A78" i="1"/>
  <c r="R78" i="1"/>
  <c r="A79" i="1"/>
  <c r="R79" i="1"/>
  <c r="A80" i="1"/>
  <c r="R80" i="1"/>
  <c r="A81" i="1"/>
  <c r="R81" i="1"/>
  <c r="A82" i="1"/>
  <c r="R82" i="1"/>
  <c r="A83" i="1"/>
  <c r="R83" i="1"/>
  <c r="A84" i="1"/>
  <c r="R84" i="1"/>
  <c r="A85" i="1"/>
  <c r="R85" i="1"/>
  <c r="A86" i="1"/>
  <c r="R86" i="1"/>
  <c r="A87" i="1"/>
  <c r="R87" i="1"/>
  <c r="A88" i="1"/>
  <c r="R88" i="1"/>
  <c r="A89" i="1"/>
  <c r="R89" i="1"/>
  <c r="A90" i="1"/>
  <c r="R90" i="1"/>
  <c r="A91" i="1"/>
  <c r="R91" i="1"/>
  <c r="A92" i="1"/>
  <c r="R92" i="1"/>
  <c r="A93" i="1"/>
  <c r="R93" i="1"/>
  <c r="A94" i="1"/>
  <c r="R94" i="1"/>
  <c r="A95" i="1"/>
  <c r="R95" i="1"/>
  <c r="A96" i="1"/>
  <c r="R96" i="1"/>
  <c r="A97" i="1"/>
  <c r="R97" i="1"/>
  <c r="A98" i="1"/>
  <c r="R98" i="1"/>
  <c r="A99" i="1"/>
  <c r="R99" i="1"/>
  <c r="A100" i="1"/>
  <c r="R100" i="1"/>
  <c r="A101" i="1"/>
  <c r="R101" i="1"/>
  <c r="A102" i="1"/>
  <c r="R102" i="1"/>
  <c r="A103" i="1"/>
  <c r="R103" i="1"/>
  <c r="A104" i="1"/>
  <c r="R104" i="1"/>
  <c r="A105" i="1"/>
  <c r="R105" i="1"/>
  <c r="A106" i="1"/>
  <c r="R106" i="1"/>
  <c r="A107" i="1"/>
  <c r="R107" i="1"/>
  <c r="A108" i="1"/>
  <c r="R108" i="1"/>
  <c r="A109" i="1"/>
  <c r="R109" i="1"/>
  <c r="A110" i="1"/>
  <c r="R110" i="1"/>
  <c r="A111" i="1"/>
  <c r="R111" i="1"/>
  <c r="A112" i="1"/>
  <c r="R112" i="1"/>
  <c r="A113" i="1"/>
  <c r="R113" i="1"/>
  <c r="A114" i="1"/>
  <c r="R114" i="1"/>
  <c r="A115" i="1"/>
  <c r="R115" i="1"/>
  <c r="A116" i="1"/>
  <c r="R116" i="1"/>
  <c r="A117" i="1"/>
  <c r="R117" i="1"/>
  <c r="A118" i="1"/>
  <c r="R118" i="1"/>
  <c r="A119" i="1"/>
  <c r="R119" i="1"/>
  <c r="A120" i="1"/>
  <c r="R120" i="1"/>
  <c r="A121" i="1"/>
  <c r="R121" i="1"/>
  <c r="A122" i="1"/>
  <c r="R122" i="1"/>
  <c r="A123" i="1"/>
  <c r="R123" i="1"/>
  <c r="A124" i="1"/>
  <c r="R124" i="1"/>
  <c r="A125" i="1"/>
  <c r="R125" i="1"/>
  <c r="A126" i="1"/>
  <c r="R126" i="1"/>
  <c r="A127" i="1"/>
  <c r="R127" i="1"/>
  <c r="A128" i="1"/>
  <c r="R128" i="1"/>
  <c r="A129" i="1"/>
  <c r="R129" i="1"/>
  <c r="A130" i="1"/>
  <c r="R130" i="1"/>
  <c r="A131" i="1"/>
  <c r="R131" i="1"/>
  <c r="A132" i="1"/>
  <c r="R132" i="1"/>
  <c r="A133" i="1"/>
  <c r="R133" i="1"/>
  <c r="A134" i="1"/>
  <c r="R134" i="1"/>
  <c r="A135" i="1"/>
  <c r="R135" i="1"/>
  <c r="A136" i="1"/>
  <c r="R136" i="1"/>
  <c r="A137" i="1"/>
  <c r="R137" i="1"/>
  <c r="A138" i="1"/>
  <c r="R138" i="1"/>
  <c r="A139" i="1"/>
  <c r="R139" i="1"/>
  <c r="A140" i="1"/>
  <c r="R140" i="1"/>
  <c r="A141" i="1"/>
  <c r="R141" i="1"/>
  <c r="A142" i="1"/>
  <c r="R142" i="1"/>
  <c r="A143" i="1"/>
  <c r="R143" i="1"/>
  <c r="A144" i="1"/>
  <c r="R144" i="1"/>
  <c r="A145" i="1"/>
  <c r="R145" i="1"/>
  <c r="A146" i="1"/>
  <c r="R146" i="1"/>
  <c r="A147" i="1"/>
  <c r="R147" i="1"/>
  <c r="A148" i="1"/>
  <c r="R148" i="1"/>
  <c r="A149" i="1"/>
  <c r="R149" i="1"/>
  <c r="A150" i="1"/>
  <c r="R150" i="1"/>
  <c r="A151" i="1"/>
  <c r="R151" i="1"/>
  <c r="A152" i="1"/>
  <c r="R152" i="1"/>
  <c r="A153" i="1"/>
  <c r="R153" i="1"/>
  <c r="A154" i="1"/>
  <c r="R154" i="1"/>
  <c r="A155" i="1"/>
  <c r="R155" i="1"/>
  <c r="A156" i="1"/>
  <c r="R156" i="1"/>
  <c r="A157" i="1"/>
  <c r="R157" i="1"/>
  <c r="A158" i="1"/>
  <c r="R158" i="1"/>
  <c r="A159" i="1"/>
  <c r="R159" i="1"/>
  <c r="A160" i="1"/>
  <c r="R160" i="1"/>
  <c r="A161" i="1"/>
  <c r="R161" i="1"/>
  <c r="A162" i="1"/>
  <c r="R162" i="1"/>
  <c r="A163" i="1"/>
  <c r="R163" i="1"/>
  <c r="A164" i="1"/>
  <c r="R164" i="1"/>
  <c r="A165" i="1"/>
  <c r="R165" i="1"/>
  <c r="A166" i="1"/>
  <c r="R166" i="1"/>
  <c r="A167" i="1"/>
  <c r="R167" i="1"/>
  <c r="A168" i="1"/>
  <c r="R168" i="1"/>
  <c r="A169" i="1"/>
  <c r="R169" i="1"/>
  <c r="A170" i="1"/>
  <c r="R170" i="1"/>
  <c r="A171" i="1"/>
  <c r="R171" i="1"/>
  <c r="A172" i="1"/>
  <c r="R172" i="1"/>
  <c r="A173" i="1"/>
  <c r="R173" i="1"/>
  <c r="A174" i="1"/>
  <c r="R174" i="1"/>
  <c r="A175" i="1"/>
  <c r="R175" i="1"/>
  <c r="U175" i="1"/>
  <c r="A176" i="1"/>
  <c r="R176" i="1"/>
  <c r="A177" i="1"/>
  <c r="R177" i="1"/>
  <c r="A178" i="1"/>
  <c r="R178" i="1"/>
  <c r="A179" i="1"/>
  <c r="R179" i="1"/>
  <c r="A180" i="1"/>
  <c r="R180" i="1"/>
  <c r="A181" i="1"/>
  <c r="R181" i="1"/>
  <c r="A182" i="1"/>
  <c r="R182" i="1"/>
  <c r="A183" i="1"/>
  <c r="R183" i="1"/>
  <c r="A184" i="1"/>
  <c r="R184" i="1"/>
  <c r="A185" i="1"/>
  <c r="R185" i="1"/>
  <c r="A186" i="1"/>
  <c r="R186" i="1"/>
  <c r="A187" i="1"/>
  <c r="R187" i="1"/>
  <c r="A188" i="1"/>
  <c r="R188" i="1"/>
  <c r="A189" i="1"/>
  <c r="R189" i="1"/>
  <c r="A190" i="1"/>
  <c r="R190" i="1"/>
  <c r="A191" i="1"/>
  <c r="R191" i="1"/>
  <c r="A192" i="1"/>
  <c r="R192" i="1"/>
  <c r="A193" i="1"/>
  <c r="R193" i="1"/>
  <c r="A194" i="1"/>
  <c r="R194" i="1"/>
  <c r="A195" i="1"/>
  <c r="R195" i="1"/>
  <c r="A196" i="1"/>
  <c r="R196" i="1"/>
  <c r="A197" i="1"/>
  <c r="R197" i="1"/>
  <c r="A198" i="1"/>
  <c r="R198" i="1"/>
  <c r="A199" i="1"/>
  <c r="R199" i="1"/>
  <c r="A200" i="1"/>
  <c r="R200" i="1"/>
  <c r="A201" i="1"/>
  <c r="R201" i="1"/>
  <c r="A202" i="1"/>
  <c r="R202" i="1"/>
  <c r="A203" i="1"/>
  <c r="R203" i="1"/>
  <c r="A204" i="1"/>
  <c r="R204" i="1"/>
  <c r="A205" i="1"/>
  <c r="R205" i="1"/>
  <c r="A206" i="1"/>
  <c r="R206" i="1"/>
  <c r="A207" i="1"/>
  <c r="R207" i="1"/>
  <c r="A208" i="1"/>
  <c r="R208" i="1"/>
  <c r="A209" i="1"/>
  <c r="R209" i="1"/>
  <c r="A210" i="1"/>
  <c r="R210" i="1"/>
  <c r="A211" i="1"/>
  <c r="R211" i="1"/>
  <c r="A212" i="1"/>
  <c r="R212" i="1"/>
  <c r="A213" i="1"/>
  <c r="R213" i="1"/>
  <c r="A214" i="1"/>
  <c r="R214" i="1"/>
  <c r="A215" i="1"/>
  <c r="R215" i="1"/>
  <c r="A216" i="1"/>
  <c r="R216" i="1"/>
  <c r="A217" i="1"/>
  <c r="R217" i="1"/>
  <c r="A218" i="1"/>
  <c r="R218" i="1"/>
  <c r="A219" i="1"/>
  <c r="R219" i="1"/>
  <c r="A220" i="1"/>
  <c r="R220" i="1"/>
  <c r="A221" i="1"/>
  <c r="R221" i="1"/>
  <c r="A222" i="1"/>
  <c r="R222" i="1"/>
  <c r="A223" i="1"/>
  <c r="R223" i="1"/>
  <c r="A224" i="1"/>
  <c r="R224" i="1"/>
  <c r="A225" i="1"/>
  <c r="R225" i="1"/>
  <c r="A226" i="1"/>
  <c r="R226" i="1"/>
  <c r="A227" i="1"/>
  <c r="R227" i="1"/>
  <c r="A228" i="1"/>
  <c r="R228" i="1"/>
  <c r="A229" i="1"/>
  <c r="R229" i="1"/>
  <c r="A230" i="1"/>
  <c r="R230" i="1"/>
  <c r="A231" i="1"/>
  <c r="R231" i="1"/>
  <c r="A232" i="1"/>
  <c r="R232" i="1"/>
  <c r="A233" i="1"/>
  <c r="R233" i="1"/>
  <c r="A234" i="1"/>
  <c r="R234" i="1"/>
  <c r="A235" i="1"/>
  <c r="R235" i="1"/>
  <c r="A236" i="1"/>
  <c r="R236" i="1"/>
  <c r="A237" i="1"/>
  <c r="R237" i="1"/>
  <c r="A238" i="1"/>
  <c r="R238" i="1"/>
  <c r="A239" i="1"/>
  <c r="R239" i="1"/>
  <c r="A240" i="1"/>
  <c r="R240" i="1"/>
  <c r="A241" i="1"/>
  <c r="R241" i="1"/>
  <c r="A242" i="1"/>
  <c r="R242" i="1"/>
  <c r="A243" i="1"/>
  <c r="R243" i="1"/>
  <c r="A244" i="1"/>
  <c r="R244" i="1"/>
  <c r="A245" i="1"/>
  <c r="R245" i="1"/>
  <c r="A246" i="1"/>
  <c r="R246" i="1"/>
  <c r="A247" i="1"/>
  <c r="R247" i="1"/>
  <c r="A248" i="1"/>
  <c r="R248" i="1"/>
  <c r="A249" i="1"/>
  <c r="R249" i="1"/>
  <c r="A250" i="1"/>
  <c r="R250" i="1"/>
  <c r="A251" i="1"/>
  <c r="R251" i="1"/>
  <c r="A252" i="1"/>
  <c r="R252" i="1"/>
  <c r="A253" i="1"/>
  <c r="R253" i="1"/>
  <c r="A254" i="1"/>
  <c r="R254" i="1"/>
  <c r="A255" i="1"/>
  <c r="R255" i="1"/>
  <c r="A256" i="1"/>
  <c r="R256" i="1"/>
  <c r="A257" i="1"/>
  <c r="R257" i="1"/>
  <c r="A258" i="1"/>
  <c r="R258" i="1"/>
  <c r="A259" i="1"/>
  <c r="R259" i="1"/>
  <c r="A260" i="1"/>
  <c r="R260" i="1"/>
  <c r="A261" i="1"/>
  <c r="R261" i="1"/>
  <c r="A262" i="1"/>
  <c r="R262" i="1"/>
  <c r="A263" i="1"/>
  <c r="R263" i="1"/>
  <c r="A264" i="1"/>
  <c r="R264" i="1"/>
  <c r="A265" i="1"/>
  <c r="R265" i="1"/>
  <c r="A266" i="1"/>
  <c r="R266" i="1"/>
  <c r="A267" i="1"/>
  <c r="R267" i="1"/>
  <c r="A268" i="1"/>
  <c r="R268" i="1"/>
  <c r="A269" i="1"/>
  <c r="R269" i="1"/>
  <c r="A270" i="1"/>
  <c r="R270" i="1"/>
  <c r="A271" i="1"/>
  <c r="R271" i="1"/>
  <c r="A272" i="1"/>
  <c r="R272" i="1"/>
  <c r="A273" i="1"/>
  <c r="R273" i="1"/>
  <c r="A274" i="1"/>
  <c r="R274" i="1"/>
  <c r="A275" i="1"/>
  <c r="R275" i="1"/>
  <c r="A276" i="1"/>
  <c r="R276" i="1"/>
  <c r="A277" i="1"/>
  <c r="R277" i="1"/>
  <c r="A278" i="1"/>
  <c r="R278" i="1"/>
  <c r="A279" i="1"/>
  <c r="R279" i="1"/>
  <c r="A280" i="1"/>
  <c r="R280" i="1"/>
  <c r="A281" i="1"/>
  <c r="R281" i="1"/>
  <c r="A282" i="1"/>
  <c r="R282" i="1"/>
  <c r="A283" i="1"/>
  <c r="R283" i="1"/>
  <c r="A284" i="1"/>
  <c r="R284" i="1"/>
  <c r="A285" i="1"/>
  <c r="R285" i="1"/>
  <c r="A286" i="1"/>
  <c r="R286" i="1"/>
  <c r="A287" i="1"/>
  <c r="R287" i="1"/>
  <c r="A288" i="1"/>
  <c r="R288" i="1"/>
  <c r="A289" i="1"/>
  <c r="R289" i="1"/>
  <c r="A290" i="1"/>
  <c r="R290" i="1"/>
  <c r="A291" i="1"/>
  <c r="R291" i="1"/>
  <c r="A292" i="1"/>
  <c r="R292" i="1"/>
  <c r="A293" i="1"/>
  <c r="R293" i="1"/>
  <c r="A294" i="1"/>
  <c r="R294" i="1"/>
  <c r="A295" i="1"/>
  <c r="R295" i="1"/>
  <c r="A296" i="1"/>
  <c r="R296" i="1"/>
  <c r="A297" i="1"/>
  <c r="R297" i="1"/>
  <c r="A298" i="1"/>
  <c r="R298" i="1"/>
  <c r="A299" i="1"/>
  <c r="R299" i="1"/>
  <c r="A300" i="1"/>
  <c r="R300" i="1"/>
  <c r="A301" i="1"/>
  <c r="R301" i="1"/>
  <c r="A302" i="1"/>
  <c r="R302" i="1"/>
  <c r="A303" i="1"/>
  <c r="R303" i="1"/>
  <c r="A304" i="1"/>
  <c r="R304" i="1"/>
  <c r="A305" i="1"/>
  <c r="R305" i="1"/>
  <c r="A306" i="1"/>
  <c r="R306" i="1"/>
  <c r="A307" i="1"/>
  <c r="R307" i="1"/>
  <c r="A308" i="1"/>
  <c r="R308" i="1"/>
  <c r="A309" i="1"/>
  <c r="R309" i="1"/>
  <c r="A310" i="1"/>
  <c r="R310" i="1"/>
  <c r="A311" i="1"/>
  <c r="R311" i="1"/>
  <c r="A312" i="1"/>
  <c r="R312" i="1"/>
  <c r="A313" i="1"/>
  <c r="R313" i="1"/>
  <c r="A314" i="1"/>
  <c r="R314" i="1"/>
  <c r="A315" i="1"/>
  <c r="R315" i="1"/>
  <c r="A316" i="1"/>
  <c r="R316" i="1"/>
  <c r="A317" i="1"/>
  <c r="R317" i="1"/>
  <c r="A318" i="1"/>
  <c r="R318" i="1"/>
  <c r="A319" i="1"/>
  <c r="R319" i="1"/>
  <c r="A320" i="1"/>
  <c r="R320" i="1"/>
  <c r="A321" i="1"/>
  <c r="R321" i="1"/>
  <c r="A322" i="1"/>
  <c r="R322" i="1"/>
  <c r="A323" i="1"/>
  <c r="R323" i="1"/>
  <c r="A324" i="1"/>
  <c r="R324" i="1"/>
  <c r="A325" i="1"/>
  <c r="R325" i="1"/>
  <c r="A326" i="1"/>
  <c r="R326" i="1"/>
  <c r="A327" i="1"/>
  <c r="R327" i="1"/>
  <c r="A328" i="1"/>
  <c r="R328" i="1"/>
  <c r="A329" i="1"/>
  <c r="R329" i="1"/>
  <c r="A330" i="1"/>
  <c r="R330" i="1"/>
  <c r="A331" i="1"/>
  <c r="R331" i="1"/>
  <c r="A332" i="1"/>
  <c r="R332" i="1"/>
  <c r="A333" i="1"/>
  <c r="R333" i="1"/>
  <c r="A334" i="1"/>
  <c r="R334" i="1"/>
  <c r="A335" i="1"/>
  <c r="R335" i="1"/>
  <c r="A336" i="1"/>
  <c r="R336" i="1"/>
  <c r="A337" i="1"/>
  <c r="R337" i="1"/>
  <c r="A338" i="1"/>
  <c r="R338" i="1"/>
  <c r="A339" i="1"/>
  <c r="R339" i="1"/>
  <c r="A340" i="1"/>
  <c r="R340" i="1"/>
  <c r="A341" i="1"/>
  <c r="R341" i="1"/>
  <c r="A342" i="1"/>
  <c r="R342" i="1"/>
  <c r="A343" i="1"/>
  <c r="R343" i="1"/>
  <c r="A344" i="1"/>
  <c r="R344" i="1"/>
  <c r="A345" i="1"/>
  <c r="R345" i="1"/>
  <c r="A346" i="1"/>
  <c r="R346" i="1"/>
  <c r="A347" i="1"/>
  <c r="R347" i="1"/>
  <c r="A348" i="1"/>
  <c r="R348" i="1"/>
  <c r="A349" i="1"/>
  <c r="R349" i="1"/>
  <c r="A350" i="1"/>
  <c r="R350" i="1"/>
  <c r="A351" i="1"/>
  <c r="R351" i="1"/>
  <c r="A352" i="1"/>
  <c r="R352" i="1"/>
  <c r="A353" i="1"/>
  <c r="R353" i="1"/>
  <c r="A354" i="1"/>
  <c r="R354" i="1"/>
  <c r="A355" i="1"/>
  <c r="R355" i="1"/>
  <c r="A356" i="1"/>
  <c r="R356" i="1"/>
  <c r="A357" i="1"/>
  <c r="R357" i="1"/>
  <c r="A358" i="1"/>
  <c r="R358" i="1"/>
  <c r="A359" i="1"/>
  <c r="R359" i="1"/>
  <c r="A360" i="1"/>
  <c r="R360" i="1"/>
  <c r="A361" i="1"/>
  <c r="R361" i="1"/>
  <c r="A362" i="1"/>
  <c r="R362" i="1"/>
  <c r="A363" i="1"/>
  <c r="R363" i="1"/>
  <c r="A364" i="1"/>
  <c r="R364" i="1"/>
  <c r="A365" i="1"/>
  <c r="R365" i="1"/>
  <c r="A366" i="1"/>
  <c r="R366" i="1"/>
  <c r="A367" i="1"/>
  <c r="R367" i="1"/>
  <c r="A368" i="1"/>
  <c r="R368" i="1"/>
  <c r="A369" i="1"/>
  <c r="R369" i="1"/>
  <c r="A370" i="1"/>
  <c r="R370" i="1"/>
  <c r="A371" i="1"/>
  <c r="R371" i="1"/>
  <c r="A372" i="1"/>
  <c r="R372" i="1"/>
  <c r="A373" i="1"/>
  <c r="R373" i="1"/>
  <c r="A374" i="1"/>
  <c r="R374" i="1"/>
  <c r="A375" i="1"/>
  <c r="R375" i="1"/>
  <c r="A376" i="1"/>
  <c r="R376" i="1"/>
  <c r="A377" i="1"/>
  <c r="R377" i="1"/>
  <c r="A378" i="1"/>
  <c r="R378" i="1"/>
  <c r="A379" i="1"/>
  <c r="R379" i="1"/>
  <c r="A380" i="1"/>
  <c r="R380" i="1"/>
  <c r="A381" i="1"/>
  <c r="R381" i="1"/>
  <c r="A382" i="1"/>
  <c r="R382" i="1"/>
  <c r="A383" i="1"/>
  <c r="R383" i="1"/>
  <c r="A384" i="1"/>
  <c r="R384" i="1"/>
  <c r="A385" i="1"/>
  <c r="R385" i="1"/>
  <c r="A386" i="1"/>
  <c r="R386" i="1"/>
  <c r="A387" i="1"/>
  <c r="R387" i="1"/>
  <c r="A388" i="1"/>
  <c r="R388" i="1"/>
  <c r="A389" i="1"/>
  <c r="R389" i="1"/>
  <c r="A390" i="1"/>
  <c r="R390" i="1"/>
  <c r="A391" i="1"/>
  <c r="R391" i="1"/>
  <c r="A392" i="1"/>
  <c r="R392" i="1"/>
  <c r="A393" i="1"/>
  <c r="R393" i="1"/>
  <c r="A394" i="1"/>
  <c r="R394" i="1"/>
  <c r="A395" i="1"/>
  <c r="R395" i="1"/>
  <c r="A396" i="1"/>
  <c r="R396" i="1"/>
  <c r="A397" i="1"/>
  <c r="R397" i="1"/>
  <c r="A398" i="1"/>
  <c r="R398" i="1"/>
  <c r="A399" i="1"/>
  <c r="R399" i="1"/>
  <c r="A400" i="1"/>
  <c r="R400" i="1"/>
  <c r="A401" i="1"/>
  <c r="R401" i="1"/>
  <c r="A402" i="1"/>
  <c r="R402" i="1"/>
  <c r="A403" i="1"/>
  <c r="R403" i="1"/>
  <c r="A404" i="1"/>
  <c r="R404" i="1"/>
  <c r="A405" i="1"/>
  <c r="R405" i="1"/>
  <c r="A406" i="1"/>
  <c r="R406" i="1"/>
  <c r="A407" i="1"/>
  <c r="R407" i="1"/>
  <c r="A408" i="1"/>
  <c r="R408" i="1"/>
  <c r="A409" i="1"/>
  <c r="R409" i="1"/>
  <c r="A410" i="1"/>
  <c r="R410" i="1"/>
  <c r="A411" i="1"/>
  <c r="R411" i="1"/>
  <c r="A412" i="1"/>
  <c r="R412" i="1"/>
  <c r="A413" i="1"/>
  <c r="R413" i="1"/>
  <c r="A414" i="1"/>
  <c r="R414" i="1"/>
  <c r="A415" i="1"/>
  <c r="R415" i="1"/>
  <c r="A416" i="1"/>
  <c r="R416" i="1"/>
  <c r="A417" i="1"/>
  <c r="R417" i="1"/>
  <c r="A418" i="1"/>
  <c r="R418" i="1"/>
  <c r="A419" i="1"/>
  <c r="R419" i="1"/>
  <c r="A420" i="1"/>
  <c r="R420" i="1"/>
  <c r="A421" i="1"/>
  <c r="R421" i="1"/>
  <c r="A422" i="1"/>
  <c r="R422" i="1"/>
  <c r="A423" i="1"/>
  <c r="R423" i="1"/>
  <c r="A424" i="1"/>
  <c r="R424" i="1"/>
  <c r="A425" i="1"/>
  <c r="R425" i="1"/>
  <c r="A426" i="1"/>
  <c r="R426" i="1"/>
  <c r="A427" i="1"/>
  <c r="R427" i="1"/>
  <c r="A428" i="1"/>
  <c r="R428" i="1"/>
  <c r="A429" i="1"/>
  <c r="R429" i="1"/>
  <c r="A430" i="1"/>
  <c r="R430" i="1"/>
  <c r="A431" i="1"/>
  <c r="R431" i="1"/>
  <c r="A432" i="1"/>
  <c r="R432" i="1"/>
  <c r="A433" i="1"/>
  <c r="R433" i="1"/>
  <c r="A434" i="1"/>
  <c r="R434" i="1"/>
  <c r="A435" i="1"/>
  <c r="R435" i="1"/>
  <c r="A436" i="1"/>
  <c r="R436" i="1"/>
  <c r="A437" i="1"/>
  <c r="R437" i="1"/>
  <c r="A438" i="1"/>
  <c r="R438" i="1"/>
  <c r="A439" i="1"/>
  <c r="R439" i="1"/>
  <c r="A440" i="1"/>
  <c r="R440" i="1"/>
  <c r="A441" i="1"/>
  <c r="R441" i="1"/>
  <c r="A442" i="1"/>
  <c r="R442" i="1"/>
  <c r="A443" i="1"/>
  <c r="R443" i="1"/>
  <c r="A444" i="1"/>
  <c r="R444" i="1"/>
  <c r="A445" i="1"/>
  <c r="R445" i="1"/>
  <c r="A446" i="1"/>
  <c r="R446" i="1"/>
  <c r="A447" i="1"/>
  <c r="R447" i="1"/>
  <c r="A448" i="1"/>
  <c r="R448" i="1"/>
  <c r="A449" i="1"/>
  <c r="R449" i="1"/>
  <c r="A450" i="1"/>
  <c r="R450" i="1"/>
  <c r="A451" i="1"/>
  <c r="R451" i="1"/>
  <c r="A452" i="1"/>
  <c r="R452" i="1"/>
  <c r="A453" i="1"/>
  <c r="R453" i="1"/>
  <c r="A454" i="1"/>
  <c r="R454" i="1"/>
  <c r="A455" i="1"/>
  <c r="R455" i="1"/>
  <c r="A456" i="1"/>
  <c r="R456" i="1"/>
  <c r="A457" i="1"/>
  <c r="R457" i="1"/>
  <c r="A458" i="1"/>
  <c r="R458" i="1"/>
  <c r="A459" i="1"/>
  <c r="R459" i="1"/>
  <c r="A460" i="1"/>
  <c r="R460" i="1"/>
  <c r="A461" i="1"/>
  <c r="R461" i="1"/>
  <c r="A462" i="1"/>
  <c r="R462" i="1"/>
  <c r="A463" i="1"/>
  <c r="R463" i="1"/>
  <c r="A464" i="1"/>
  <c r="R464" i="1"/>
  <c r="A465" i="1"/>
  <c r="R465" i="1"/>
  <c r="A466" i="1"/>
  <c r="R466" i="1"/>
  <c r="A467" i="1"/>
  <c r="R467" i="1"/>
  <c r="A468" i="1"/>
  <c r="R468" i="1"/>
  <c r="A469" i="1"/>
  <c r="R469" i="1"/>
  <c r="A470" i="1"/>
  <c r="R470" i="1"/>
  <c r="A471" i="1"/>
  <c r="R471" i="1"/>
  <c r="A472" i="1"/>
  <c r="R472" i="1"/>
  <c r="A473" i="1"/>
  <c r="R473" i="1"/>
  <c r="A474" i="1"/>
  <c r="R474" i="1"/>
  <c r="A475" i="1"/>
  <c r="R475" i="1"/>
  <c r="A476" i="1"/>
  <c r="R476" i="1"/>
  <c r="A477" i="1"/>
  <c r="R477" i="1"/>
  <c r="A478" i="1"/>
  <c r="R478" i="1"/>
  <c r="A479" i="1"/>
  <c r="R479" i="1"/>
  <c r="A480" i="1"/>
  <c r="R480" i="1"/>
  <c r="A481" i="1"/>
  <c r="R481" i="1"/>
  <c r="A482" i="1"/>
  <c r="R482" i="1"/>
  <c r="A483" i="1"/>
  <c r="R483" i="1"/>
  <c r="A484" i="1"/>
  <c r="R484" i="1"/>
  <c r="A485" i="1"/>
  <c r="R485" i="1"/>
  <c r="A486" i="1"/>
  <c r="R486" i="1"/>
  <c r="A487" i="1"/>
  <c r="R487" i="1"/>
  <c r="A488" i="1"/>
  <c r="R488" i="1"/>
  <c r="A489" i="1"/>
  <c r="R489" i="1"/>
  <c r="A490" i="1"/>
  <c r="R490" i="1"/>
  <c r="A491" i="1"/>
  <c r="R491" i="1"/>
  <c r="A492" i="1"/>
  <c r="R492" i="1"/>
  <c r="A493" i="1"/>
  <c r="R493" i="1"/>
  <c r="A494" i="1"/>
  <c r="R494" i="1"/>
  <c r="A495" i="1"/>
  <c r="R495" i="1"/>
  <c r="A496" i="1"/>
  <c r="R496" i="1"/>
  <c r="A497" i="1"/>
  <c r="R497" i="1"/>
  <c r="A498" i="1"/>
  <c r="R498" i="1"/>
  <c r="A499" i="1"/>
  <c r="R499" i="1"/>
  <c r="A500" i="1"/>
  <c r="R500" i="1"/>
  <c r="A501" i="1"/>
  <c r="R501" i="1"/>
  <c r="A502" i="1"/>
  <c r="R502" i="1"/>
  <c r="A503" i="1"/>
  <c r="R503" i="1"/>
  <c r="A504" i="1"/>
  <c r="R504" i="1"/>
  <c r="A505" i="1"/>
  <c r="R505" i="1"/>
  <c r="A506" i="1"/>
  <c r="R506" i="1"/>
  <c r="A507" i="1"/>
  <c r="R507" i="1"/>
  <c r="A508" i="1"/>
  <c r="R508" i="1"/>
  <c r="A509" i="1"/>
  <c r="R509" i="1"/>
  <c r="A510" i="1"/>
  <c r="R510" i="1"/>
  <c r="A511" i="1"/>
  <c r="R511" i="1"/>
  <c r="A512" i="1"/>
  <c r="R512" i="1"/>
  <c r="A513" i="1"/>
  <c r="R513" i="1"/>
  <c r="A514" i="1"/>
  <c r="R514" i="1"/>
  <c r="A515" i="1"/>
  <c r="R515" i="1"/>
  <c r="A516" i="1"/>
  <c r="R516" i="1"/>
  <c r="A517" i="1"/>
  <c r="R517" i="1"/>
  <c r="A518" i="1"/>
  <c r="R518" i="1"/>
  <c r="A519" i="1"/>
  <c r="R519" i="1"/>
  <c r="A520" i="1"/>
  <c r="R520" i="1"/>
  <c r="A521" i="1"/>
  <c r="R521" i="1"/>
  <c r="A522" i="1"/>
  <c r="R522" i="1"/>
  <c r="A523" i="1"/>
  <c r="R523" i="1"/>
  <c r="A524" i="1"/>
  <c r="R524" i="1"/>
  <c r="A525" i="1"/>
  <c r="R525" i="1"/>
  <c r="A526" i="1"/>
  <c r="R526" i="1"/>
  <c r="A527" i="1"/>
  <c r="R527" i="1"/>
  <c r="A528" i="1"/>
  <c r="R528" i="1"/>
  <c r="A529" i="1"/>
  <c r="R529" i="1"/>
  <c r="A530" i="1"/>
  <c r="R530" i="1"/>
  <c r="A531" i="1"/>
  <c r="R531" i="1"/>
  <c r="A532" i="1"/>
  <c r="R532" i="1"/>
  <c r="A533" i="1"/>
  <c r="R533" i="1"/>
  <c r="A534" i="1"/>
  <c r="R534" i="1"/>
  <c r="A535" i="1"/>
  <c r="R535" i="1"/>
  <c r="A536" i="1"/>
  <c r="R536" i="1"/>
  <c r="A537" i="1"/>
  <c r="R537" i="1"/>
  <c r="A538" i="1"/>
  <c r="R538" i="1"/>
  <c r="A539" i="1"/>
  <c r="R539" i="1"/>
  <c r="A540" i="1"/>
  <c r="R540" i="1"/>
  <c r="A541" i="1"/>
  <c r="R541" i="1"/>
  <c r="A542" i="1"/>
  <c r="R542" i="1"/>
  <c r="A543" i="1"/>
  <c r="R543" i="1"/>
  <c r="A544" i="1"/>
  <c r="R544" i="1"/>
  <c r="A545" i="1"/>
  <c r="R545" i="1"/>
  <c r="A546" i="1"/>
  <c r="R546" i="1"/>
  <c r="A547" i="1"/>
  <c r="R547" i="1"/>
  <c r="A548" i="1"/>
  <c r="R548" i="1"/>
  <c r="A549" i="1"/>
  <c r="R549" i="1"/>
  <c r="A550" i="1"/>
  <c r="R550" i="1"/>
  <c r="A551" i="1"/>
  <c r="R551" i="1"/>
  <c r="A552" i="1"/>
  <c r="R552" i="1"/>
  <c r="A553" i="1"/>
  <c r="R553" i="1"/>
  <c r="A554" i="1"/>
  <c r="R554" i="1"/>
  <c r="A555" i="1"/>
  <c r="R555" i="1"/>
  <c r="A556" i="1"/>
  <c r="R556" i="1"/>
  <c r="A557" i="1"/>
  <c r="R557" i="1"/>
  <c r="A558" i="1"/>
  <c r="R558" i="1"/>
  <c r="A559" i="1"/>
  <c r="R559" i="1"/>
  <c r="A560" i="1"/>
  <c r="R560" i="1"/>
  <c r="A561" i="1"/>
  <c r="R561" i="1"/>
  <c r="A562" i="1"/>
  <c r="R562" i="1"/>
  <c r="A563" i="1"/>
  <c r="R563" i="1"/>
  <c r="A564" i="1"/>
  <c r="R564" i="1"/>
  <c r="A565" i="1"/>
  <c r="R565" i="1"/>
  <c r="A566" i="1"/>
  <c r="R566" i="1"/>
  <c r="A567" i="1"/>
  <c r="R567" i="1"/>
  <c r="A568" i="1"/>
  <c r="R568" i="1"/>
  <c r="A569" i="1"/>
  <c r="R569" i="1"/>
  <c r="A570" i="1"/>
  <c r="R570" i="1"/>
  <c r="A571" i="1"/>
  <c r="R571" i="1"/>
  <c r="A572" i="1"/>
  <c r="R572" i="1"/>
  <c r="A573" i="1"/>
  <c r="R573" i="1"/>
  <c r="A574" i="1"/>
  <c r="R574" i="1"/>
  <c r="A575" i="1"/>
  <c r="R575" i="1"/>
  <c r="A576" i="1"/>
  <c r="R576" i="1"/>
  <c r="A577" i="1"/>
  <c r="R577" i="1"/>
  <c r="A578" i="1"/>
  <c r="R578" i="1"/>
  <c r="A579" i="1"/>
  <c r="R579" i="1"/>
  <c r="A580" i="1"/>
  <c r="R580" i="1"/>
  <c r="A581" i="1"/>
  <c r="R581" i="1"/>
  <c r="A582" i="1"/>
  <c r="R582" i="1"/>
  <c r="A583" i="1"/>
  <c r="R583" i="1"/>
  <c r="A584" i="1"/>
  <c r="R584" i="1"/>
  <c r="A585" i="1"/>
  <c r="R585" i="1"/>
  <c r="A586" i="1"/>
  <c r="R586" i="1"/>
  <c r="A587" i="1"/>
  <c r="R587" i="1"/>
  <c r="A588" i="1"/>
  <c r="R588" i="1"/>
  <c r="A589" i="1"/>
  <c r="R589" i="1"/>
  <c r="A590" i="1"/>
  <c r="R590" i="1"/>
  <c r="A591" i="1"/>
  <c r="R591" i="1"/>
  <c r="A592" i="1"/>
  <c r="R592" i="1"/>
  <c r="A593" i="1"/>
  <c r="R593" i="1"/>
  <c r="A594" i="1"/>
  <c r="R594" i="1"/>
  <c r="A595" i="1"/>
  <c r="R595" i="1"/>
  <c r="A596" i="1"/>
  <c r="R596" i="1"/>
  <c r="A597" i="1"/>
  <c r="R597" i="1"/>
  <c r="A598" i="1"/>
  <c r="R598" i="1"/>
  <c r="A599" i="1"/>
  <c r="R599" i="1"/>
  <c r="A600" i="1"/>
  <c r="R600" i="1"/>
  <c r="A601" i="1"/>
  <c r="R601" i="1"/>
  <c r="A602" i="1"/>
  <c r="R602" i="1"/>
  <c r="A603" i="1"/>
  <c r="R603" i="1"/>
  <c r="A604" i="1"/>
  <c r="R604" i="1"/>
  <c r="A605" i="1"/>
  <c r="R605" i="1"/>
  <c r="A606" i="1"/>
  <c r="R606" i="1"/>
  <c r="A607" i="1"/>
  <c r="R607" i="1"/>
  <c r="A608" i="1"/>
  <c r="R608" i="1"/>
</calcChain>
</file>

<file path=xl/sharedStrings.xml><?xml version="1.0" encoding="utf-8"?>
<sst xmlns="http://schemas.openxmlformats.org/spreadsheetml/2006/main" count="22319" uniqueCount="3588">
  <si>
    <t>Reserva</t>
  </si>
  <si>
    <t>Aprovada</t>
  </si>
  <si>
    <t>Data</t>
  </si>
  <si>
    <t>Hora</t>
  </si>
  <si>
    <t>Situação</t>
  </si>
  <si>
    <t>Empreendimento</t>
  </si>
  <si>
    <t>Etapa</t>
  </si>
  <si>
    <t>Bloco</t>
  </si>
  <si>
    <t>Unidade</t>
  </si>
  <si>
    <t>M² da unidade</t>
  </si>
  <si>
    <t>Código interno do cliente</t>
  </si>
  <si>
    <t>Código interno do empreendimento</t>
  </si>
  <si>
    <t>Código interno da unidade</t>
  </si>
  <si>
    <t>Data da aprovação</t>
  </si>
  <si>
    <t>Hora da aprovação</t>
  </si>
  <si>
    <t>Venda</t>
  </si>
  <si>
    <t>Título</t>
  </si>
  <si>
    <t>Cliente</t>
  </si>
  <si>
    <t>Documento</t>
  </si>
  <si>
    <t>Telefone</t>
  </si>
  <si>
    <t>Celular</t>
  </si>
  <si>
    <t>E-mail</t>
  </si>
  <si>
    <t>Nacionalidade</t>
  </si>
  <si>
    <t>Naturalidade</t>
  </si>
  <si>
    <t>Estado</t>
  </si>
  <si>
    <t>Cidade</t>
  </si>
  <si>
    <t>Bairro</t>
  </si>
  <si>
    <t>Endereço</t>
  </si>
  <si>
    <t>Corretor</t>
  </si>
  <si>
    <t>Corretor apelido</t>
  </si>
  <si>
    <t>Responsável imobiliária</t>
  </si>
  <si>
    <t>Imobiliária</t>
  </si>
  <si>
    <t>Empresa correspondente</t>
  </si>
  <si>
    <t>Valor do contrato</t>
  </si>
  <si>
    <t>Valor presente</t>
  </si>
  <si>
    <t>Data Base para cálculo do valor presente</t>
  </si>
  <si>
    <t>Vencimento</t>
  </si>
  <si>
    <t>Hora do Vencimento</t>
  </si>
  <si>
    <t>Campanha</t>
  </si>
  <si>
    <t>Cessão</t>
  </si>
  <si>
    <t>Motivo de cancelamento</t>
  </si>
  <si>
    <t>Descrição do cancelamento</t>
  </si>
  <si>
    <t>Espaços complementares</t>
  </si>
  <si>
    <t>Última mensagem</t>
  </si>
  <si>
    <t>Tipo Venda</t>
  </si>
  <si>
    <t>Motivo escolha</t>
  </si>
  <si>
    <t>Mídia de Visita</t>
  </si>
  <si>
    <t>Descrição Outra Mídia de Visita</t>
  </si>
  <si>
    <t>Valor de diferença</t>
  </si>
  <si>
    <t>Data da última alteração de situação</t>
  </si>
  <si>
    <t>Hora da última alteração de situação</t>
  </si>
  <si>
    <t>Leads Vinculados</t>
  </si>
  <si>
    <t>Data de cadastro dos Leads</t>
  </si>
  <si>
    <t>Data de reativação dos Leads</t>
  </si>
  <si>
    <t>Conversão</t>
  </si>
  <si>
    <t>Data da conversão</t>
  </si>
  <si>
    <t>Origem</t>
  </si>
  <si>
    <t>Data de Posse</t>
  </si>
  <si>
    <t>Condicionante para Liberação</t>
  </si>
  <si>
    <t>Classificação Pós Venda</t>
  </si>
  <si>
    <t>Observação Pós Venda</t>
  </si>
  <si>
    <t>Classificação do Cliente</t>
  </si>
  <si>
    <t>Descrição do Cliente</t>
  </si>
  <si>
    <t>Juros da aprovação</t>
  </si>
  <si>
    <t>Data Entrega</t>
  </si>
  <si>
    <t>Data de Venda</t>
  </si>
  <si>
    <t>Valor de Desconto</t>
  </si>
  <si>
    <t>Pré-cadastro</t>
  </si>
  <si>
    <t>Gerada a partir de um pré-cadastro</t>
  </si>
  <si>
    <t>Valor do financiamento</t>
  </si>
  <si>
    <t>Valor do subsídio</t>
  </si>
  <si>
    <t>Valor do FGTS</t>
  </si>
  <si>
    <t>Valor total</t>
  </si>
  <si>
    <t>VGV líquido fora do contrato</t>
  </si>
  <si>
    <t>Nome do Socio</t>
  </si>
  <si>
    <t>(%) Socio</t>
  </si>
  <si>
    <t>Nome do Parceiro</t>
  </si>
  <si>
    <t>(%) Parceiro</t>
  </si>
  <si>
    <t>(%) Marketing</t>
  </si>
  <si>
    <t>(%) Incorporadora</t>
  </si>
  <si>
    <t>PV líquido fora do contrato</t>
  </si>
  <si>
    <t>Custa de Escrituração</t>
  </si>
  <si>
    <t>Coordendor de Produto</t>
  </si>
  <si>
    <t>Mês de Competência</t>
  </si>
  <si>
    <t>Tipo de Proposta</t>
  </si>
  <si>
    <t>Juros PV/VPL</t>
  </si>
  <si>
    <t>VGV Incorporadora</t>
  </si>
  <si>
    <t>PV Incorporadora</t>
  </si>
  <si>
    <t>VGV Incorporadora líquido fora do contrato</t>
  </si>
  <si>
    <t>PV Incorporadora líquido fora do contrato</t>
  </si>
  <si>
    <t>Comissão corretor</t>
  </si>
  <si>
    <t>Comissão imobiliária</t>
  </si>
  <si>
    <t>Comissão imobiliária coordenação</t>
  </si>
  <si>
    <t>Comissão gestor corretor</t>
  </si>
  <si>
    <t>Total comissão</t>
  </si>
  <si>
    <t>Total prêmio</t>
  </si>
  <si>
    <t>Aprovador</t>
  </si>
  <si>
    <t>Cidade do Empreendimento</t>
  </si>
  <si>
    <t>Chave</t>
  </si>
  <si>
    <t>Alçada de aprovação</t>
  </si>
  <si>
    <t>Porcentagem de aprovação</t>
  </si>
  <si>
    <t>Imobiliária coordenação</t>
  </si>
  <si>
    <t>Forma de pagamento da comissão</t>
  </si>
  <si>
    <t>Data de carta proposta</t>
  </si>
  <si>
    <t>Revenda</t>
  </si>
  <si>
    <t>Termo de Revenda</t>
  </si>
  <si>
    <t>Atos Pagos</t>
  </si>
  <si>
    <t>Boletos Avulsos Pagos</t>
  </si>
  <si>
    <t>Custas pagas</t>
  </si>
  <si>
    <t>Descrição de Outro Motivo Escolha</t>
  </si>
  <si>
    <t>Data Base Juros</t>
  </si>
  <si>
    <t>VGV total x (%) Incorporadora</t>
  </si>
  <si>
    <t>PV total x (%) Incorporadora</t>
  </si>
  <si>
    <t>Data de pré escrituração</t>
  </si>
  <si>
    <t>Tipo Unidade</t>
  </si>
  <si>
    <t>Observação da unidade</t>
  </si>
  <si>
    <t>Permuta</t>
  </si>
  <si>
    <t>Tipologia da unidade</t>
  </si>
  <si>
    <t>Categoria do corretor</t>
  </si>
  <si>
    <t>Nível do corretor</t>
  </si>
  <si>
    <t>Corretor Fifty</t>
  </si>
  <si>
    <t>Imobiliária Fifty</t>
  </si>
  <si>
    <t>Valor Comissão Fifty</t>
  </si>
  <si>
    <t>Intenção de Compra</t>
  </si>
  <si>
    <t>Tabela de preço</t>
  </si>
  <si>
    <t>Diferença VGV (R$)</t>
  </si>
  <si>
    <t>Diferença VGV (%)</t>
  </si>
  <si>
    <t>Diferença VP (R$)</t>
  </si>
  <si>
    <t>Diferença VP (%)</t>
  </si>
  <si>
    <t>Planta</t>
  </si>
  <si>
    <t>Gestão de time</t>
  </si>
  <si>
    <t>Data contrato</t>
  </si>
  <si>
    <t>quantos filhos:</t>
  </si>
  <si>
    <t>Em qual cidade o cliente morou a maior parte da vida?</t>
  </si>
  <si>
    <t>Em qual bairro o cliente morou a maior parte da vida?</t>
  </si>
  <si>
    <t>Data Conformida de CEHOP</t>
  </si>
  <si>
    <t>Data Envio CEHOP</t>
  </si>
  <si>
    <t>Data do Kit Registro OK</t>
  </si>
  <si>
    <t>CATEGORIA DE RENDA DO FIADOR</t>
  </si>
  <si>
    <t>Status Confissão De Dívida</t>
  </si>
  <si>
    <t>Data do Espelho Anexado</t>
  </si>
  <si>
    <t>Data da Validação do Espelho</t>
  </si>
  <si>
    <t>Data Da Aprovação da Ficha AGEHAB</t>
  </si>
  <si>
    <t>Repasse no mês:</t>
  </si>
  <si>
    <t>Data da Assinatura da Confissão de Divida</t>
  </si>
  <si>
    <t>Data do Envio da Ficha</t>
  </si>
  <si>
    <t>Data do Envio da Confissão de Divida</t>
  </si>
  <si>
    <t>Data de cadastro da ficha AGEHAB</t>
  </si>
  <si>
    <t>N° da Ficha AGEHAB</t>
  </si>
  <si>
    <t>Obs. Finalização</t>
  </si>
  <si>
    <t>Data p/ Avançar</t>
  </si>
  <si>
    <t>Data da Solicitação Da Confissão de Dívida</t>
  </si>
  <si>
    <t>Data QR</t>
  </si>
  <si>
    <t>Contrato no Portal do Cliente</t>
  </si>
  <si>
    <t>COMISSÃO-AP</t>
  </si>
  <si>
    <t>Exceção para assinatura do Contrato Caixa</t>
  </si>
  <si>
    <t>Sim</t>
  </si>
  <si>
    <t>Em processo</t>
  </si>
  <si>
    <t>DF010 - Next - Receitas de Incorporação</t>
  </si>
  <si>
    <t>Etapa Única</t>
  </si>
  <si>
    <t>BLOCO ÚNICO</t>
  </si>
  <si>
    <t xml:space="preserve">48	</t>
  </si>
  <si>
    <t>eliasrodrigues02@gmail.com</t>
  </si>
  <si>
    <t>Brasileira</t>
  </si>
  <si>
    <t>NOVA VENECIA - ES</t>
  </si>
  <si>
    <t>Distrito Federal</t>
  </si>
  <si>
    <t>Guará</t>
  </si>
  <si>
    <t>Guará I</t>
  </si>
  <si>
    <t>QI 5 Bloco P</t>
  </si>
  <si>
    <t>Marcelo Miranda Vieira</t>
  </si>
  <si>
    <t>BEIRAMAR | DF</t>
  </si>
  <si>
    <t>SUPERA - CCA</t>
  </si>
  <si>
    <t>Não</t>
  </si>
  <si>
    <t>Preço</t>
  </si>
  <si>
    <t>Visita Espontânea</t>
  </si>
  <si>
    <t>Painel Imobiliária</t>
  </si>
  <si>
    <t>Painel Corretor</t>
  </si>
  <si>
    <t>MATHEUS AIRES GUERRA</t>
  </si>
  <si>
    <t>Águas Claras</t>
  </si>
  <si>
    <t>Apartamentos</t>
  </si>
  <si>
    <t>3 QTS</t>
  </si>
  <si>
    <t>1) Tabela repasse na planta - Financiamento habitacional imediato</t>
  </si>
  <si>
    <t>FSA014 - Vila das Bromélias - Receitas de Incorporação</t>
  </si>
  <si>
    <t>BLOCO 11</t>
  </si>
  <si>
    <t>Bloco 11-0104</t>
  </si>
  <si>
    <t xml:space="preserve">5206	</t>
  </si>
  <si>
    <t>taylanneingridl@gmail.com</t>
  </si>
  <si>
    <t>Brasileiro</t>
  </si>
  <si>
    <t>POSSE GO</t>
  </si>
  <si>
    <t>Goiás</t>
  </si>
  <si>
    <t>Formosa</t>
  </si>
  <si>
    <t>NOVA FORMOSA</t>
  </si>
  <si>
    <t>RUA 124, QUADRA 3, LOTE 20, N 186 CONJUNTO HABITACINAL</t>
  </si>
  <si>
    <t>Nauane Martins Da Silva Oliveira - CLT</t>
  </si>
  <si>
    <t>Equipe Própria |FSA</t>
  </si>
  <si>
    <t>Endy Carvalho Consultoria imobiliária</t>
  </si>
  <si>
    <t>Forma de Pagamento</t>
  </si>
  <si>
    <t>Indicação</t>
  </si>
  <si>
    <t>Chat Online</t>
  </si>
  <si>
    <t>Thomaz Moreira Aquino</t>
  </si>
  <si>
    <t>10.80m²</t>
  </si>
  <si>
    <t>Tipo S/ Varanda</t>
  </si>
  <si>
    <t>AGL032 - Vila Margarida - Receitas de Incorporação</t>
  </si>
  <si>
    <t>Etapa Unica</t>
  </si>
  <si>
    <t>BLOCO F</t>
  </si>
  <si>
    <t>Bloco 06-0304</t>
  </si>
  <si>
    <t xml:space="preserve">4453	</t>
  </si>
  <si>
    <t>mateusgomescr713@gmail.com</t>
  </si>
  <si>
    <t>Valparaíso de Goiás</t>
  </si>
  <si>
    <t>Chácaras Brasil A</t>
  </si>
  <si>
    <t>COND. RESID. LEVANZO QD. 01 LT. 12 NR. CS22</t>
  </si>
  <si>
    <t>YCC IMOB</t>
  </si>
  <si>
    <t>Imobiliárias | AGL</t>
  </si>
  <si>
    <t>Painel Gestor</t>
  </si>
  <si>
    <t>Águas Lindas de Goiás</t>
  </si>
  <si>
    <t>10,58m²</t>
  </si>
  <si>
    <t>AGL033 - Vila das Rosas - Receitas de Incorporação</t>
  </si>
  <si>
    <t>BLOCO B</t>
  </si>
  <si>
    <t>Bloco 02-0002</t>
  </si>
  <si>
    <t xml:space="preserve">4903	</t>
  </si>
  <si>
    <t>deboracampos22@outlook.com.br</t>
  </si>
  <si>
    <t>Setor 12</t>
  </si>
  <si>
    <t>Rua 11-A, Quadra 79, Lote 10 S/N, APT 102, BL 26, CND. RES. Vila das Águas, conj. A</t>
  </si>
  <si>
    <t>GUSTAVO ALVES GOMES IMOB</t>
  </si>
  <si>
    <t>10.58m²</t>
  </si>
  <si>
    <t>Garden Fit até 10m²</t>
  </si>
  <si>
    <t>DF011 - Nexus - Receitas de Incorporação</t>
  </si>
  <si>
    <t>TORRE 03</t>
  </si>
  <si>
    <t>Bloco 03-0203</t>
  </si>
  <si>
    <t xml:space="preserve">5417	</t>
  </si>
  <si>
    <t>jaquelinesenarodrigues@gmail.com</t>
  </si>
  <si>
    <t>SALVADOR-BA</t>
  </si>
  <si>
    <t>Bahia</t>
  </si>
  <si>
    <t>Barreiras</t>
  </si>
  <si>
    <t>São Paulo</t>
  </si>
  <si>
    <t>Rua Floriano Peixoto Lado Imp, 333 - São Paulo</t>
  </si>
  <si>
    <t>Israel da Costa Silva</t>
  </si>
  <si>
    <t>Portais</t>
  </si>
  <si>
    <t>Taguatinga</t>
  </si>
  <si>
    <t>12.00m²</t>
  </si>
  <si>
    <t>TABELA COM FINANCIAMENTO CAIXA</t>
  </si>
  <si>
    <t>BLOCO 05</t>
  </si>
  <si>
    <t>Bloco 05-0204</t>
  </si>
  <si>
    <t xml:space="preserve">5114	</t>
  </si>
  <si>
    <t>aldeciebenezer@hotmail.com</t>
  </si>
  <si>
    <t>CAVALCANTI-GO</t>
  </si>
  <si>
    <t>CHACARAS SETOR ABREU</t>
  </si>
  <si>
    <t>VIA 14, Q. AREA, L. AREA, CHAC - 55</t>
  </si>
  <si>
    <t>Thamires Santos de Araujo</t>
  </si>
  <si>
    <t>Pascoal Imobiliária FSA</t>
  </si>
  <si>
    <t>Imobiliárias | FSA</t>
  </si>
  <si>
    <t>CAIXA CREDFÁCIL</t>
  </si>
  <si>
    <t>TORRE 02</t>
  </si>
  <si>
    <t>Bloco 02-0001</t>
  </si>
  <si>
    <t xml:space="preserve">5403	</t>
  </si>
  <si>
    <t>cristianlima30@gmail.com</t>
  </si>
  <si>
    <t>Carmo do Rio Claro - MG</t>
  </si>
  <si>
    <t>Brasília</t>
  </si>
  <si>
    <t>Asa Sul</t>
  </si>
  <si>
    <t>SQS 402 Bloco E Apartamento 113</t>
  </si>
  <si>
    <t>Michele Oliveira Rocha</t>
  </si>
  <si>
    <t>Localização</t>
  </si>
  <si>
    <t>Instagram</t>
  </si>
  <si>
    <t>12m²</t>
  </si>
  <si>
    <t>Apartamento</t>
  </si>
  <si>
    <t>BLOCO 08</t>
  </si>
  <si>
    <t>Bloco 08-0101</t>
  </si>
  <si>
    <t xml:space="preserve">5166	</t>
  </si>
  <si>
    <t>emersonbamberg4@gmail.com</t>
  </si>
  <si>
    <t>FORMOSO MG</t>
  </si>
  <si>
    <t>PARQUE DA COLINA I</t>
  </si>
  <si>
    <t>RUA I</t>
  </si>
  <si>
    <t>Natália Cristina Neres dos Santos - CLT</t>
  </si>
  <si>
    <t>Equipe Própria 2 |FSA</t>
  </si>
  <si>
    <t>paid</t>
  </si>
  <si>
    <t>Sem conversão</t>
  </si>
  <si>
    <t>WebSite</t>
  </si>
  <si>
    <t>BLOCO I</t>
  </si>
  <si>
    <t>Bloco 09-0202</t>
  </si>
  <si>
    <t xml:space="preserve">4508	</t>
  </si>
  <si>
    <t>isaicespinelmanrique@gmail.com</t>
  </si>
  <si>
    <t>MANSÕES CENTRO OESTE</t>
  </si>
  <si>
    <t>ALAMEDA GOIAS, QUADRA 00, 83 - A,</t>
  </si>
  <si>
    <t>CLENIA DUARTE COSTA GESTÃO IMOBILIARIA</t>
  </si>
  <si>
    <t>GRUPO IMERGE</t>
  </si>
  <si>
    <t>Bloco 05-0303</t>
  </si>
  <si>
    <t xml:space="preserve">5117	</t>
  </si>
  <si>
    <t>j.victor1998123@gmail.com</t>
  </si>
  <si>
    <t>FORMOSA-GO</t>
  </si>
  <si>
    <t>ZONA RURAL</t>
  </si>
  <si>
    <t>FAZENDA TABOCA</t>
  </si>
  <si>
    <t>Natália Nogueira Aguiar - CLT</t>
  </si>
  <si>
    <t>Captação do Corretor</t>
  </si>
  <si>
    <t>Social</t>
  </si>
  <si>
    <t>Venda finalizada</t>
  </si>
  <si>
    <t>FSA011 - Vila Jasmim - Receitas de Incorporação</t>
  </si>
  <si>
    <t>Bloco 06-0303</t>
  </si>
  <si>
    <t xml:space="preserve">4177	</t>
  </si>
  <si>
    <t>patriciaxcruz2409@gmail.com</t>
  </si>
  <si>
    <t>BRASILIA DF</t>
  </si>
  <si>
    <t>Parque Lago</t>
  </si>
  <si>
    <t>RUA 5 Q 11</t>
  </si>
  <si>
    <t>ANNA LUIZA PEREIRA DE SOUSA</t>
  </si>
  <si>
    <t>Autônomos | FSA</t>
  </si>
  <si>
    <t xml:space="preserve">Auditoria OK
</t>
  </si>
  <si>
    <t>Alana Rabelo da Costa</t>
  </si>
  <si>
    <t>BLOCO E</t>
  </si>
  <si>
    <t>Bloco 05-0201</t>
  </si>
  <si>
    <t xml:space="preserve">4445	</t>
  </si>
  <si>
    <t>brunoalves747.sp@gmail.com</t>
  </si>
  <si>
    <t>BOM JESUS DA LAPA BA</t>
  </si>
  <si>
    <t>Núcleo Bandeirante</t>
  </si>
  <si>
    <t>NUCLEO BANDEIRANTE</t>
  </si>
  <si>
    <t>VILA CAUNY LT 55 CASA</t>
  </si>
  <si>
    <t>Ariani Morais de Sousa Pereira - CLT</t>
  </si>
  <si>
    <t>Equipe Própria 3 | AGL</t>
  </si>
  <si>
    <t>Facebook Ads</t>
  </si>
  <si>
    <t>Facebook</t>
  </si>
  <si>
    <t>Tabela AGL32</t>
  </si>
  <si>
    <t>BLOCO D</t>
  </si>
  <si>
    <t>Bloco 04-0201</t>
  </si>
  <si>
    <t xml:space="preserve">4427	</t>
  </si>
  <si>
    <t>claudiane182016@gmail.com</t>
  </si>
  <si>
    <t>Riacho Fundo</t>
  </si>
  <si>
    <t>Riacho Fundo I</t>
  </si>
  <si>
    <t>CLN 3 Bloco B</t>
  </si>
  <si>
    <t>PASCOAL IMOBILIARIA</t>
  </si>
  <si>
    <t>Pascoal Imobiliária AGL</t>
  </si>
  <si>
    <t>Bloco 08-0302</t>
  </si>
  <si>
    <t xml:space="preserve">5159	</t>
  </si>
  <si>
    <t>baltazarbarbosa2@gmail.com</t>
  </si>
  <si>
    <t>BRASILEIRO</t>
  </si>
  <si>
    <t>JARDIM OLIVEIRA</t>
  </si>
  <si>
    <t>RUA 20</t>
  </si>
  <si>
    <t>Murielly de Sousa Santos - CLT</t>
  </si>
  <si>
    <t>SDR digital</t>
  </si>
  <si>
    <t>BLOCO A</t>
  </si>
  <si>
    <t>Bloco 01-0203</t>
  </si>
  <si>
    <t xml:space="preserve">4093	</t>
  </si>
  <si>
    <t>cisneroleidydaniela60@gmail.com</t>
  </si>
  <si>
    <t>VENEZUELANO</t>
  </si>
  <si>
    <t>VENEZUELA</t>
  </si>
  <si>
    <t>SETOR DE CHACARAS SUL</t>
  </si>
  <si>
    <t>VIA 05, LOTE 01-A, CHA 67 E 68, BLOCO -M, COND. RESIDENCIAL VILA DOS IPES</t>
  </si>
  <si>
    <t>Envio SIENGE</t>
  </si>
  <si>
    <t>BLOCO 09</t>
  </si>
  <si>
    <t>Bloco 09-0304</t>
  </si>
  <si>
    <t xml:space="preserve">5177	</t>
  </si>
  <si>
    <t>luizhenriqueedileusa@gmail.com</t>
  </si>
  <si>
    <t>PARQUE VILA VERDE</t>
  </si>
  <si>
    <t>RUA 09 Q. 45 L 21</t>
  </si>
  <si>
    <t>PABLINE MICHELI OLIVEIRA DA SILVA</t>
  </si>
  <si>
    <t>Autônomos 2 | FSA</t>
  </si>
  <si>
    <t>Kit Cheque Moradia aprovado. Aguardando a emissão do contrato AGEHAB.
Autorizado a assinatura do contrato caixa.</t>
  </si>
  <si>
    <t>198673, 216431</t>
  </si>
  <si>
    <t>01/04/2026, 27/05/2026</t>
  </si>
  <si>
    <t xml:space="preserve">, </t>
  </si>
  <si>
    <t>Reserva, Painel Corretor</t>
  </si>
  <si>
    <t>25/05/2026, 27/05/2026</t>
  </si>
  <si>
    <t>ChatBot, Whatsapp</t>
  </si>
  <si>
    <t>Ana Júlia</t>
  </si>
  <si>
    <t>MP441252</t>
  </si>
  <si>
    <t>BLOCO 02</t>
  </si>
  <si>
    <t>Bloco 02-0104</t>
  </si>
  <si>
    <t xml:space="preserve">5062	</t>
  </si>
  <si>
    <t>pwfernandes78@gmail.com</t>
  </si>
  <si>
    <t>FORMOSA - GO</t>
  </si>
  <si>
    <t>SETOR BOSQUE</t>
  </si>
  <si>
    <t>RUA 27, Q. 20, L. 7</t>
  </si>
  <si>
    <t>LUCIANO DE OLIVEIRA NASCIMENTO FSA</t>
  </si>
  <si>
    <t>MONTAR NOVO FLUXO, CLIENTE PAGOU O SINAL DE R$ 500,00 E NÃO ESTA INFORMADO.</t>
  </si>
  <si>
    <t>Assinatura Diretoria</t>
  </si>
  <si>
    <t>BLOCO 15</t>
  </si>
  <si>
    <t>Bloco 15-0104</t>
  </si>
  <si>
    <t xml:space="preserve">5279	</t>
  </si>
  <si>
    <t>farnciscakatia@gmail.com</t>
  </si>
  <si>
    <t>FORMOSA GO</t>
  </si>
  <si>
    <t>Parque Vila Verde</t>
  </si>
  <si>
    <t>RUA 10B QUADRA 39 LOTE 13</t>
  </si>
  <si>
    <t>THAIRINE STEFANNI RODRIGUES DA SILVA</t>
  </si>
  <si>
    <t>Kit Cheque Moradia aprovado. Aguardando a emissão do contrato AGEHAB.
Pendente finalização da venda.
Não autorizado a assinatura do contrato caixa.</t>
  </si>
  <si>
    <t>MP441255</t>
  </si>
  <si>
    <t>Bloco 09-0104</t>
  </si>
  <si>
    <t xml:space="preserve">4506	</t>
  </si>
  <si>
    <t>Carloskelvin770@gmail.com</t>
  </si>
  <si>
    <t>Ceilândia</t>
  </si>
  <si>
    <t>Ceilândia Sul (Ceilândia)</t>
  </si>
  <si>
    <t>QNN 8 Conjunto N</t>
  </si>
  <si>
    <t>Maria Eduarda Vieira Damasceno - CLT</t>
  </si>
  <si>
    <t>Canal Virtual 1</t>
  </si>
  <si>
    <t xml:space="preserve">Bom dia!
Solicito o cancelamento da reserva #7141
Desistência, cliente optou por não seguir com o processo. 
micael dos santos pires
</t>
  </si>
  <si>
    <t>BLOCO H</t>
  </si>
  <si>
    <t>Bloco 08-0104</t>
  </si>
  <si>
    <t xml:space="preserve">4490	</t>
  </si>
  <si>
    <t>Juciellycardoso886@gmail.com</t>
  </si>
  <si>
    <t>SAO FRANCISCO MG</t>
  </si>
  <si>
    <t>SETOR HABITACIONAL VICENTE PIRES - TRECHO 3</t>
  </si>
  <si>
    <t>QUADRA 06 CONJJUNTO 14</t>
  </si>
  <si>
    <t>Letícia Santos da Silva Brito - CLT</t>
  </si>
  <si>
    <t>Canal Virtual 2</t>
  </si>
  <si>
    <t>Qualidade dos Imóveis</t>
  </si>
  <si>
    <t>Busca Orgânica</t>
  </si>
  <si>
    <t>MP458345</t>
  </si>
  <si>
    <t>Crédito</t>
  </si>
  <si>
    <t>BLOCO G</t>
  </si>
  <si>
    <t>Bloco 07-0103</t>
  </si>
  <si>
    <t xml:space="preserve">4473	</t>
  </si>
  <si>
    <t>fm848220@gmail.com</t>
  </si>
  <si>
    <t>TERESINA PI</t>
  </si>
  <si>
    <t>SETOR 8</t>
  </si>
  <si>
    <t>RUA AMAZONAS, Q. 34 A, L. 32 A, S/N, CASA - 2</t>
  </si>
  <si>
    <t>Wanderson Romero Coelho Da Silva - CLT</t>
  </si>
  <si>
    <t>Wanderson Romero Coelho Da Silva</t>
  </si>
  <si>
    <t>Equipe Própria 2 | AGL</t>
  </si>
  <si>
    <t xml:space="preserve">Disparo de lista </t>
  </si>
  <si>
    <t>Josue Gomes de Souza</t>
  </si>
  <si>
    <t>MP458344</t>
  </si>
  <si>
    <t>Pendente Formulários Caixa.</t>
  </si>
  <si>
    <t>BLOCO 14</t>
  </si>
  <si>
    <t>Bloco 14-0203</t>
  </si>
  <si>
    <t xml:space="preserve">5255	</t>
  </si>
  <si>
    <t>alessandramelgaco457@gmail.com</t>
  </si>
  <si>
    <t>BURITIS - MG</t>
  </si>
  <si>
    <t>CENTRO</t>
  </si>
  <si>
    <t>RUA JOAQUIM HONÓRIO PEREIRA DUTRA Q 76 L 05-B</t>
  </si>
  <si>
    <t>Daniel Andrade dos Santos - CLT</t>
  </si>
  <si>
    <t>kit caixa ok validado pelo cca</t>
  </si>
  <si>
    <t>Outros</t>
  </si>
  <si>
    <t>Geisiane Gomes Dos Santos</t>
  </si>
  <si>
    <t>MP441248</t>
  </si>
  <si>
    <t>Bloco 08-0001</t>
  </si>
  <si>
    <t xml:space="preserve">5162	</t>
  </si>
  <si>
    <t>djussara202@gmail.com</t>
  </si>
  <si>
    <t>PARQUE LAGO</t>
  </si>
  <si>
    <t>Rua 7 QD 57 L 11</t>
  </si>
  <si>
    <t>GYOVANA FERNANDES ALMEIDA CASTRO</t>
  </si>
  <si>
    <t>204663, 214541</t>
  </si>
  <si>
    <t>27/04/2026, 20/05/2026</t>
  </si>
  <si>
    <t>Painel Gestor, Painel Corretor</t>
  </si>
  <si>
    <t>Facebook, Whatsapp</t>
  </si>
  <si>
    <t>Tabela FSA014</t>
  </si>
  <si>
    <t>MP441251</t>
  </si>
  <si>
    <t>Bloco 11-0303</t>
  </si>
  <si>
    <t xml:space="preserve">5213	</t>
  </si>
  <si>
    <t>ruanalessandro47@gmail.com</t>
  </si>
  <si>
    <t>PARQUE UNIÃO</t>
  </si>
  <si>
    <t>PARQUE UNIAO Q. 2</t>
  </si>
  <si>
    <t>ITIQUIRA IMOVEIS E ASSESSORIA</t>
  </si>
  <si>
    <t>CLIENTE APROVADO CONFORME SIMULAÇÃO ANEXADA. FOI EM OUTRO CCA, SERA LIBERADO PARA PODER PUXAR A APROVAÇÃO.
Foi feito imposto de renda para o clienre, anexado nos documentos</t>
  </si>
  <si>
    <t>Bloco 06-0104</t>
  </si>
  <si>
    <t xml:space="preserve">4454	</t>
  </si>
  <si>
    <t>debora.soares1997@icloud.com</t>
  </si>
  <si>
    <t>BRASÍLIA DF</t>
  </si>
  <si>
    <t>CEILÂNDIA SUL</t>
  </si>
  <si>
    <t>QNP 26 CONJUNTO J CASA 20 AVENIDA P3 CAMPO SINTETICO</t>
  </si>
  <si>
    <t>Lucas de Souza Rodrigues - CLT</t>
  </si>
  <si>
    <t xml:space="preserve">Kit Caixa e Kit Agehab: Entregue
CLIENTE POSSUI RESTRIÇÕES 
</t>
  </si>
  <si>
    <t>MP458346</t>
  </si>
  <si>
    <t>AGL030 - Vila Girassol - Receitas de Incorporação</t>
  </si>
  <si>
    <t>Bloco 04-0101</t>
  </si>
  <si>
    <t xml:space="preserve">3927	</t>
  </si>
  <si>
    <t>edilsoncavalcante3055@gmail.com</t>
  </si>
  <si>
    <t>PILAO ARCADO - BA</t>
  </si>
  <si>
    <t>Residencial Portal da Barragem</t>
  </si>
  <si>
    <t>Quadra 17</t>
  </si>
  <si>
    <t>Juliana Maria de Souza - CLT</t>
  </si>
  <si>
    <t>Outras publicidades</t>
  </si>
  <si>
    <t>Marco Aurélio de Souza Taveira, Robson Paulo, Thiago Barreto</t>
  </si>
  <si>
    <t>Bloco 07-0202</t>
  </si>
  <si>
    <t xml:space="preserve">4476	</t>
  </si>
  <si>
    <t>crys.costa@yahoo.com.br</t>
  </si>
  <si>
    <t>Parque da Barragem Setor 08</t>
  </si>
  <si>
    <t>Quadra 46 Conjunto B</t>
  </si>
  <si>
    <t>Luana Santana dos Santos - CLT</t>
  </si>
  <si>
    <t>MP458343</t>
  </si>
  <si>
    <t>BLOCO 06</t>
  </si>
  <si>
    <t>Bloco 06-0301</t>
  </si>
  <si>
    <t xml:space="preserve">5124	</t>
  </si>
  <si>
    <t>carneirodasilvapatricia97@gmail.com</t>
  </si>
  <si>
    <t>GRAJAU-MA</t>
  </si>
  <si>
    <t>SETOR NORDESTE</t>
  </si>
  <si>
    <t>RUA MUNICIPAL</t>
  </si>
  <si>
    <t>Maria Daiana da Silva Brandão - CLT</t>
  </si>
  <si>
    <t>213451, 214274</t>
  </si>
  <si>
    <t>15/05/2026, 19/05/2026</t>
  </si>
  <si>
    <t>Sem conversão, Reserva</t>
  </si>
  <si>
    <t>15/05/2026, 21/05/2026</t>
  </si>
  <si>
    <t>WebSite, Painel Corretor</t>
  </si>
  <si>
    <t>MP441254</t>
  </si>
  <si>
    <t>Bloco 01-0202</t>
  </si>
  <si>
    <t xml:space="preserve">4092	</t>
  </si>
  <si>
    <t>nutricionistawil@gmail.com</t>
  </si>
  <si>
    <t>BRASILIA - DF</t>
  </si>
  <si>
    <t>RUA 27, L. 01</t>
  </si>
  <si>
    <t>Boa tarde,
Sobre a situação da  WILSON JOSE DE CAMPOS FILHO , CPF:052.132.381-90, a mesmo necessita de um avalista para seu trâmite.
A compra do seu imóvel foi no empreendimento VILA JASMIM
NOME DO COMPRADOR: WILSON JOSE DE CAMPOS FILHO
VALOR DA UNIDADE: R$ 240.656,20
UNIDADE: BLOCO 01 - AP 202
POUPANÇA: R$ 	R$ 37.600,28
CHEQUE MORADIA: R$ 47.400,00
FINANCIAMENTO BANCÁRIO:	R$ 160.589,17
Sinal: 	R$ 2.010,83
RENDA DO CLIENTE: R$ R$ 2.380,00
Gostaria que fosse analisada a possibilidade de aprovação desse fiador para que o mesmo possa dar continuidade ao processo de compra:
SOBRE O FIADOR:
Fiador : PEDRO WILSON FERNANDES DE CAMPOS , portador do CPF: 014.538.491-81, score: 983, irmão do cliente, renda de R$ 2550,00, vendedor autonomo, e não possui restrição em seu nome.</t>
  </si>
  <si>
    <t>tempo de entrega</t>
  </si>
  <si>
    <t>MP445031</t>
  </si>
  <si>
    <t>Bloco 01-0204</t>
  </si>
  <si>
    <t xml:space="preserve">4094	</t>
  </si>
  <si>
    <t>vcgfrei@gmail.com</t>
  </si>
  <si>
    <t>Parque das Laranjeiras</t>
  </si>
  <si>
    <t>Rua 5</t>
  </si>
  <si>
    <t>MP441243</t>
  </si>
  <si>
    <t>Bloco 08-0002</t>
  </si>
  <si>
    <t xml:space="preserve">4196	</t>
  </si>
  <si>
    <t>handrieleteodoro21@gmail.com</t>
  </si>
  <si>
    <t>Vila Boa</t>
  </si>
  <si>
    <t>SETOR CENTRAL</t>
  </si>
  <si>
    <t>Q 37 LT 05 A  S/N</t>
  </si>
  <si>
    <t>MARCILENE DOS REIS CARVALHO</t>
  </si>
  <si>
    <t xml:space="preserve">Auditoria:
- Anexar comprovante de endereço conforme contratos e cadastro. 
Restante OK
</t>
  </si>
  <si>
    <t>Super Garden 21m² acima</t>
  </si>
  <si>
    <t>MP445029</t>
  </si>
  <si>
    <t>BLOCO J</t>
  </si>
  <si>
    <t>Bloco 10-0304</t>
  </si>
  <si>
    <t xml:space="preserve">4522	</t>
  </si>
  <si>
    <t>pizzariatcesar@gmail.com</t>
  </si>
  <si>
    <t>MP458337</t>
  </si>
  <si>
    <t>Bloco 05-0004</t>
  </si>
  <si>
    <t xml:space="preserve">4955	</t>
  </si>
  <si>
    <t>patrick01032003@gmail.com</t>
  </si>
  <si>
    <t>BRASILIA-DF</t>
  </si>
  <si>
    <t>Riacho Fundo II</t>
  </si>
  <si>
    <t>RIACHO FUNDO 2</t>
  </si>
  <si>
    <t>QN 16 CJ 07</t>
  </si>
  <si>
    <t>Garden 11m² até 20m²</t>
  </si>
  <si>
    <t>MP439473</t>
  </si>
  <si>
    <t>Cancelada</t>
  </si>
  <si>
    <t>BLOCO C</t>
  </si>
  <si>
    <t xml:space="preserve">4120	</t>
  </si>
  <si>
    <t>kaiquesouzamps21@gmail.com</t>
  </si>
  <si>
    <t>CABECEIRA GRANDE - MG</t>
  </si>
  <si>
    <t>Formosinha</t>
  </si>
  <si>
    <t>Rua 19 QUADRA 74</t>
  </si>
  <si>
    <t>Isabella Pereira Feliciano</t>
  </si>
  <si>
    <t>Cliente não responde os contatos</t>
  </si>
  <si>
    <t>BOA TARDE
CLIENTE NÃO RESPONDE E NEM ATENDE PARA DAR CONTINUIDADE NA COMPRA. FAVOR FAZER O CANCELAEMENTO</t>
  </si>
  <si>
    <t>Probabilidade de cair</t>
  </si>
  <si>
    <t>BLOCO 13</t>
  </si>
  <si>
    <t>Bloco 13-0302</t>
  </si>
  <si>
    <t xml:space="preserve">5249	</t>
  </si>
  <si>
    <t>leovinicios753@gmail.com</t>
  </si>
  <si>
    <t>JARDIM TRIANGULO</t>
  </si>
  <si>
    <t>Rua 3  Q 13 L 19</t>
  </si>
  <si>
    <t>MP441238</t>
  </si>
  <si>
    <t xml:space="preserve">23	</t>
  </si>
  <si>
    <t>felipe_lipe2012@yahoo.com.br</t>
  </si>
  <si>
    <t>Brasília DF</t>
  </si>
  <si>
    <t>Areal (Águas Claras)</t>
  </si>
  <si>
    <t>QS 5 Rua 860</t>
  </si>
  <si>
    <t>Lindinalva Rosa Palmeira</t>
  </si>
  <si>
    <t>Nalva</t>
  </si>
  <si>
    <t>Leal Cred - Alto Padrão</t>
  </si>
  <si>
    <t>2 QTS</t>
  </si>
  <si>
    <t>Bloco 04-0301</t>
  </si>
  <si>
    <t xml:space="preserve">4144	</t>
  </si>
  <si>
    <t>saraingridycastrodeoliveira@gmail.com</t>
  </si>
  <si>
    <t>SIMOLANDIA-GO</t>
  </si>
  <si>
    <t>PARQUE SAO FRANCISCO DE ASSIS</t>
  </si>
  <si>
    <t>RUA 6, Q. 49</t>
  </si>
  <si>
    <t>SOLICITO O CANCELAMENTO DA RESERVA, A CLIENTE DESISITU PORQUE OS FAMILIARES NÃO QUISEREM SER DEPEDNENTE E NÃO TEM FIADOR.</t>
  </si>
  <si>
    <t>CLIENTE DESISTIU, NÃO CONSEGUIU DEPENDENTE E FIADOR</t>
  </si>
  <si>
    <t>Bloco 02-0103</t>
  </si>
  <si>
    <t xml:space="preserve">4109	</t>
  </si>
  <si>
    <t>bru996289298@gmail.com</t>
  </si>
  <si>
    <t>Sobradinho</t>
  </si>
  <si>
    <t>Setor Oeste (Sobradinho II)</t>
  </si>
  <si>
    <t>AR 5 Conjunto 8</t>
  </si>
  <si>
    <t>Caio Brendon Lopes Martins - CLT</t>
  </si>
  <si>
    <t>Aprovado seguir com os dois fiadores</t>
  </si>
  <si>
    <t>Pendente assinatura dos Furmularios</t>
  </si>
  <si>
    <t>Bloco 10-0303</t>
  </si>
  <si>
    <t xml:space="preserve">4525	</t>
  </si>
  <si>
    <t>sjorgemoreirasilva@gmail.com</t>
  </si>
  <si>
    <t>MONCAO MA</t>
  </si>
  <si>
    <t>Samambaia</t>
  </si>
  <si>
    <t>Samambaia Sul (Samambaia)</t>
  </si>
  <si>
    <t>QR 315 Conjunto 4</t>
  </si>
  <si>
    <t>autorizado assinatura do contrato caixa.</t>
  </si>
  <si>
    <t>213990, 214141</t>
  </si>
  <si>
    <t>18/05/2026, 18/05/2026</t>
  </si>
  <si>
    <t>Chat Online, Painel Gestor</t>
  </si>
  <si>
    <t>MP458340</t>
  </si>
  <si>
    <t>Bloco 09-0103</t>
  </si>
  <si>
    <t xml:space="preserve">5184	</t>
  </si>
  <si>
    <t>elycampos572@gmail.com</t>
  </si>
  <si>
    <t>JANUARIA</t>
  </si>
  <si>
    <t>SUL AMERICA</t>
  </si>
  <si>
    <t>RUA PARTICULAR, Q. A, L. 18</t>
  </si>
  <si>
    <t>Ryan Gomes Calazans - CLT</t>
  </si>
  <si>
    <t>Google</t>
  </si>
  <si>
    <t>MP441249</t>
  </si>
  <si>
    <t>BLOCO 07</t>
  </si>
  <si>
    <t>Bloco 07-0004</t>
  </si>
  <si>
    <t xml:space="preserve">5149	</t>
  </si>
  <si>
    <t>Welingtonlopesdasilva442@gmail.com</t>
  </si>
  <si>
    <t>JARDIM CALIFORNIA</t>
  </si>
  <si>
    <t>RUA CANDIDO RONDON, Q. 49</t>
  </si>
  <si>
    <t>PORTELA IMOBILIARIA</t>
  </si>
  <si>
    <t>Rafael Lucena</t>
  </si>
  <si>
    <t>MP441256</t>
  </si>
  <si>
    <t>Bloco 07-0002</t>
  </si>
  <si>
    <t xml:space="preserve">5147	</t>
  </si>
  <si>
    <t>pablodeoliveirasilva195@gmail.com</t>
  </si>
  <si>
    <t>ANAPOLIS-GO</t>
  </si>
  <si>
    <t>PARQUE DA COLINA II</t>
  </si>
  <si>
    <t>RUA 18, Q. 39, S/N</t>
  </si>
  <si>
    <t>MP441246</t>
  </si>
  <si>
    <t>Bloco 07-0201</t>
  </si>
  <si>
    <t xml:space="preserve">4475	</t>
  </si>
  <si>
    <t>priscyllagomes71@gmail.com</t>
  </si>
  <si>
    <t>AGUAS LINDAS DE GOIAS</t>
  </si>
  <si>
    <t>Q.17, L.22, S/N RECREIO AGUAS LINDAS II</t>
  </si>
  <si>
    <t>Lucas Braga de Souza Oliveira - CLT</t>
  </si>
  <si>
    <t>Kit Cheque Moradia aprovado. Aguardando a emissão do contrato AGEHAB.
Pendente comprovante do sinal.
Pendente finalização da venda.
Não autorizado a assinatura do contrato caixa.</t>
  </si>
  <si>
    <t>ChatBot</t>
  </si>
  <si>
    <t>MP458336</t>
  </si>
  <si>
    <t>Bloco 06-0004</t>
  </si>
  <si>
    <t xml:space="preserve">4971	</t>
  </si>
  <si>
    <t>Taiss6603@gmail.com</t>
  </si>
  <si>
    <t>MASCOTE</t>
  </si>
  <si>
    <t>CHACARAS QUEDA DO DESCOBERTO</t>
  </si>
  <si>
    <t>Q 42 LT</t>
  </si>
  <si>
    <t>Solicito cancelamento da Reserva, cliente não está segura de dar continuidade.</t>
  </si>
  <si>
    <t>Twitter</t>
  </si>
  <si>
    <t>Whatsapp</t>
  </si>
  <si>
    <t>MP439472</t>
  </si>
  <si>
    <t>Bloco 09-0302</t>
  </si>
  <si>
    <t xml:space="preserve">4512	</t>
  </si>
  <si>
    <t>mendesedianara3@gmail.com</t>
  </si>
  <si>
    <t>CAMPO ALEGRE DE LOURDES - BA</t>
  </si>
  <si>
    <t>Del Lago II (Itapoã)</t>
  </si>
  <si>
    <t>Quadra 314</t>
  </si>
  <si>
    <t>Natasha Lucília Barbosa - CLT</t>
  </si>
  <si>
    <t>Equipe Própria | AGL</t>
  </si>
  <si>
    <t>Solicito cancelamento da Reserva, cliente achou a Cidade muito distante.</t>
  </si>
  <si>
    <t>BLOCO 10</t>
  </si>
  <si>
    <t>Bloco 10-0104</t>
  </si>
  <si>
    <t xml:space="preserve">5201	</t>
  </si>
  <si>
    <t>lucasferreiradossantos2706@gmail.com</t>
  </si>
  <si>
    <t>TRAV. NAGIBE SAIMAO KIT 02</t>
  </si>
  <si>
    <t>Ingrid Alves D'Aparecida - CLT</t>
  </si>
  <si>
    <t>MP441239</t>
  </si>
  <si>
    <t>BLOCO 12</t>
  </si>
  <si>
    <t>Bloco 12-0101</t>
  </si>
  <si>
    <t xml:space="preserve">5219	</t>
  </si>
  <si>
    <t>andelisiadaschagas126@gmail.com</t>
  </si>
  <si>
    <t>Rua 23 KIT 04 QDA 136 LOTE 16</t>
  </si>
  <si>
    <t>Kit Cheque Moradia aprovado. Aguardando a emissão do contrato AGEHAB.
Pendente pagamento da diferença de sinal.
Autorizado a assinatura do contrato caixa conforme autorizado pelo Bruno.</t>
  </si>
  <si>
    <t>Fernanda Leão Uchôa de Oliveira</t>
  </si>
  <si>
    <t>MP441241</t>
  </si>
  <si>
    <t>Bloco 12-0001</t>
  </si>
  <si>
    <t xml:space="preserve">5231	</t>
  </si>
  <si>
    <t>ludimilafsa18@gmail.com</t>
  </si>
  <si>
    <t>BONFIOPOLIS MG</t>
  </si>
  <si>
    <t>Setor Sul</t>
  </si>
  <si>
    <t>Rua A Q A L 02</t>
  </si>
  <si>
    <t>Renda comprometida</t>
  </si>
  <si>
    <t xml:space="preserve">Cliente desistiu de seguir com a compra por motivos financeiros </t>
  </si>
  <si>
    <t>Daiana Soares da Rocha</t>
  </si>
  <si>
    <t>MP441234</t>
  </si>
  <si>
    <t>Bloco 15-0003</t>
  </si>
  <si>
    <t xml:space="preserve">5276	</t>
  </si>
  <si>
    <t>saracordeirodossantos033@gmail.com</t>
  </si>
  <si>
    <t>RUA ANHANGUERA</t>
  </si>
  <si>
    <t>ARTHUR PARRIAO NEGOCIOS IMOBILIARIOS</t>
  </si>
  <si>
    <t>Bloco 04-0303</t>
  </si>
  <si>
    <t xml:space="preserve">4433	</t>
  </si>
  <si>
    <t>paulinp389@gmail.com</t>
  </si>
  <si>
    <t>JARDIM SANTA LUCIA</t>
  </si>
  <si>
    <t>RUA JATOBÁ, Q 52, LOTE 14,</t>
  </si>
  <si>
    <t>INOVA IMOBILIARIA</t>
  </si>
  <si>
    <t>Bloco 06-0001</t>
  </si>
  <si>
    <t xml:space="preserve">5126	</t>
  </si>
  <si>
    <t>batistarosania8@gmail.com</t>
  </si>
  <si>
    <t>Setor Bela Vista</t>
  </si>
  <si>
    <t>Rua 4 N 11</t>
  </si>
  <si>
    <t>89548, 204791</t>
  </si>
  <si>
    <t>16/07/2023, 27/04/2026</t>
  </si>
  <si>
    <t>7LM - jul./23 - MCMV3.0 FSA - Leads - VÍDEO_JORDAN - Vídeo - 6 PERGUNTAS, Reserva</t>
  </si>
  <si>
    <t>16/07/2023, 16/05/2026</t>
  </si>
  <si>
    <t>Restrição paga</t>
  </si>
  <si>
    <t>Bloco 09-0001</t>
  </si>
  <si>
    <t xml:space="preserve">4211	</t>
  </si>
  <si>
    <t>janainajunqueira31@gmail.com</t>
  </si>
  <si>
    <t>Centro</t>
  </si>
  <si>
    <t>AVENIDA VALERIANO DE CASTRO 669</t>
  </si>
  <si>
    <t>JUNHO. 24 | CADASTRO | FSA | Vídeo Subsídio</t>
  </si>
  <si>
    <t>MP445027</t>
  </si>
  <si>
    <t>Cancelamento Repasse</t>
  </si>
  <si>
    <t xml:space="preserve">cliente trocou unidade </t>
  </si>
  <si>
    <t>Bloco 03-0002</t>
  </si>
  <si>
    <t xml:space="preserve">4404	</t>
  </si>
  <si>
    <t>laraa.verena@gmail.com</t>
  </si>
  <si>
    <t>MANSOES CAMARGO</t>
  </si>
  <si>
    <t>QUADRA 23 CJ B</t>
  </si>
  <si>
    <t>Luis Alves dos Santos da Silva Roccha - CLT</t>
  </si>
  <si>
    <t>Luis Alves dos Santos da Silva Roccha</t>
  </si>
  <si>
    <t>Kit Cheque Moradia aprovado. Aguardando a emissão do contrato AGEHAB.
Autorizado a assinatura do contrato caixa.
*ALIMENTAR PLANILHA DO FINANCEIRO REF O SINAL PAGO VIA PIX.*</t>
  </si>
  <si>
    <t>OK</t>
  </si>
  <si>
    <t xml:space="preserve">4523	</t>
  </si>
  <si>
    <t>jujumarys240@gmail.com</t>
  </si>
  <si>
    <t>SETOR ESPECIAL (VILA ESTRUTURAL)</t>
  </si>
  <si>
    <t>QUADRA 02 CONJUNTO 5 LOTE 06</t>
  </si>
  <si>
    <t>BLOCO 03</t>
  </si>
  <si>
    <t xml:space="preserve">5083	</t>
  </si>
  <si>
    <t>rrltda90@gmail.com</t>
  </si>
  <si>
    <t>FORMOSINHA</t>
  </si>
  <si>
    <t>AVENIDA FORMOSA NR 206 QDA 46</t>
  </si>
  <si>
    <t xml:space="preserve">Bom dia!
Kit CM ok, ficha AGEHAB enviada para validação.
.
</t>
  </si>
  <si>
    <t>MP441245</t>
  </si>
  <si>
    <t>Restrição interna Caixa</t>
  </si>
  <si>
    <t>raimundasoraya.chaves@outlook.com</t>
  </si>
  <si>
    <t>POR DO SOL</t>
  </si>
  <si>
    <t>SHPS QUADRA 103 CONJUNTO A</t>
  </si>
  <si>
    <t>Lucas Ramos da Victória - CLT</t>
  </si>
  <si>
    <t>Restrição (CPF)</t>
  </si>
  <si>
    <t xml:space="preserve">Recolhendo docs/ restrição </t>
  </si>
  <si>
    <t>Bloco 08-0301</t>
  </si>
  <si>
    <t xml:space="preserve">4495	</t>
  </si>
  <si>
    <t>djva1515@gmail.com</t>
  </si>
  <si>
    <t>Recolhendo docs</t>
  </si>
  <si>
    <t>TORRE 04</t>
  </si>
  <si>
    <t>Bloco 04-0104</t>
  </si>
  <si>
    <t xml:space="preserve">5463	</t>
  </si>
  <si>
    <t>Troca de Empreendimento/Unidade</t>
  </si>
  <si>
    <t>Cliente solicitou a troca de unidade para Torre 3, Unidade 203, Vaga 81</t>
  </si>
  <si>
    <t xml:space="preserve">30	</t>
  </si>
  <si>
    <t>andressalves2015@gmail.com</t>
  </si>
  <si>
    <t>MONTANHAS ES</t>
  </si>
  <si>
    <t>Guará II</t>
  </si>
  <si>
    <t>QE 40 Conjunto J</t>
  </si>
  <si>
    <t>Ana Lucia Rodrigues de Freitas</t>
  </si>
  <si>
    <t>Daniel Rocha Reis</t>
  </si>
  <si>
    <t>2) Tabela repasse na planta - Financiamento habitacional imediato</t>
  </si>
  <si>
    <t>Retomados Leilões</t>
  </si>
  <si>
    <t>AGL023</t>
  </si>
  <si>
    <t>AGL 23 - BL I APT 04</t>
  </si>
  <si>
    <t xml:space="preserve">5299	</t>
  </si>
  <si>
    <t>frranciscofrancaviieira@gmail.com</t>
  </si>
  <si>
    <t>MANSÕES VILLAGE</t>
  </si>
  <si>
    <t>Q QC 34, L 17, S/N APART 203</t>
  </si>
  <si>
    <t>GRACIONETE DE JESUS SILVA ANDRADE</t>
  </si>
  <si>
    <t>10.35m²</t>
  </si>
  <si>
    <t>Apartamento 57,78</t>
  </si>
  <si>
    <t>Bloco 03-0102</t>
  </si>
  <si>
    <t xml:space="preserve">4408	</t>
  </si>
  <si>
    <t>cf28042023@gmail.com</t>
  </si>
  <si>
    <t>QN 27 Conjunto 4</t>
  </si>
  <si>
    <t xml:space="preserve">Aguardando baixa de restrição, cliente permanecerá no crédito.
</t>
  </si>
  <si>
    <t>MAIO. 24 | CADASTRO | FSA | Habitação Novo 02</t>
  </si>
  <si>
    <t>Mídia Paga</t>
  </si>
  <si>
    <t>MP419712</t>
  </si>
  <si>
    <t>Recolhendo docs/ Protesto em Cartorio</t>
  </si>
  <si>
    <t xml:space="preserve">5192	</t>
  </si>
  <si>
    <t>Widemarfffernandes@gmail.com</t>
  </si>
  <si>
    <t>Rua 19 QD 74</t>
  </si>
  <si>
    <t>JAN. 24 | F10 | CRIATIVO LARANJA</t>
  </si>
  <si>
    <t>MP441233</t>
  </si>
  <si>
    <t>BLOCO 01</t>
  </si>
  <si>
    <t>Bloco 01-0102</t>
  </si>
  <si>
    <t xml:space="preserve">5054	</t>
  </si>
  <si>
    <t>joaolucasteixeira.office@gmail.com</t>
  </si>
  <si>
    <t>JARDIM NOVA AURORA</t>
  </si>
  <si>
    <t>BOM JESUS</t>
  </si>
  <si>
    <t>MP441231</t>
  </si>
  <si>
    <t>Bloco 02-0202</t>
  </si>
  <si>
    <t xml:space="preserve">4387	</t>
  </si>
  <si>
    <t>marleneviera488@gmail.com</t>
  </si>
  <si>
    <t>BENEDITINOD - PI</t>
  </si>
  <si>
    <t>Setor Habitacional Arniqueira (Águas Claras)</t>
  </si>
  <si>
    <t>SHA Conjunto 4 Chácara 88 LT 01</t>
  </si>
  <si>
    <t>Bloco 08-0103</t>
  </si>
  <si>
    <t xml:space="preserve">4489	</t>
  </si>
  <si>
    <t>franciscoeronildo41@gmail.com</t>
  </si>
  <si>
    <t>Setor de Chácaras Riacho Fundo</t>
  </si>
  <si>
    <t>OUTCOM IMOB</t>
  </si>
  <si>
    <t xml:space="preserve">Kit Caixa e Kit Agehab: Entregue
</t>
  </si>
  <si>
    <t>Marco Aurélio de Souza Taveira</t>
  </si>
  <si>
    <t>MP419711</t>
  </si>
  <si>
    <t>Bloco 01-0004</t>
  </si>
  <si>
    <t xml:space="preserve">4374	</t>
  </si>
  <si>
    <t>juninhu123213@gmail.com</t>
  </si>
  <si>
    <t>Ceilândia Norte (Ceilândia)</t>
  </si>
  <si>
    <t>QNO 11 Conjunto F</t>
  </si>
  <si>
    <t>Jonatan Castro da Silva - CLT</t>
  </si>
  <si>
    <t>Busca Compartilhada</t>
  </si>
  <si>
    <t>MP419708</t>
  </si>
  <si>
    <t>Bloco 06-0202</t>
  </si>
  <si>
    <t xml:space="preserve">3963	</t>
  </si>
  <si>
    <t>henriquepack2@gmail.com</t>
  </si>
  <si>
    <t>COIMBRA</t>
  </si>
  <si>
    <t>Q. P L. 3 CH 10 - CH 10</t>
  </si>
  <si>
    <t>Ana Cleia Nonato</t>
  </si>
  <si>
    <t>2.00m²</t>
  </si>
  <si>
    <t>Moto S/ Varanda</t>
  </si>
  <si>
    <t>Bloco 15-0204</t>
  </si>
  <si>
    <t xml:space="preserve">5280	</t>
  </si>
  <si>
    <t>joaopedropereiracaixeta192@gmail.com</t>
  </si>
  <si>
    <t>SETOR BELA VISTA</t>
  </si>
  <si>
    <t>RUA 10 A BLOCO A Q 27 L 1A</t>
  </si>
  <si>
    <t>MP441230</t>
  </si>
  <si>
    <t>Restrição</t>
  </si>
  <si>
    <t>Bloco 01-0104</t>
  </si>
  <si>
    <t xml:space="preserve">5055	</t>
  </si>
  <si>
    <t>jessikaahmadureira@gmail.com</t>
  </si>
  <si>
    <t>SETOR PAMPULHA</t>
  </si>
  <si>
    <t>RUA PRESIDENTE VARGAS</t>
  </si>
  <si>
    <t>AGEHAB Validado.
autorizado assinatura Caixa.</t>
  </si>
  <si>
    <t>MP441236</t>
  </si>
  <si>
    <t>cassiojornalista@gmail.com</t>
  </si>
  <si>
    <t>Santo Antônio do Monte/MG</t>
  </si>
  <si>
    <t>Taguatinga Norte (Taguatinga)</t>
  </si>
  <si>
    <t>QNL 19 Conjunto B Casa 18</t>
  </si>
  <si>
    <t>Anne Winne Moreira de Paula Felix</t>
  </si>
  <si>
    <t>Fábio Félix dos Santos</t>
  </si>
  <si>
    <t>Não está no momento de compra</t>
  </si>
  <si>
    <t>Desconhecido</t>
  </si>
  <si>
    <t>Bloco 01-0103</t>
  </si>
  <si>
    <t xml:space="preserve">5044	</t>
  </si>
  <si>
    <t>felipelemsantos@gmail.com</t>
  </si>
  <si>
    <t>Vila Santos</t>
  </si>
  <si>
    <t>Rua 12</t>
  </si>
  <si>
    <t>MP441242</t>
  </si>
  <si>
    <t xml:space="preserve">4218	</t>
  </si>
  <si>
    <t>flaviars_fsa@hotmail.com</t>
  </si>
  <si>
    <t>PLANALTINA GO</t>
  </si>
  <si>
    <t>Rua 8 N 421  SETOR NORDESTE</t>
  </si>
  <si>
    <t>ERIKA ALVES GOMES</t>
  </si>
  <si>
    <t>MP445025</t>
  </si>
  <si>
    <t xml:space="preserve">4182	</t>
  </si>
  <si>
    <t>gezanasamanta1234@gmail.com</t>
  </si>
  <si>
    <t>Rua 21, Q. 95, L. P, 02/03</t>
  </si>
  <si>
    <t>Romário Augusto Negócios Imobiliários Ltda.</t>
  </si>
  <si>
    <t>Romário Augusto Negócios Imobiliários Lt</t>
  </si>
  <si>
    <t>Fiador aprovado!</t>
  </si>
  <si>
    <t>MP445026</t>
  </si>
  <si>
    <t>APROVAÇÃO EM OUTRO CCA, SOLICITADO CANCELAMENTO</t>
  </si>
  <si>
    <t>Bloco 11-0304</t>
  </si>
  <si>
    <t xml:space="preserve">5214	</t>
  </si>
  <si>
    <t>iancagomesdemoura@gmail.com</t>
  </si>
  <si>
    <t>CABECEIRAS GO</t>
  </si>
  <si>
    <t>Cabeceiras</t>
  </si>
  <si>
    <t>SETOR CENTRO</t>
  </si>
  <si>
    <t>BOA VISTA IV</t>
  </si>
  <si>
    <t>KEULLY DE SOUSA BRAGA</t>
  </si>
  <si>
    <t>173174, 215154</t>
  </si>
  <si>
    <t>16/10/2025, 21/05/2026</t>
  </si>
  <si>
    <t>Painel Corretor, Reserva</t>
  </si>
  <si>
    <t>16/10/2025, 25/05/2026</t>
  </si>
  <si>
    <t>Painel Corretor, Painel Corretor</t>
  </si>
  <si>
    <t>MP441225</t>
  </si>
  <si>
    <t>Bloco 14-0201</t>
  </si>
  <si>
    <t xml:space="preserve">5253	</t>
  </si>
  <si>
    <t>layannesouza59@gmail.com</t>
  </si>
  <si>
    <t>SÃO LUIS-MA</t>
  </si>
  <si>
    <t>RUA 17 QD 76 LT 17B</t>
  </si>
  <si>
    <t>WIRIS FERNANDES NEGOCIOS IMOBILIARIOS</t>
  </si>
  <si>
    <t>Kit Cheque Moradia aprovado. Aguardando a emissão do contrato AGEHAB.
autorizado a assinatura do contrato caixa.</t>
  </si>
  <si>
    <t>MAR. 25 | FSA | PÚBLICO SEMELHANTE | Comunicado Azul</t>
  </si>
  <si>
    <t>MP441250</t>
  </si>
  <si>
    <t>aguardando chegar certidão que foi solicitada da dependente</t>
  </si>
  <si>
    <t>Bloco 03-0301</t>
  </si>
  <si>
    <t xml:space="preserve">5080	</t>
  </si>
  <si>
    <t>Rodrigodias018@gmail.com</t>
  </si>
  <si>
    <t>JK</t>
  </si>
  <si>
    <t>AV PRINCIPAL</t>
  </si>
  <si>
    <t>MP441226</t>
  </si>
  <si>
    <t>Gerar os formularios e Kit Agehab</t>
  </si>
  <si>
    <t>Bloco 10-0002</t>
  </si>
  <si>
    <t xml:space="preserve">4526	</t>
  </si>
  <si>
    <t>brendonnacosta@gmail.com</t>
  </si>
  <si>
    <t>Cidade Jardim</t>
  </si>
  <si>
    <t>Quadra 90</t>
  </si>
  <si>
    <t>Ana Luiza Entreportes - CLT</t>
  </si>
  <si>
    <t xml:space="preserve">LISTA DE LLIGAÇÃO. </t>
  </si>
  <si>
    <t xml:space="preserve">4135	</t>
  </si>
  <si>
    <t>srcarsoso555@gmail.com</t>
  </si>
  <si>
    <t>MONTALVANIA MG</t>
  </si>
  <si>
    <t>Jardim das Américas</t>
  </si>
  <si>
    <t>RUA PROJETADA Q B L5</t>
  </si>
  <si>
    <t>STEFFANY SILVA PINTO</t>
  </si>
  <si>
    <t>Kit Cheque Moradia aprovado. Aguardando a emissão do contrato AGEHAB.
Pendente pagamento do sinal.
Não autorizado a assinatura do contrato caixa.</t>
  </si>
  <si>
    <t xml:space="preserve">4470	</t>
  </si>
  <si>
    <t>aninhamendes078@gmail.com</t>
  </si>
  <si>
    <t>PILÃO ARCADO-BA</t>
  </si>
  <si>
    <t>YPIRANGA</t>
  </si>
  <si>
    <t>RUA MARAJO, Q. 1 BL E, L. CHAC 10, N. APT 203</t>
  </si>
  <si>
    <t>Tik Tok ADS</t>
  </si>
  <si>
    <t>Tik Tok</t>
  </si>
  <si>
    <t>MP458339</t>
  </si>
  <si>
    <t>Bloco 13-0104</t>
  </si>
  <si>
    <t xml:space="preserve">5247	</t>
  </si>
  <si>
    <t>yqueirozbea3@gmail.com</t>
  </si>
  <si>
    <t>BRUMADO - BA</t>
  </si>
  <si>
    <t>Rua H</t>
  </si>
  <si>
    <t>Maria Eugenia Martins Alves - CLT</t>
  </si>
  <si>
    <t>MP441229</t>
  </si>
  <si>
    <t>Doc dependente</t>
  </si>
  <si>
    <t>Bloco 12-0002</t>
  </si>
  <si>
    <t xml:space="preserve">5232	</t>
  </si>
  <si>
    <t>Taizafsa@gmail.com</t>
  </si>
  <si>
    <t>SETOR PRIMAVERA</t>
  </si>
  <si>
    <t>RUA14</t>
  </si>
  <si>
    <t>Aguardado o envio AGEHAB.
Pendente Confissão de dívida.
Pendente finalização da venda.
Não autorizada assinatura do contrato caixa.</t>
  </si>
  <si>
    <t>MP441227</t>
  </si>
  <si>
    <t>falta CTPS e comprovante de residência p/ AGEHAB</t>
  </si>
  <si>
    <t>Bloco 13-0002</t>
  </si>
  <si>
    <t xml:space="preserve">5243	</t>
  </si>
  <si>
    <t>borgesanna788@gmail.com</t>
  </si>
  <si>
    <t>RUA 11, Q. 94, L. 13</t>
  </si>
  <si>
    <t>MP441235</t>
  </si>
  <si>
    <t>VAI SER TROCADO O FLUXO DE PAGAMENTO, CLIENTE NÃO TEM OS 3 ANOS DE FGTS</t>
  </si>
  <si>
    <t>Bloco 11-0103</t>
  </si>
  <si>
    <t xml:space="preserve">5205	</t>
  </si>
  <si>
    <t>valcirenefernandes5@gmail.com</t>
  </si>
  <si>
    <t>RUA 13 Q. 11 L. 6/8</t>
  </si>
  <si>
    <t>Gabriel do Nascimento Dias - CLT</t>
  </si>
  <si>
    <t>MP441224</t>
  </si>
  <si>
    <t>Verificando saldo FGTS</t>
  </si>
  <si>
    <t>Bloco 07-0003</t>
  </si>
  <si>
    <t xml:space="preserve">4469	</t>
  </si>
  <si>
    <t>ferminurbieta2411@gmail.com</t>
  </si>
  <si>
    <t>SOBRADINHO 2</t>
  </si>
  <si>
    <t>AR 05 CJ 08 LT 17</t>
  </si>
  <si>
    <t>MP419706</t>
  </si>
  <si>
    <t>Cliente é estrangeiro fazer o processo de relacionamento primeiro</t>
  </si>
  <si>
    <t xml:space="preserve">68	</t>
  </si>
  <si>
    <t>dralaillafeitosa@gmail.com</t>
  </si>
  <si>
    <t>Campos Sales - CE</t>
  </si>
  <si>
    <t>Sul (Águas Claras)</t>
  </si>
  <si>
    <t>Rua 17 LT 07 AP 902</t>
  </si>
  <si>
    <t>Não Apto(a) a Repassar com a CEF</t>
  </si>
  <si>
    <t>Condicionou o valor da parcela. Iria vender o carro para viabilizar o comprometimento de renda, porém desistiu.</t>
  </si>
  <si>
    <t>Bloco 09-0002</t>
  </si>
  <si>
    <t xml:space="preserve">5015	</t>
  </si>
  <si>
    <t>fj65892@gmail.com</t>
  </si>
  <si>
    <t>CORRENTE PI</t>
  </si>
  <si>
    <t>Recanto das Emas</t>
  </si>
  <si>
    <t>Quadra 204 Conjunto 12 casa 02</t>
  </si>
  <si>
    <t>Módulo de Atendimento</t>
  </si>
  <si>
    <t>Pendente Agehab- Solicitar 2via da certidão  Piaui</t>
  </si>
  <si>
    <t>Bloco 07-0302</t>
  </si>
  <si>
    <t xml:space="preserve">4480	</t>
  </si>
  <si>
    <t>jameswerbetvasques@gmail.com</t>
  </si>
  <si>
    <t>JARDIM ÁGUAS LINDAS II</t>
  </si>
  <si>
    <t>QUADRA 2</t>
  </si>
  <si>
    <t>MP-419703</t>
  </si>
  <si>
    <t>Bloco 06-0203</t>
  </si>
  <si>
    <t xml:space="preserve">3964	</t>
  </si>
  <si>
    <t>yaran7081@gmail.com</t>
  </si>
  <si>
    <t>MANSOES POR DO SOL</t>
  </si>
  <si>
    <t>Q. B-5, L. 03, BLOCO - A</t>
  </si>
  <si>
    <t>I.A</t>
  </si>
  <si>
    <t>brunocddmorais@gmail.com</t>
  </si>
  <si>
    <t>RUA 204 N.62 NOVA FORMOSA , QD.18 LT.18</t>
  </si>
  <si>
    <t xml:space="preserve">cliente não conseguiu dependente, preferiu não seguir </t>
  </si>
  <si>
    <t>FSA013 - Vila Lótus - Receitas de Incorporação</t>
  </si>
  <si>
    <t>BLOCO 21</t>
  </si>
  <si>
    <t>Bloco 21-0001</t>
  </si>
  <si>
    <t xml:space="preserve">4860	</t>
  </si>
  <si>
    <t>caiofelix1603@gmail.com</t>
  </si>
  <si>
    <t>RUA 19 QUADRA 74 LT</t>
  </si>
  <si>
    <t>10.8m²</t>
  </si>
  <si>
    <t>MP430747</t>
  </si>
  <si>
    <t xml:space="preserve">27	</t>
  </si>
  <si>
    <t>Parcela alta</t>
  </si>
  <si>
    <t>Bloco 12-0104</t>
  </si>
  <si>
    <t xml:space="preserve">5222	</t>
  </si>
  <si>
    <t>Karinepereirasaldanhasuaris98@gmail.com</t>
  </si>
  <si>
    <t>CABECEIRAS - GO</t>
  </si>
  <si>
    <t>RUA G Q 66 L 11/12</t>
  </si>
  <si>
    <t>NOVEMBRO 24 | FSA | PÚBLICO TRABALHADORES | Vídeo Michele</t>
  </si>
  <si>
    <t>MP441223</t>
  </si>
  <si>
    <t>Secretaria de Vendas</t>
  </si>
  <si>
    <t>BLOCO 04</t>
  </si>
  <si>
    <t>Bloco 04-0204</t>
  </si>
  <si>
    <t xml:space="preserve">5098	</t>
  </si>
  <si>
    <t>kauavanuza@gmail.com</t>
  </si>
  <si>
    <t>UBERLANDIA - MG</t>
  </si>
  <si>
    <t>VISTA ALEGRE</t>
  </si>
  <si>
    <t>RUA PARTICULAR</t>
  </si>
  <si>
    <t>Seguir com a Fiadora. Aprovado</t>
  </si>
  <si>
    <t>MP441240</t>
  </si>
  <si>
    <t>aprovar renda no comitê</t>
  </si>
  <si>
    <t xml:space="preserve">5053	</t>
  </si>
  <si>
    <t>Neylaferreira12@gmail.com</t>
  </si>
  <si>
    <t>RUA ONIX, Q. 2</t>
  </si>
  <si>
    <t>Vitória Imóveis IMOB</t>
  </si>
  <si>
    <t>AGEHAB Validado.
Autorizada assinatura do contrato caixa.</t>
  </si>
  <si>
    <t>48176, 89805</t>
  </si>
  <si>
    <t>02/02/2021, 21/07/2023</t>
  </si>
  <si>
    <t xml:space="preserve">24/11/2023, </t>
  </si>
  <si>
    <t>Out. 23 | CADASTRO | FSA 3, Painel Corretor</t>
  </si>
  <si>
    <t>24/11/2023, 21/07/2023</t>
  </si>
  <si>
    <t>Facebook, Painel Corretor</t>
  </si>
  <si>
    <t>MP441237</t>
  </si>
  <si>
    <t>SEM OS FORMULARIOS AINDA</t>
  </si>
  <si>
    <t xml:space="preserve">4496	</t>
  </si>
  <si>
    <t>Mauriciocarvalho0399@gmail.com</t>
  </si>
  <si>
    <t>JARDIM DA BARRAGEM III</t>
  </si>
  <si>
    <t>Rua 10, Q. 20 A, L. 11, S/N,</t>
  </si>
  <si>
    <t>192471, 210974</t>
  </si>
  <si>
    <t>27/02/2026, 08/05/2026</t>
  </si>
  <si>
    <t>FEVEREIRO 26 | PUBLICO ABERTO | VÍDEO VIRAL RISADA [BM 7LM AGL], Painel Gestor</t>
  </si>
  <si>
    <t>Facebook, Painel Imobiliária</t>
  </si>
  <si>
    <t xml:space="preserve">4389	</t>
  </si>
  <si>
    <t>alandavyd42@gmail.com</t>
  </si>
  <si>
    <t>RUA SEM NOME, Q 15, L 15 CASA 02, JARDIM AMERICA I</t>
  </si>
  <si>
    <t>Mymob</t>
  </si>
  <si>
    <t>CAT001 - Residencial Vivaz</t>
  </si>
  <si>
    <t>Bloco 01 - 0101</t>
  </si>
  <si>
    <t xml:space="preserve">5972	</t>
  </si>
  <si>
    <t>jordanribeirovasconcelos@gmail.com</t>
  </si>
  <si>
    <t>Rua 11, Q 33</t>
  </si>
  <si>
    <t>Ana Clara Correa Rosa - CLT</t>
  </si>
  <si>
    <t>Equipe Própria | CAT</t>
  </si>
  <si>
    <t>TESTE</t>
  </si>
  <si>
    <t>Catalão</t>
  </si>
  <si>
    <t>11,52m²</t>
  </si>
  <si>
    <t>Bloco 07-0304</t>
  </si>
  <si>
    <t xml:space="preserve">5145	</t>
  </si>
  <si>
    <t>ilmaferreiradossantos30@gmail.com</t>
  </si>
  <si>
    <t>DOMINGOS-GO</t>
  </si>
  <si>
    <t>SAO BENEDITO</t>
  </si>
  <si>
    <t>RUA 10</t>
  </si>
  <si>
    <t>FALTA FORMULARIO DO DEPENDENTE</t>
  </si>
  <si>
    <t>Bloco 07-0001</t>
  </si>
  <si>
    <t xml:space="preserve">4467	</t>
  </si>
  <si>
    <t>nathyoliverferreira@gmail.com</t>
  </si>
  <si>
    <t>Gama</t>
  </si>
  <si>
    <t>SETOR LESTE</t>
  </si>
  <si>
    <t>QUADRA 03</t>
  </si>
  <si>
    <t>Ficha Agehab/ Assinatura de Dependente</t>
  </si>
  <si>
    <t xml:space="preserve">4499	</t>
  </si>
  <si>
    <t>bruno.38.guilherme@gmail.com</t>
  </si>
  <si>
    <t>UNAI - MG</t>
  </si>
  <si>
    <t>MP419699</t>
  </si>
  <si>
    <t>Gerar os formularios e assinar Ficha Agehab/Restrição paga dia 09/05</t>
  </si>
  <si>
    <t>Bloco 04-0003</t>
  </si>
  <si>
    <t xml:space="preserve">4421	</t>
  </si>
  <si>
    <t>gabriellemferro@gmail.com</t>
  </si>
  <si>
    <t>SETOR 01</t>
  </si>
  <si>
    <t>RUA SOLIMÕES, Q 47, L 19, AP 302 CONJUNTO B</t>
  </si>
  <si>
    <t>LK Imóveis - Leonardo Aparecido</t>
  </si>
  <si>
    <t>LK Imóveis</t>
  </si>
  <si>
    <t xml:space="preserve">4484	</t>
  </si>
  <si>
    <t>jucielleferreira4@gmail.com</t>
  </si>
  <si>
    <t>BRASÍLIA - DF</t>
  </si>
  <si>
    <t>JARDIM PEROLA DA BARRAGEM II</t>
  </si>
  <si>
    <t>QUADRA 64</t>
  </si>
  <si>
    <t>MP419701</t>
  </si>
  <si>
    <t>Bloco 03-0003</t>
  </si>
  <si>
    <t xml:space="preserve">5084	</t>
  </si>
  <si>
    <t>sahpereira75197@gmail.com</t>
  </si>
  <si>
    <t>AV. C Q. 24 L 23-A</t>
  </si>
  <si>
    <t>Sandra Santos - CLT</t>
  </si>
  <si>
    <t>26295, 145350</t>
  </si>
  <si>
    <t>16/05/2020, 15/01/2025</t>
  </si>
  <si>
    <t>25/04/2026, 09/05/2026</t>
  </si>
  <si>
    <t>27/04/2026, 15/05/2026</t>
  </si>
  <si>
    <t>Facebook, Facebook</t>
  </si>
  <si>
    <t>MP441222</t>
  </si>
  <si>
    <t>Bloco 01-0101</t>
  </si>
  <si>
    <t xml:space="preserve">5043	</t>
  </si>
  <si>
    <t>kaiquesgomes917@gmail.com</t>
  </si>
  <si>
    <t>AVENIDA ARTUR BERNARDES Q 5</t>
  </si>
  <si>
    <t>MP441232</t>
  </si>
  <si>
    <t>Bloco 01-0002</t>
  </si>
  <si>
    <t xml:space="preserve">4372	</t>
  </si>
  <si>
    <t>wilsonpaul1314@gmail.com</t>
  </si>
  <si>
    <t>HAIT</t>
  </si>
  <si>
    <t>Q. L. 23, S/N, CASA - G</t>
  </si>
  <si>
    <t>Ligação</t>
  </si>
  <si>
    <t>ok</t>
  </si>
  <si>
    <t>Bloco 09-0102</t>
  </si>
  <si>
    <t xml:space="preserve">5183	</t>
  </si>
  <si>
    <t>sara.atorres3108@gmail.com</t>
  </si>
  <si>
    <t>Formosa GO</t>
  </si>
  <si>
    <t>RUA 23</t>
  </si>
  <si>
    <t>restrição interna na caixa sair</t>
  </si>
  <si>
    <t>Bloco 03-0001</t>
  </si>
  <si>
    <t xml:space="preserve">4115	</t>
  </si>
  <si>
    <t xml:space="preserve">Troca de empreendimento. </t>
  </si>
  <si>
    <t>Bom dia, solicito cancelamento da reserva #7051
Motivo: Troca de empreendimento
Grata.</t>
  </si>
  <si>
    <t>Bloco 09-0003</t>
  </si>
  <si>
    <t xml:space="preserve">4501	</t>
  </si>
  <si>
    <t>jzin5747@gmail.com</t>
  </si>
  <si>
    <t>Planaltina</t>
  </si>
  <si>
    <t>São Gabriel de Goiás</t>
  </si>
  <si>
    <t>RUA 23, Q 599, L 18 SETOR CENTRAL</t>
  </si>
  <si>
    <t>S PESTANA NEGOCIOS IMOBILIARIOS LTDA</t>
  </si>
  <si>
    <t>S PESTANA - IMOB NOVA ERA</t>
  </si>
  <si>
    <t xml:space="preserve">5134	</t>
  </si>
  <si>
    <t>desousarodriguesfabiana@gmail.com</t>
  </si>
  <si>
    <t>SAO G DO ARAGUAIA PA</t>
  </si>
  <si>
    <t>Setor Bosque II</t>
  </si>
  <si>
    <t>Rua 4 QDA 18 LOTE 10A</t>
  </si>
  <si>
    <t>Não tem sinal</t>
  </si>
  <si>
    <t xml:space="preserve">cliente não ira seguir iremos teria que dar sinal, está negociando agio de  uma casa dando o carro em troca </t>
  </si>
  <si>
    <t>Sem sinal</t>
  </si>
  <si>
    <t xml:space="preserve">4154	</t>
  </si>
  <si>
    <t>elenpereira547@gmail.com</t>
  </si>
  <si>
    <t>RUA 7 Q 9</t>
  </si>
  <si>
    <t>Camila Fernandes da Silva</t>
  </si>
  <si>
    <t>MAIO 25 | Aurium Home | Trabalhadores e Luxo | Vídeo Lorena</t>
  </si>
  <si>
    <t>MP445024</t>
  </si>
  <si>
    <t>Bloco 07-0303</t>
  </si>
  <si>
    <t xml:space="preserve">4481	</t>
  </si>
  <si>
    <t>Gabzllcristina@gmail.com</t>
  </si>
  <si>
    <t>Setor Leste (Gama)</t>
  </si>
  <si>
    <t>Quadra 6</t>
  </si>
  <si>
    <t>MP419698</t>
  </si>
  <si>
    <t>Bloco 03-0103</t>
  </si>
  <si>
    <t xml:space="preserve">5413	</t>
  </si>
  <si>
    <t>isa_bella907@hotmail.com</t>
  </si>
  <si>
    <t>BRASÍLIA/DF</t>
  </si>
  <si>
    <t>Norte (Águas Claras)</t>
  </si>
  <si>
    <t>Avenida Parque Águas Claras, LT 3305, BL B, APTO 907</t>
  </si>
  <si>
    <t>Espelho validado.
Autorizado assinatura apos finalização da venda.</t>
  </si>
  <si>
    <t>TABELA COM FINANCIAMENTO DIRETO - CONSTRUTORA</t>
  </si>
  <si>
    <t>Troca de imobiliária</t>
  </si>
  <si>
    <t>123118, 139931</t>
  </si>
  <si>
    <t>03/07/2024, 22/11/2024</t>
  </si>
  <si>
    <t>Reserva, Reserva</t>
  </si>
  <si>
    <t>26/11/2024, 05/05/2026</t>
  </si>
  <si>
    <t>Outros, Outras publicidades</t>
  </si>
  <si>
    <t>Bloco 04-0001</t>
  </si>
  <si>
    <t xml:space="preserve">5103	</t>
  </si>
  <si>
    <t>herbertpaulo58@gmail.com</t>
  </si>
  <si>
    <t>LUZIANIA GO</t>
  </si>
  <si>
    <t>PARQUE DAS LARANJEIRAS</t>
  </si>
  <si>
    <t>TRAVESSA AB</t>
  </si>
  <si>
    <t>127483, 206801</t>
  </si>
  <si>
    <t>10/08/2024, 02/05/2026</t>
  </si>
  <si>
    <t>Painel Corretor, Sem conversão</t>
  </si>
  <si>
    <t>Outras publicidades, WebSite</t>
  </si>
  <si>
    <t>MP441217</t>
  </si>
  <si>
    <t xml:space="preserve">6458	</t>
  </si>
  <si>
    <t>andreysilva.c@outlook.com</t>
  </si>
  <si>
    <t>LUZIANIA/GO</t>
  </si>
  <si>
    <t>RIACHO FUNDO II</t>
  </si>
  <si>
    <t>QN 7A CJ 08 LT 13 CASA 01</t>
  </si>
  <si>
    <t>TORRE 01</t>
  </si>
  <si>
    <t>Bloco 01-0302</t>
  </si>
  <si>
    <t xml:space="preserve">5356	</t>
  </si>
  <si>
    <t>guilhermebitemcourt@gmail.com</t>
  </si>
  <si>
    <t>Brasília - DF</t>
  </si>
  <si>
    <t>QND 52 CASA 18</t>
  </si>
  <si>
    <t>Espelho validado.
Autorizado assinatura.</t>
  </si>
  <si>
    <t xml:space="preserve">5350	</t>
  </si>
  <si>
    <t>eng.viniciuscorreia@hotmail.com</t>
  </si>
  <si>
    <t>LAGES/SC</t>
  </si>
  <si>
    <t>Taguatinga Norte</t>
  </si>
  <si>
    <t>SHVP TR 01 CH 07 LT 34</t>
  </si>
  <si>
    <t>Kennedy Anderson Alves dos Santos</t>
  </si>
  <si>
    <t>Espelho a menor de FI R$ 314,00 Ajustado.
Espelho validado .
Pendente assinatura do contrato.</t>
  </si>
  <si>
    <t>2m²</t>
  </si>
  <si>
    <t>Bloco 14-0103</t>
  </si>
  <si>
    <t xml:space="preserve">4741	</t>
  </si>
  <si>
    <t>juarezfraga554@gmail.com</t>
  </si>
  <si>
    <t>RUA DR. SINVAL G. DE OLIVEIRA Q. 28</t>
  </si>
  <si>
    <t>Painel Cliente</t>
  </si>
  <si>
    <t>MP430745</t>
  </si>
  <si>
    <t>FSA010 - Vila Jardins - Receitas de Incorporação</t>
  </si>
  <si>
    <t>Bloco 05-0002</t>
  </si>
  <si>
    <t xml:space="preserve">3661	</t>
  </si>
  <si>
    <t>Diogom.silva2624@gmail.com</t>
  </si>
  <si>
    <t>UTINGA BA</t>
  </si>
  <si>
    <t>RUA 23 QUADRA75 LOTE 28</t>
  </si>
  <si>
    <t>Marco Aurélio de Souza Taveira, Thomaz Moreira Aquino</t>
  </si>
  <si>
    <t>10,80m²</t>
  </si>
  <si>
    <t>MP444514</t>
  </si>
  <si>
    <t>mateusdkch090@gmail.com</t>
  </si>
  <si>
    <t>QNL 9 Bloco J</t>
  </si>
  <si>
    <t>Não tem dependente</t>
  </si>
  <si>
    <t xml:space="preserve">Bom dia!
Solicito cancelamento da reserva. Segundo a Imobiliária,  a única dependente que o cliente têm, se recusa a ajuda-lo por medo de não conseguir o benefício da aposentadoria, por ter movimentações na Caixa. Por mais que a Imobiliária tenha atuado na situação, o cliente optou por não seguir com a compra nesse momento.
Francisco Lucielio de Queiroz
</t>
  </si>
  <si>
    <t>Bloco 01-0003</t>
  </si>
  <si>
    <t xml:space="preserve">4545	</t>
  </si>
  <si>
    <t>fernando.antoniobatman@gmail.com</t>
  </si>
  <si>
    <t>SETOR DE CHACARAS ABREU</t>
  </si>
  <si>
    <t>VIA 14, CH 55</t>
  </si>
  <si>
    <t>Valmir Santana dos Santos - CLT</t>
  </si>
  <si>
    <t>MP430748</t>
  </si>
  <si>
    <t xml:space="preserve">3912	</t>
  </si>
  <si>
    <t>estefanepm791@gmail.com</t>
  </si>
  <si>
    <t>JARDIM GUAIRA I, Q 10, LOTE 32</t>
  </si>
  <si>
    <t>Aprovado!</t>
  </si>
  <si>
    <t>Bloco 04-0002</t>
  </si>
  <si>
    <t xml:space="preserve">4420	</t>
  </si>
  <si>
    <t>sousayan084@gmail.com</t>
  </si>
  <si>
    <t>JARDIM GUAIRA II</t>
  </si>
  <si>
    <t>QUADRA 41 L 27</t>
  </si>
  <si>
    <t>MARIA FERREIRA</t>
  </si>
  <si>
    <t>MP419702</t>
  </si>
  <si>
    <t>Bloco 08-0102</t>
  </si>
  <si>
    <t xml:space="preserve">4488	</t>
  </si>
  <si>
    <t>luisgustavocrvg98@gmail.com</t>
  </si>
  <si>
    <t>JARDIM GUAIRA I QUADRA 12</t>
  </si>
  <si>
    <t>MP419696</t>
  </si>
  <si>
    <t xml:space="preserve">3984	</t>
  </si>
  <si>
    <t>paulosoares5550123@gmail.com</t>
  </si>
  <si>
    <t>QNP 30 CONJUNTO A</t>
  </si>
  <si>
    <t>Autorizado a assinatura do contrato caixa.</t>
  </si>
  <si>
    <t>MP458297</t>
  </si>
  <si>
    <t xml:space="preserve">5052	</t>
  </si>
  <si>
    <t>Troca de empreendimento\n</t>
  </si>
  <si>
    <t>Troca de empreendimento.</t>
  </si>
  <si>
    <t>eduardovaleriomendes01@gmail.com</t>
  </si>
  <si>
    <t>PARANAÍTA - MT</t>
  </si>
  <si>
    <t>SETOR HABITACIONAL ANIRQUEIRAS</t>
  </si>
  <si>
    <t>SHA CONJUNTO 4 CHÁCARA 88</t>
  </si>
  <si>
    <t xml:space="preserve">Comprador já beneficiario ao Subsidio. </t>
  </si>
  <si>
    <t>Pessoal, bom dia!
Tudo bem?
Solicito, por gentileza, o cancelamento da reserva #7031
OBS: Cliente ja foi contemplado com Subsidio</t>
  </si>
  <si>
    <t>Bloco 05-0304</t>
  </si>
  <si>
    <t xml:space="preserve">5118	</t>
  </si>
  <si>
    <t>Brunooliveirafsa1@gmail.com</t>
  </si>
  <si>
    <t>Rua 10A</t>
  </si>
  <si>
    <t>Sem contato</t>
  </si>
  <si>
    <t>Bloco 07-0102</t>
  </si>
  <si>
    <t xml:space="preserve">5151	</t>
  </si>
  <si>
    <t>carlitokatia2255230@gmail.com</t>
  </si>
  <si>
    <t>GUARANI DE GOIAS - GO</t>
  </si>
  <si>
    <t>AVENIDA 03, Q. 16</t>
  </si>
  <si>
    <t>Kit Cheque Moradia aprovado. Aguardando a emissão do contrato AGEHAB.
Autorizado a assinatura do contrato caixa.
PENDENTE ALIMENTAR PLANILHA DO FINANCEIRO REF SINAL PAGO NO PIX</t>
  </si>
  <si>
    <t>MP441221</t>
  </si>
  <si>
    <t>aprovação de outro cca.</t>
  </si>
  <si>
    <t>lucimardiascamargos123@gmail.com</t>
  </si>
  <si>
    <t>UNAI MG</t>
  </si>
  <si>
    <t>Setor Nordeste</t>
  </si>
  <si>
    <t>RUA SANTA LUZIA N 12</t>
  </si>
  <si>
    <t xml:space="preserve">Cliente não irá seguir pois mora em buritis e quer algo mais rapido para mudar logo, e não tem dinheiro para dar sinal para comprar algo mais proximo  </t>
  </si>
  <si>
    <t>Chatbot</t>
  </si>
  <si>
    <t>Bloco 12-0204</t>
  </si>
  <si>
    <t xml:space="preserve">4714	</t>
  </si>
  <si>
    <t>eduardoespindula.santos@gmail.com</t>
  </si>
  <si>
    <t>AVENIDA CIRCULAR Q 30 L 0</t>
  </si>
  <si>
    <t>Favor cancelar reserva. Cliente inseguro para seguir.</t>
  </si>
  <si>
    <t>Tabela FSA013</t>
  </si>
  <si>
    <t>Desinteresse em seguir no momento</t>
  </si>
  <si>
    <t xml:space="preserve">4145	</t>
  </si>
  <si>
    <t>maciel.uchiha@hotmail.com</t>
  </si>
  <si>
    <t>Parque da Colina I</t>
  </si>
  <si>
    <t>RUA I Q 105</t>
  </si>
  <si>
    <t>THAMARA RAFAELLA DE MELO SANTOS</t>
  </si>
  <si>
    <t>AGEHAB Validado.
Autorizado assinatura do contrato caixa.</t>
  </si>
  <si>
    <t>MP445022</t>
  </si>
  <si>
    <t>Bloco 13-0203</t>
  </si>
  <si>
    <t xml:space="preserve">5239	</t>
  </si>
  <si>
    <t>daiannyreiss@hotmail.com</t>
  </si>
  <si>
    <t>RUA H, Q. 85</t>
  </si>
  <si>
    <t>JOB IMOBILIARIA</t>
  </si>
  <si>
    <t>nunesdanilo7878@gmail.com</t>
  </si>
  <si>
    <t>RUA 10 N 13 SETOR BOSQUE II</t>
  </si>
  <si>
    <t>Comprador já beneficiario do subsidio.</t>
  </si>
  <si>
    <t>Seguiremos com o cancelamento cliente já beneficiario subsidio</t>
  </si>
  <si>
    <t>MP441216</t>
  </si>
  <si>
    <t>Já recebeu subsídio</t>
  </si>
  <si>
    <t>Bloco 06-0102</t>
  </si>
  <si>
    <t xml:space="preserve">3970	</t>
  </si>
  <si>
    <t>galdinodebora69@gmail.com</t>
  </si>
  <si>
    <t>LARANJEIRAS/SE</t>
  </si>
  <si>
    <t>Chácaras Quedas do Descoberto</t>
  </si>
  <si>
    <t>Quadra 42</t>
  </si>
  <si>
    <t>YVELISE FERREIRA PINHEIRO -  CLT DESLIGADA</t>
  </si>
  <si>
    <t>YVELISE FERREIRA PINHEIRO - CLT</t>
  </si>
  <si>
    <t>Tabela AGL30</t>
  </si>
  <si>
    <t>Bloco 03-0104</t>
  </si>
  <si>
    <t xml:space="preserve">4121	</t>
  </si>
  <si>
    <t>menossilva452@gmail.com</t>
  </si>
  <si>
    <t>São Benedito</t>
  </si>
  <si>
    <t>RUA 7 Q 9 L 0</t>
  </si>
  <si>
    <t>MP445023</t>
  </si>
  <si>
    <t>Bloco 11-0302</t>
  </si>
  <si>
    <t xml:space="preserve">5212	</t>
  </si>
  <si>
    <t>alexluiz19p@gmail.com</t>
  </si>
  <si>
    <t>Formosa-GO</t>
  </si>
  <si>
    <t>RUA 20 Q 39</t>
  </si>
  <si>
    <t>Não quer pagar restrição</t>
  </si>
  <si>
    <t xml:space="preserve">4505	</t>
  </si>
  <si>
    <t>LUISSPHILIPI@GMAIL.COM</t>
  </si>
  <si>
    <t>Setor Habitacional Vicente Pires</t>
  </si>
  <si>
    <t>Rua 12 Chácara 137/1</t>
  </si>
  <si>
    <t>Bloco 11-0201</t>
  </si>
  <si>
    <t xml:space="preserve">5207	</t>
  </si>
  <si>
    <t>ffire3792@gmail.com</t>
  </si>
  <si>
    <t>SETOR ABREU</t>
  </si>
  <si>
    <t>AVENIDA RIFAINA</t>
  </si>
  <si>
    <t xml:space="preserve">Bom dia!
Documentos da AGEHAB validados e ficha cadastrada no Palladio.
Aguardando assinatura do(a) cliente.
.
</t>
  </si>
  <si>
    <t>MP441218</t>
  </si>
  <si>
    <t>CLIENTE COM DIFICULDADE EM CONTACTA-LO, ESTA COM O TELEFONE ESTRAGADO.</t>
  </si>
  <si>
    <t xml:space="preserve">97	</t>
  </si>
  <si>
    <t>halfloresta@gmail.com</t>
  </si>
  <si>
    <t>SQS 403 Bloco Q Apto 307</t>
  </si>
  <si>
    <t>Fernanda Naves Mendonça</t>
  </si>
  <si>
    <t>Rafael Henrique Moreira Leal</t>
  </si>
  <si>
    <t>201457, 201477</t>
  </si>
  <si>
    <t>15/04/2026, 15/04/2026</t>
  </si>
  <si>
    <t>27/04/2026, 15/04/2026</t>
  </si>
  <si>
    <t>Google, Google</t>
  </si>
  <si>
    <t>2 Qts / 1 Suíte</t>
  </si>
  <si>
    <t xml:space="preserve">42	</t>
  </si>
  <si>
    <t>lucas.verasoliveira@gmail.com</t>
  </si>
  <si>
    <t>QNL 13 Conjunto J Casa 01</t>
  </si>
  <si>
    <t>Cauany Katharina D’Assumpção Teles Albuquerque</t>
  </si>
  <si>
    <t>Bloco 15-0002</t>
  </si>
  <si>
    <t xml:space="preserve">5275	</t>
  </si>
  <si>
    <t>kamillaemanuelle2006@gmail.com</t>
  </si>
  <si>
    <t>Parque Laguna II</t>
  </si>
  <si>
    <t>RUA PEDRO CHAVES FILHO QDA 49 LT 11</t>
  </si>
  <si>
    <t>Distrato</t>
  </si>
  <si>
    <t>Bloco 14-0101</t>
  </si>
  <si>
    <t xml:space="preserve">5251	</t>
  </si>
  <si>
    <t>mariaeduardarodrigues84680@gmail.com</t>
  </si>
  <si>
    <t>Travessa 9</t>
  </si>
  <si>
    <t>cliente solicitou cancelamento, mãe da cliente não quer deixar a cliente seguir</t>
  </si>
  <si>
    <t>MP441212</t>
  </si>
  <si>
    <t xml:space="preserve">4739	</t>
  </si>
  <si>
    <t>guuscampos2@gmail.com</t>
  </si>
  <si>
    <t>RUA DR SINVAL Q. DE OLIVEIRA, Q. 28, L. 03</t>
  </si>
  <si>
    <t>Entrega mais rápida</t>
  </si>
  <si>
    <t>MP430744</t>
  </si>
  <si>
    <t>Bloco 09-0201</t>
  </si>
  <si>
    <t xml:space="preserve">4010	</t>
  </si>
  <si>
    <t>dener.ramos@outlook.com.br</t>
  </si>
  <si>
    <t>CHACARAS ANHANGUERA B</t>
  </si>
  <si>
    <t>QUADRA 30 CHC 04 CASA</t>
  </si>
  <si>
    <t>Maysa Gabriela Gonçalves Oliveira - CLT</t>
  </si>
  <si>
    <t>Maysa CLT</t>
  </si>
  <si>
    <t>Validado na AGEHAB.
Autorizado assinatura do contrato caixa.</t>
  </si>
  <si>
    <t>dionatasousa04@gmail.com</t>
  </si>
  <si>
    <t>Lago Norte</t>
  </si>
  <si>
    <t>Setor de Mansões do Lago Norte</t>
  </si>
  <si>
    <t>SMLN MI TR 04 CH CHAPADAO LT 158-C CS 02</t>
  </si>
  <si>
    <t>Interferência de terceiros</t>
  </si>
  <si>
    <t xml:space="preserve">Boa noite, o cliente não dará seguimento, pois a esposa não tem interesse em comprar em Águas Lindas.
</t>
  </si>
  <si>
    <t xml:space="preserve">3913	</t>
  </si>
  <si>
    <t>eliezioalves59@gmail.com</t>
  </si>
  <si>
    <t>ESPERANTINOPLIS MA</t>
  </si>
  <si>
    <t>TAGUATINGA SUL</t>
  </si>
  <si>
    <t>QSA 5 LOTE 007</t>
  </si>
  <si>
    <t>Fluxo ajustado conforme aprovado.
Enviado nova Qr e aditivo confissão.</t>
  </si>
  <si>
    <t xml:space="preserve">6459	</t>
  </si>
  <si>
    <t>fellipe.dias4@gmail.com</t>
  </si>
  <si>
    <t>Colônia Agrícola Sucupira, Chácara 06, Lote 37k</t>
  </si>
  <si>
    <t>Bloco 07-0204</t>
  </si>
  <si>
    <t xml:space="preserve">3981	</t>
  </si>
  <si>
    <t>viviane.oliveira.meira.dfba@gmail.com</t>
  </si>
  <si>
    <t>BARRA - BA</t>
  </si>
  <si>
    <t>QNN 21 CJ G LT</t>
  </si>
  <si>
    <t>Parcela Mensal</t>
  </si>
  <si>
    <t>Bloco 04-0103</t>
  </si>
  <si>
    <t xml:space="preserve">4425	</t>
  </si>
  <si>
    <t>Juniormarquesjc4714353@gmail.com</t>
  </si>
  <si>
    <t xml:space="preserve">5139	</t>
  </si>
  <si>
    <t>danielle.s.p@outlook.com</t>
  </si>
  <si>
    <t>VILA PANTANAL</t>
  </si>
  <si>
    <t>RUA F, Q. 07, L. 16</t>
  </si>
  <si>
    <t>MP441214</t>
  </si>
  <si>
    <t>NÃO ASSINOU A MINUTA E NÃO ESTA MAIS RESPONDENDO O CORRETOR.</t>
  </si>
  <si>
    <t>andressavitorio45@gmail.com</t>
  </si>
  <si>
    <t>Jardim Califórnia</t>
  </si>
  <si>
    <t>Rua Eduardo José de Paiva Q 14 L 27</t>
  </si>
  <si>
    <t>CLIENTE, NÃO QUER DAR CONTINUIDADE POIS TEM MEDO DE ASSUMIR UM FINANCIAMENTO</t>
  </si>
  <si>
    <t>Troca de unidade.</t>
  </si>
  <si>
    <t>SOLICITO O CANCELAMENTO PARA TROCA DE UNIDADE, ESTA ESTA BLOQUEADA NO MOMENTO.</t>
  </si>
  <si>
    <t>cancelado, troca de unidade</t>
  </si>
  <si>
    <t>wegnonogueira5030@gmail.com</t>
  </si>
  <si>
    <t>Busca casa</t>
  </si>
  <si>
    <t>Cliente recebeu uma herança optou por comprar uma casa</t>
  </si>
  <si>
    <t>SETEMBRO 25 | FSA | PUBLICO ABERTO | Vídeo Corretora 02 | WPP + Form [7LM F</t>
  </si>
  <si>
    <t>BLOCO 16</t>
  </si>
  <si>
    <t>Bloco 16-0001</t>
  </si>
  <si>
    <t xml:space="preserve">5290	</t>
  </si>
  <si>
    <t>limalucasfsa@gmail.com</t>
  </si>
  <si>
    <t>Rua Eduardo José de Paiva Q 15 L 5</t>
  </si>
  <si>
    <t>BLOCO 18</t>
  </si>
  <si>
    <t>Bloco 18-0103</t>
  </si>
  <si>
    <t xml:space="preserve">4806	</t>
  </si>
  <si>
    <t>Solicito cancelamento para troca de unidade.</t>
  </si>
  <si>
    <t xml:space="preserve">4514	</t>
  </si>
  <si>
    <t>annabeatrizoliveirasouza2@gmail.com</t>
  </si>
  <si>
    <t>Novo espelho anexado, valor ok com o fluxo.
Segue Autorizado a assinar.</t>
  </si>
  <si>
    <t>Bloco 18-0001</t>
  </si>
  <si>
    <t xml:space="preserve">4812	</t>
  </si>
  <si>
    <t>Troca para F14\n</t>
  </si>
  <si>
    <t>Cliente trocou de empreendimento.</t>
  </si>
  <si>
    <t>Bloco 06-0201</t>
  </si>
  <si>
    <t xml:space="preserve">5137	</t>
  </si>
  <si>
    <t>evangelista2168@gmail.com</t>
  </si>
  <si>
    <t>SAO JOAO D' ALINACA - GO</t>
  </si>
  <si>
    <t>RUA A, Q. 11, L. 12</t>
  </si>
  <si>
    <t>Kit Cheque Moradia aprovado. Aguardando a emissão do contrato AGEHAB.
Autorizado a assinatura do contrato caixa.
*Pendente alimentar planilha do financeiro ref o sinal pago via Pix*</t>
  </si>
  <si>
    <t>MP441219</t>
  </si>
  <si>
    <t>Bloco 08-0004</t>
  </si>
  <si>
    <t xml:space="preserve">4198	</t>
  </si>
  <si>
    <t>rochaceline42@gmail.com</t>
  </si>
  <si>
    <t>RUA 08 NR  84 LADO 74</t>
  </si>
  <si>
    <t>MP445021</t>
  </si>
  <si>
    <t xml:space="preserve">26	</t>
  </si>
  <si>
    <t>karolinne.nogueira@gmail.com</t>
  </si>
  <si>
    <t>BRASILIA/DF</t>
  </si>
  <si>
    <t>QNO 11 Conjunto B</t>
  </si>
  <si>
    <t>Pré Atendimento</t>
  </si>
  <si>
    <t>Bloco 03-0004</t>
  </si>
  <si>
    <t xml:space="preserve">4406	</t>
  </si>
  <si>
    <t>nilma.santos@gmail.com</t>
  </si>
  <si>
    <t>Tutóia MA</t>
  </si>
  <si>
    <t>QE 7 Bloco B</t>
  </si>
  <si>
    <t>Realizado pagamento de Sinal no valor de R$500,00 no cartão de credito parcelado em cinco vezes, referente ao produto Caixa.</t>
  </si>
  <si>
    <t>Bloco 03-0303</t>
  </si>
  <si>
    <t xml:space="preserve">5090	</t>
  </si>
  <si>
    <t>jbalexandreds9714@gmail.com</t>
  </si>
  <si>
    <t>ROSA MARIA</t>
  </si>
  <si>
    <t>RUA 19 N 20A ROSA MARIA QDA 56 L 20A</t>
  </si>
  <si>
    <t>MP441210</t>
  </si>
  <si>
    <t>delemarqrodrigues1997@gmail.com</t>
  </si>
  <si>
    <t>RIACHÃO DAS NEVES - BA</t>
  </si>
  <si>
    <t>SOBRADINHO</t>
  </si>
  <si>
    <t>AR 05 CJ 08</t>
  </si>
  <si>
    <t xml:space="preserve">Pessoal, bom dia!
Tudo bem?
Solicito, por gentileza, o cancelamento das reserva #6994
Cliente não consegue arcar com uma parcela de 1.045,00 , está ficando inviável. 
micael dos santos pires
</t>
  </si>
  <si>
    <t>Painel PDV</t>
  </si>
  <si>
    <t>REstrição</t>
  </si>
  <si>
    <t>Bloco 03-0101</t>
  </si>
  <si>
    <t xml:space="preserve">4563	</t>
  </si>
  <si>
    <t xml:space="preserve">Troca de unidade. </t>
  </si>
  <si>
    <t xml:space="preserve">4089	</t>
  </si>
  <si>
    <t>vanessasousa6020@gmail.com</t>
  </si>
  <si>
    <t>Rua 10 Q.2 , L.0 N 805</t>
  </si>
  <si>
    <t>Kit Cheque Moradia aprovado. Aguardando a emissão do contrato AGEHAB.
Pendente pagamenro do sinal.
Autorizado a assinatura do contrato caixa Conforme Autorizado pelo Bruno Macario.</t>
  </si>
  <si>
    <t>MP445020</t>
  </si>
  <si>
    <t>BLOCO K</t>
  </si>
  <si>
    <t>Bloco 11-0001</t>
  </si>
  <si>
    <t xml:space="preserve">4035	</t>
  </si>
  <si>
    <t>ryanfelipeh4@gmail.com</t>
  </si>
  <si>
    <t>BARREIRA - BA</t>
  </si>
  <si>
    <t>Mansões Village</t>
  </si>
  <si>
    <t>Quadra CLC 4</t>
  </si>
  <si>
    <t>toiaaraujo5@gmail.com</t>
  </si>
  <si>
    <t>SAMAMBAIA NORTE</t>
  </si>
  <si>
    <t>QR 414 CONJUNTO 8</t>
  </si>
  <si>
    <t>Solicito o cancelamento. Motivo: Cliente não conseguiu o dependente.</t>
  </si>
  <si>
    <t>Khetllengermano602@gmail.com</t>
  </si>
  <si>
    <t>QNM 8 Conjunto D</t>
  </si>
  <si>
    <t>João Vitor Brito de Andrade - CLT</t>
  </si>
  <si>
    <t>Vai para unidade padrão</t>
  </si>
  <si>
    <t xml:space="preserve">MOTIVO DO CANCELAMENTO A CLIENTE VAI TROCAR DE UNIDADE, PARA UMA PADRÃO. </t>
  </si>
  <si>
    <t>Dependente.</t>
  </si>
  <si>
    <t>Bloco 13-0204</t>
  </si>
  <si>
    <t xml:space="preserve">5248	</t>
  </si>
  <si>
    <t>Marcosfortuoso12@gmail.com</t>
  </si>
  <si>
    <t>Setor BOSQUE</t>
  </si>
  <si>
    <t>RUA 10 QDA 9 LT 13</t>
  </si>
  <si>
    <t xml:space="preserve">Cliente não irá seguir por conta do sinal, não conseguiu para seguir </t>
  </si>
  <si>
    <t>Bloco 02-0304</t>
  </si>
  <si>
    <t xml:space="preserve">5070	</t>
  </si>
  <si>
    <t>vanessacordeiro2037@gmail.com</t>
  </si>
  <si>
    <t>RUA 05 N 20</t>
  </si>
  <si>
    <t>161845, 203280</t>
  </si>
  <si>
    <t>20/06/2025, 20/04/2026</t>
  </si>
  <si>
    <t>Ligação, Painel Corretor</t>
  </si>
  <si>
    <t>MP441209</t>
  </si>
  <si>
    <t xml:space="preserve">3962	</t>
  </si>
  <si>
    <t>gabrielguimaraex@gmail.com</t>
  </si>
  <si>
    <t>UBERLANDIA/MG</t>
  </si>
  <si>
    <t>QN 7 Área Especial</t>
  </si>
  <si>
    <t>Fabiane Bezerra Moreira Dos Santos - CLT</t>
  </si>
  <si>
    <t>Assinatura do contrato.</t>
  </si>
  <si>
    <t xml:space="preserve">5064	</t>
  </si>
  <si>
    <t>pablobastos584@gmail.com</t>
  </si>
  <si>
    <t>Paranoá</t>
  </si>
  <si>
    <t>VERMELHO</t>
  </si>
  <si>
    <t>CA B</t>
  </si>
  <si>
    <t>MP441205</t>
  </si>
  <si>
    <t>AGEAHB</t>
  </si>
  <si>
    <t xml:space="preserve">5165	</t>
  </si>
  <si>
    <t>herikacosta123@gmail.com</t>
  </si>
  <si>
    <t>PARQUE LAGOA DE FORMOSA</t>
  </si>
  <si>
    <t>R 05 Q 50</t>
  </si>
  <si>
    <t>NOV.22 | EMPREENDIMENTO | PARCELAS 475</t>
  </si>
  <si>
    <t>MP441206</t>
  </si>
  <si>
    <t>Contrato cancelados para troca de unidade.</t>
  </si>
  <si>
    <t>Bom dia
favor fazer o cancelamento dessa reserva, estamos fazendo troca de unidade, nova reserva #6984</t>
  </si>
  <si>
    <t>Bloco 10-0101</t>
  </si>
  <si>
    <t xml:space="preserve">4023	</t>
  </si>
  <si>
    <t>joseantoniogtop@gmail.com</t>
  </si>
  <si>
    <t>CEILANDIA SUL (CEILANDIA)</t>
  </si>
  <si>
    <t>SHSN CH 51 CJ A</t>
  </si>
  <si>
    <t>Brenda Mônica dos Santos - CLT DESLIGADA</t>
  </si>
  <si>
    <t xml:space="preserve">5071	</t>
  </si>
  <si>
    <t>ricktall04@gmail.com</t>
  </si>
  <si>
    <t>SÃO BENEDITO</t>
  </si>
  <si>
    <t>RUA 10, Q. 6, L. 0</t>
  </si>
  <si>
    <t>MARA IMOBILIARIA LTDA</t>
  </si>
  <si>
    <t>MP441215</t>
  </si>
  <si>
    <t xml:space="preserve">4088	</t>
  </si>
  <si>
    <t>davidalbuquerque36567@gmail.com</t>
  </si>
  <si>
    <t>SETOR BELA VISTA II</t>
  </si>
  <si>
    <t>RUA 04 Q B L 9</t>
  </si>
  <si>
    <t>ANIBAL HAMU NETO</t>
  </si>
  <si>
    <t>Lead captado através do publicação no Status do WhatsApp.</t>
  </si>
  <si>
    <t>JUNHO 25 | FSA | PUBLICO ABERTO | Comunicado GOV 03 [7LM Formosa]</t>
  </si>
  <si>
    <t>MP445019</t>
  </si>
  <si>
    <t>Bloco 10-0301</t>
  </si>
  <si>
    <t xml:space="preserve">4515	</t>
  </si>
  <si>
    <t>adrianaroque1999@gmail.com</t>
  </si>
  <si>
    <t>TERESINA\PI</t>
  </si>
  <si>
    <t>Park das Águas Bonitas II</t>
  </si>
  <si>
    <t>Quadra 4</t>
  </si>
  <si>
    <t>Ação Externa</t>
  </si>
  <si>
    <t>MP419695</t>
  </si>
  <si>
    <t>Bloco 10-0003</t>
  </si>
  <si>
    <t xml:space="preserve">4527	</t>
  </si>
  <si>
    <t>alvamatheus72@gmail.com</t>
  </si>
  <si>
    <t>QNO 17 Conjunto 10</t>
  </si>
  <si>
    <t xml:space="preserve">5347	</t>
  </si>
  <si>
    <t>elielsilvarodrigues975@gmail.com</t>
  </si>
  <si>
    <t>CAROLINA/MA</t>
  </si>
  <si>
    <t>TAGUATINGA</t>
  </si>
  <si>
    <t>CA V.PIRES MD 29/31 BL 03 AP 107 EXP</t>
  </si>
  <si>
    <t>Epelho validado.
Autorizado assinatura.</t>
  </si>
  <si>
    <t>Filipemengo07@gmail.com</t>
  </si>
  <si>
    <t>CHACARA  Núcleo Rural</t>
  </si>
  <si>
    <t xml:space="preserve">Cliente não apto a seguir com o financiamento junto a CEF. </t>
  </si>
  <si>
    <t xml:space="preserve">O cliente saiu do atual emprego e, no momento, não possui outra renda para financiamento.
</t>
  </si>
  <si>
    <t>Pendente dependente.</t>
  </si>
  <si>
    <t xml:space="preserve">5455	</t>
  </si>
  <si>
    <t>fdenisbrasil@gmail.com</t>
  </si>
  <si>
    <t>BOM JESUS/PI</t>
  </si>
  <si>
    <t>CNF AE F NORTE APARTAMENTO 105</t>
  </si>
  <si>
    <t xml:space="preserve">4500	</t>
  </si>
  <si>
    <t>cayojoel13@GMAIL.COM</t>
  </si>
  <si>
    <t>Novo Gama</t>
  </si>
  <si>
    <t>GRANDE VALE</t>
  </si>
  <si>
    <t>RUA 07 Q 06</t>
  </si>
  <si>
    <t xml:space="preserve">4409	</t>
  </si>
  <si>
    <t>ELIENECANUTODASILVA24@gmail.com</t>
  </si>
  <si>
    <t>JARDIM DOS PINHEIROS</t>
  </si>
  <si>
    <t>Q 10 L 18 CASA 03</t>
  </si>
  <si>
    <t xml:space="preserve">4099	</t>
  </si>
  <si>
    <t>aparecidaferreiradacostaludmil@gmail.com</t>
  </si>
  <si>
    <t>Vila Carolina</t>
  </si>
  <si>
    <t>Rua 1 QD B CS 3</t>
  </si>
  <si>
    <t>MP445018</t>
  </si>
  <si>
    <t>Bloco 05-0202</t>
  </si>
  <si>
    <t xml:space="preserve">5112	</t>
  </si>
  <si>
    <t>emilly18sousa22@gmail.com</t>
  </si>
  <si>
    <t>RUA 66, Q. 14-A, L. 19-A</t>
  </si>
  <si>
    <t>MP441207</t>
  </si>
  <si>
    <t>Bloco 10-0103</t>
  </si>
  <si>
    <t xml:space="preserve">4529	</t>
  </si>
  <si>
    <t>Ludmilasouzasantos90@gmail.com</t>
  </si>
  <si>
    <t>Quadra 6 LT 08</t>
  </si>
  <si>
    <t>Milene de Almeida Lima - CLT</t>
  </si>
  <si>
    <t>MP419697</t>
  </si>
  <si>
    <t>para troca de empreendimento.</t>
  </si>
  <si>
    <t>solicito o cancelamento da reserva, para troc de empreendimento.</t>
  </si>
  <si>
    <t xml:space="preserve">5411	</t>
  </si>
  <si>
    <t>alemarfilipe@gmail.com</t>
  </si>
  <si>
    <t>Brasilia - DF</t>
  </si>
  <si>
    <t>Colônia Agrícola Águas Claras Chácara 11 Casa 06</t>
  </si>
  <si>
    <t>José Alberto Silva Calheiros</t>
  </si>
  <si>
    <t>Declaração e recibo do IR 2025/2026 anexados.</t>
  </si>
  <si>
    <t>Bloco 16-0103</t>
  </si>
  <si>
    <t xml:space="preserve">5284	</t>
  </si>
  <si>
    <t>ricardoemidio07@gmail.com</t>
  </si>
  <si>
    <t>Rua 10-A</t>
  </si>
  <si>
    <t>Kit Cheque Moradia aprovado. Aguardando a emissão do contrato AGEHAB..
Autorizado a assinatura do contrato caixa.</t>
  </si>
  <si>
    <t>MP441204</t>
  </si>
  <si>
    <t>Bloco 04-0004</t>
  </si>
  <si>
    <t xml:space="preserve">4594	</t>
  </si>
  <si>
    <t>italobittencourts2@gmail.com</t>
  </si>
  <si>
    <t>SALINAS - MG</t>
  </si>
  <si>
    <t>SETOR LESTE ( GAMA )</t>
  </si>
  <si>
    <t>ST L Q 03</t>
  </si>
  <si>
    <t xml:space="preserve">Opa boa tarde! comprovante do do pix de 5.500,00 anexado </t>
  </si>
  <si>
    <t>MP430743</t>
  </si>
  <si>
    <t>Bloco 10-0001</t>
  </si>
  <si>
    <t xml:space="preserve">4519	</t>
  </si>
  <si>
    <t>willianraimon.x1@gmail.com</t>
  </si>
  <si>
    <t>ROLANTE-RS</t>
  </si>
  <si>
    <t>Bloco 14-0104</t>
  </si>
  <si>
    <t xml:space="preserve">5263	</t>
  </si>
  <si>
    <t>lucasrbdsz@gmail.com</t>
  </si>
  <si>
    <t>RUA 19</t>
  </si>
  <si>
    <t>Bueno Imoveis LTDA.</t>
  </si>
  <si>
    <t>MP441203</t>
  </si>
  <si>
    <t>falta declaração de dependentes</t>
  </si>
  <si>
    <t>Bloco 03-0202</t>
  </si>
  <si>
    <t xml:space="preserve">5078	</t>
  </si>
  <si>
    <t>farinhaantonio82@gmail.com</t>
  </si>
  <si>
    <t>JK-GO</t>
  </si>
  <si>
    <t>AVENIDA POSTO AGROPECUARIA, Q. 2, L. 23</t>
  </si>
  <si>
    <t>MP441202</t>
  </si>
  <si>
    <t xml:space="preserve">3878	</t>
  </si>
  <si>
    <t>mattheusx125@gmail.com</t>
  </si>
  <si>
    <t>Quadra 300 Conjunto 20</t>
  </si>
  <si>
    <t>MORA IMOVEIS LTDA</t>
  </si>
  <si>
    <t>IMOBILIÁRIA</t>
  </si>
  <si>
    <t xml:space="preserve">5094	</t>
  </si>
  <si>
    <t>troca de unidade.</t>
  </si>
  <si>
    <t>SOLICITO O CANCELAMENTO PARA TROCA DE UNIDADE</t>
  </si>
  <si>
    <t>TROCA DE UNIDADE</t>
  </si>
  <si>
    <t>Iurysantos611@gmail.com</t>
  </si>
  <si>
    <t>SETOR BOSQUE II</t>
  </si>
  <si>
    <t>RUA 09, Q. 15</t>
  </si>
  <si>
    <t>O cliente desisitu da compra, ia comprar para pagar junto com a namorada, mas a mesma teve um problema financeiro e por isso desistiram. Não consegue manter sozinho no momento, pq ja tem compromisso alto com parcelas de um carro. Vai comprar mais para frente.</t>
  </si>
  <si>
    <t>DESISTIU</t>
  </si>
  <si>
    <t>millenefernandes123@gmail.com</t>
  </si>
  <si>
    <t>ALVORADA DO NORTE GO</t>
  </si>
  <si>
    <t>Rua H QD 120 L 5K</t>
  </si>
  <si>
    <t>Cliente com FI ativo.</t>
  </si>
  <si>
    <t>SOLICITO CANCELAMENTO CLIENTE POSSUI FINANCIMANTO ATIVO</t>
  </si>
  <si>
    <t>38881, 66870</t>
  </si>
  <si>
    <t>10/10/2020, 24/12/2021</t>
  </si>
  <si>
    <t>02/05/2022, 28/05/2026</t>
  </si>
  <si>
    <t>Painel Gestor, Painel Gestor</t>
  </si>
  <si>
    <t>Ligação, Facebook</t>
  </si>
  <si>
    <t>MP430741</t>
  </si>
  <si>
    <t xml:space="preserve">3721	</t>
  </si>
  <si>
    <t>cleide.fpaixao@gmail.com</t>
  </si>
  <si>
    <t>Jardim Oliveira</t>
  </si>
  <si>
    <t>RUA 06 N 109</t>
  </si>
  <si>
    <t>JOCICLEIDE FERREIRA DA PAIXAO - DESLIGADA</t>
  </si>
  <si>
    <t>JOCICLEIDE FERREIRA DA PAIXAO</t>
  </si>
  <si>
    <t>Cliente com SICOL não consegue abrir a conta não irá seguir.</t>
  </si>
  <si>
    <t xml:space="preserve">Cliente com SICOL não consegue abrir a conta não irá seguir </t>
  </si>
  <si>
    <t>GRUPO DE WHATSAPP</t>
  </si>
  <si>
    <t>MP444513</t>
  </si>
  <si>
    <t>Bloco 16-0203</t>
  </si>
  <si>
    <t xml:space="preserve">5287	</t>
  </si>
  <si>
    <t>iasmynvictoria053@gmail.com</t>
  </si>
  <si>
    <t>LAGOA DOS SANTOS</t>
  </si>
  <si>
    <t>RUA 07 Q 11 L 4</t>
  </si>
  <si>
    <t>MP441228</t>
  </si>
  <si>
    <t xml:space="preserve">41	</t>
  </si>
  <si>
    <t>jeffersonscr@gmail.com</t>
  </si>
  <si>
    <t>QN 5 Conjunto 18 05</t>
  </si>
  <si>
    <t>wpereiralima317@gmail.com</t>
  </si>
  <si>
    <t>GOIANIA GO</t>
  </si>
  <si>
    <t>São José</t>
  </si>
  <si>
    <t>Quadra 26 A</t>
  </si>
  <si>
    <t>EMMANUELY FERNANDA DO NASCIMENTO - DESLIGADA</t>
  </si>
  <si>
    <t>EMMANUELY FERNANDA DO NASCIMENTO</t>
  </si>
  <si>
    <t>Boa tarde
solicito cancelamento, cliente esta com pendencia interna, o mesmo negociou a divida com parcelamento, e ate o atual momento a divida ainda consta no sistema, assim que sair iremos verificar se o cliente possui inteeresse de seguir com a compra.</t>
  </si>
  <si>
    <t>MAIO 25 | FSA | PUBLICO SEMELHANTE | Vídeo MCMV 02 [7LM Formosa]</t>
  </si>
  <si>
    <t xml:space="preserve">4730	</t>
  </si>
  <si>
    <t>guitwd54@gmail.com</t>
  </si>
  <si>
    <t>GUARAJA MIRIM  RO</t>
  </si>
  <si>
    <t>Parque Serrano</t>
  </si>
  <si>
    <t>RUA 10 QDA 02 LT 23</t>
  </si>
  <si>
    <t>MP430740</t>
  </si>
  <si>
    <t xml:space="preserve">EMPREENDIMENTO CORRETO VILA LOTUS </t>
  </si>
  <si>
    <t xml:space="preserve">5027	</t>
  </si>
  <si>
    <t>projetohack@gmail.com</t>
  </si>
  <si>
    <t>TAGUATINGA NORTE</t>
  </si>
  <si>
    <t>QNN 38 CONJUNTO I</t>
  </si>
  <si>
    <t>Mendestatiane934@gmail.com</t>
  </si>
  <si>
    <t>Engenho das Lages (Gama)</t>
  </si>
  <si>
    <t>Rua São José</t>
  </si>
  <si>
    <t xml:space="preserve">A cliente mora no Recanto das Emas e não dará seguimento, pois considerou a localização muito distante e toda a família dela está no DF.
</t>
  </si>
  <si>
    <t>CANCELAMENTO.</t>
  </si>
  <si>
    <t>Bloco 07-0301</t>
  </si>
  <si>
    <t xml:space="preserve">4479	</t>
  </si>
  <si>
    <t>DENISAUGUSTOJUNIOR98@GMAIL.COM</t>
  </si>
  <si>
    <t>CHACARAS COIMBRA</t>
  </si>
  <si>
    <t>RUA SETOR COIMBRA QD 02 LT 02</t>
  </si>
  <si>
    <t xml:space="preserve">4983	</t>
  </si>
  <si>
    <t>mateusbarbosa85461@gmail.com.br</t>
  </si>
  <si>
    <t>PICOS/PI</t>
  </si>
  <si>
    <t>Santa Maria</t>
  </si>
  <si>
    <t>SANTA MARIA</t>
  </si>
  <si>
    <t>QR 215 CJ E AP 101</t>
  </si>
  <si>
    <t xml:space="preserve">4976	</t>
  </si>
  <si>
    <t>deboratrindade62@gmail.com</t>
  </si>
  <si>
    <t>TASSO FRAGOSO - MA</t>
  </si>
  <si>
    <t>QNL 16 CJ F LT 24/26</t>
  </si>
  <si>
    <t>Bloco 09-0203</t>
  </si>
  <si>
    <t xml:space="preserve">4663	</t>
  </si>
  <si>
    <t>railson.valdinar@gmail.com</t>
  </si>
  <si>
    <t>ALOGOINHA DO PIAUI-PI</t>
  </si>
  <si>
    <t>Setor Primavera</t>
  </si>
  <si>
    <t>Avenida SHIS 114</t>
  </si>
  <si>
    <t>Bloco 02-0201</t>
  </si>
  <si>
    <t xml:space="preserve">5381	</t>
  </si>
  <si>
    <t>angelineresende@gmail.com</t>
  </si>
  <si>
    <t>SHS CHÁCARA 143A LOTE 33 CD ST LUZIA</t>
  </si>
  <si>
    <t>Espelho validado.
Autorizado assinatura CEF.</t>
  </si>
  <si>
    <t>Instagran</t>
  </si>
  <si>
    <t>RDSTATION</t>
  </si>
  <si>
    <t xml:space="preserve">4482	</t>
  </si>
  <si>
    <t>viniciuscoriolanopaiva@gmail.com</t>
  </si>
  <si>
    <t>JARDIM AMERICA IV</t>
  </si>
  <si>
    <t>Q 54</t>
  </si>
  <si>
    <t xml:space="preserve">Bom dia, por gentileza cancelar esta reserva, cliente escolheu outra unidade. 
Douglas Silva - Assistente do Crédito. 
         CRECI-GO 39929
       F&amp;amp;W: 61 98657-0469
</t>
  </si>
  <si>
    <t xml:space="preserve">3990	</t>
  </si>
  <si>
    <t>GISELLE.ANDRADE123@HOTMAIL.COM</t>
  </si>
  <si>
    <t>JARDIM OLIVEIRA 1</t>
  </si>
  <si>
    <t>Q 17 L 01/02</t>
  </si>
  <si>
    <t>Autorizado pelo Taveira(sobrepreço)</t>
  </si>
  <si>
    <t xml:space="preserve">5061	</t>
  </si>
  <si>
    <t>lorranyrocha994@gmail.com</t>
  </si>
  <si>
    <t>Q L RUA 05</t>
  </si>
  <si>
    <t>MP441201</t>
  </si>
  <si>
    <t>FALTA VINCULO 3 ANOS</t>
  </si>
  <si>
    <t xml:space="preserve">5101	</t>
  </si>
  <si>
    <t>felipebaiano89@gmail.com</t>
  </si>
  <si>
    <t>VARZEA DA ROCA BA</t>
  </si>
  <si>
    <t>Rua 10</t>
  </si>
  <si>
    <t>MP441198</t>
  </si>
  <si>
    <t>Bloco 16-0002</t>
  </si>
  <si>
    <t xml:space="preserve">4784	</t>
  </si>
  <si>
    <t>joaovitor38691@gmail.com</t>
  </si>
  <si>
    <t>SSP BA</t>
  </si>
  <si>
    <t>RUA 07, Q. 7, L. 23 - KIT 02</t>
  </si>
  <si>
    <t>autorizada assinatura do contrato caixa.</t>
  </si>
  <si>
    <t>MP430738</t>
  </si>
  <si>
    <t xml:space="preserve">47	</t>
  </si>
  <si>
    <t>bm.daniel.brito@gmail.com</t>
  </si>
  <si>
    <t>Brasilia- DF</t>
  </si>
  <si>
    <t>QNP 10 Conjunto H</t>
  </si>
  <si>
    <t>Bloco 10-0204</t>
  </si>
  <si>
    <t xml:space="preserve">5189	</t>
  </si>
  <si>
    <t>torresemilly17@gmail.com</t>
  </si>
  <si>
    <t>RUA 7 QDA 7 LT 23 KIT 02</t>
  </si>
  <si>
    <t>MAIO 25 | PUBLICO ABERTO | FSA | VIDEO MCMV</t>
  </si>
  <si>
    <t xml:space="preserve">5143	</t>
  </si>
  <si>
    <t>mariaeduardanogueira060305@gmail.com</t>
  </si>
  <si>
    <t>RUA ANHANGUERA, APART - 601</t>
  </si>
  <si>
    <t>MP441199</t>
  </si>
  <si>
    <t>KIT CAIXA OK</t>
  </si>
  <si>
    <t xml:space="preserve">4957	</t>
  </si>
  <si>
    <t>EDUARDOLPC92@GMAIL.COM</t>
  </si>
  <si>
    <t>Cidade Ocidental</t>
  </si>
  <si>
    <t>JARDIM ABC</t>
  </si>
  <si>
    <t>Q. 66 LOTE A</t>
  </si>
  <si>
    <t>Bloco 02-0204</t>
  </si>
  <si>
    <t xml:space="preserve">5066	</t>
  </si>
  <si>
    <t>mayconhenrique1@gmail.com</t>
  </si>
  <si>
    <t>SETOR SUL</t>
  </si>
  <si>
    <t>TRAV JUVENAL ALMEIDA Q C L 09</t>
  </si>
  <si>
    <t>Lucas Paulo Marques Pinto - CLT</t>
  </si>
  <si>
    <t xml:space="preserve">Apresentar fiador com nome limpo.
</t>
  </si>
  <si>
    <t>MP441200</t>
  </si>
  <si>
    <t>Sem fiador</t>
  </si>
  <si>
    <t xml:space="preserve">46	</t>
  </si>
  <si>
    <t>dhanieldacruz@gmail.com</t>
  </si>
  <si>
    <t>Setor Meireles (Santa Maria)</t>
  </si>
  <si>
    <t>Rua 200 Lote 201</t>
  </si>
  <si>
    <t>Ferreirathatielle@gmail.com</t>
  </si>
  <si>
    <t>Minas Gerais</t>
  </si>
  <si>
    <t>Unaí</t>
  </si>
  <si>
    <t>DOM BOSCO</t>
  </si>
  <si>
    <t>RUA BENEDITA FÉLIX BARBOSA 38613-118</t>
  </si>
  <si>
    <t>Favor cancelar reserva. Cliente desistiu pois achou o plano comercial pesado.</t>
  </si>
  <si>
    <t>Site</t>
  </si>
  <si>
    <t>Pensando em desistir</t>
  </si>
  <si>
    <t>Bloco 01-0504</t>
  </si>
  <si>
    <t xml:space="preserve">5366	</t>
  </si>
  <si>
    <t>leorodriguesdedeus@gmail.com</t>
  </si>
  <si>
    <t>CARMO DE PARANAIBA - MG</t>
  </si>
  <si>
    <t>Rua 37</t>
  </si>
  <si>
    <t>Espelho validado,
Autorizado assinatura.</t>
  </si>
  <si>
    <t xml:space="preserve">6451	</t>
  </si>
  <si>
    <t>VANESCA25@GMAIL.COM</t>
  </si>
  <si>
    <t>BRASILEIRA</t>
  </si>
  <si>
    <t>QS 5 Rua 861</t>
  </si>
  <si>
    <t>A parcela de sinal no valor de 74.829,16, deste contrato, refere-se ao reaproveitamento de saldo do distrato da unidade 1101. Podemos solicitar a baixa no financeiro o distrato já está assinado pela cliente.</t>
  </si>
  <si>
    <t>André Alberth Fischer Henz</t>
  </si>
  <si>
    <t xml:space="preserve">5087	</t>
  </si>
  <si>
    <t>herculessantosdejesus5@gmail.com</t>
  </si>
  <si>
    <t>PARQUE DA COLINA</t>
  </si>
  <si>
    <t>RUA H, Q. 111</t>
  </si>
  <si>
    <t>MP441208</t>
  </si>
  <si>
    <t>CLIENTE PAGOU AS PENDENCIAS, ENVIADO PARA CONFORMIDADE</t>
  </si>
  <si>
    <t xml:space="preserve">4459	</t>
  </si>
  <si>
    <t>ls1341272@gmail.com</t>
  </si>
  <si>
    <t>RUA 10A Q 27 L 01</t>
  </si>
  <si>
    <t xml:space="preserve">4888	</t>
  </si>
  <si>
    <t>alicecar064@gmail.com</t>
  </si>
  <si>
    <t>ESPERANTINA PI</t>
  </si>
  <si>
    <t>Mansões Olinda</t>
  </si>
  <si>
    <t>QA 8 LOTE 06</t>
  </si>
  <si>
    <t>Bloco 10-0102</t>
  </si>
  <si>
    <t xml:space="preserve">5036	</t>
  </si>
  <si>
    <t>ELIASJOAO803@GMAIL.COM</t>
  </si>
  <si>
    <t>PICOS PI</t>
  </si>
  <si>
    <t>PLANALTINA</t>
  </si>
  <si>
    <t>RUA MR 2 NORTE NR QUADRA 9</t>
  </si>
  <si>
    <t xml:space="preserve">Bom dia, por favor cancelar, cliente perdeu o emprego. 
Douglas Silva - Assistente do Crédito. 
         CRECI-GO 39929
       F&amp;amp;W: 61 98657-0469
</t>
  </si>
  <si>
    <t xml:space="preserve">5414	</t>
  </si>
  <si>
    <t>tainaluiseazevedodesousa@gmail.com</t>
  </si>
  <si>
    <t>SHA CONJUNTO 05 CHÁCARA 47 CONJUNTO C LOTE 06</t>
  </si>
  <si>
    <t>Bloco 05-0104</t>
  </si>
  <si>
    <t xml:space="preserve">3945	</t>
  </si>
  <si>
    <t>bavi0454@gmail.com</t>
  </si>
  <si>
    <t>Quadra 3 LT 44</t>
  </si>
  <si>
    <t>adairlenemagalhaes0@gmail.com</t>
  </si>
  <si>
    <t>JABORANDIR BA</t>
  </si>
  <si>
    <t>RUA 7 , Q.9 , L.0 , N 101</t>
  </si>
  <si>
    <t xml:space="preserve">Boa tarde.
Solicito cancelamento, cliente nao possui dependente, fiador e o sinal. </t>
  </si>
  <si>
    <t>AGUARDANDO CERTIDAO DE NASCIMENTO</t>
  </si>
  <si>
    <t xml:space="preserve">5226	</t>
  </si>
  <si>
    <t>izabelakarla24@gmail.com</t>
  </si>
  <si>
    <t>Rua 12 Q 20 L 14</t>
  </si>
  <si>
    <t>Kit Cheque Moradia aprovado. Aguardando a emissão do contrato AGEHAB.
Pendente pagamento da diferença do sinal.
Autorizado a assinatura do contrato caixa Conforme autorizado pelo Bruno Macario.</t>
  </si>
  <si>
    <t>155170, 200284</t>
  </si>
  <si>
    <t>07/04/2025, 09/04/2026</t>
  </si>
  <si>
    <t xml:space="preserve">17/03/2026, </t>
  </si>
  <si>
    <t>Sem conversão, Painel Corretor</t>
  </si>
  <si>
    <t>17/03/2026, 09/04/2026</t>
  </si>
  <si>
    <t xml:space="preserve">4660	</t>
  </si>
  <si>
    <t>brunouf123456@gmail.com</t>
  </si>
  <si>
    <t>PLANALTINA DE GOIAS</t>
  </si>
  <si>
    <t>RUA MARIA CARLOS GUIMARAES QDA 58 L 7</t>
  </si>
  <si>
    <t>LETICIA LORRANNY SANTOS DOURADO</t>
  </si>
  <si>
    <t>MP430737</t>
  </si>
  <si>
    <t>Aguardando comitê. Pendente entrevista</t>
  </si>
  <si>
    <t>BLOCO 20</t>
  </si>
  <si>
    <t>Bloco 20-0001</t>
  </si>
  <si>
    <t xml:space="preserve">4844	</t>
  </si>
  <si>
    <t>gaby10151718@gmail.com</t>
  </si>
  <si>
    <t>IRECE-BA</t>
  </si>
  <si>
    <t>AVENIDA A Q 84</t>
  </si>
  <si>
    <t>Favor cancelar reserva. Cliente não tem interesse em limpar o nome no momento.</t>
  </si>
  <si>
    <t>Bloco 13-0001</t>
  </si>
  <si>
    <t xml:space="preserve">4735	</t>
  </si>
  <si>
    <t>Bloco 10-0004</t>
  </si>
  <si>
    <t xml:space="preserve">5035	</t>
  </si>
  <si>
    <t>Larissafloci@gmail.com</t>
  </si>
  <si>
    <t xml:space="preserve">A cliente, optou por espera o esposo voltar da Irlanda do norte e só vai fazer a aquisição no final  do ano. </t>
  </si>
  <si>
    <t>Bloco 12-0303</t>
  </si>
  <si>
    <t xml:space="preserve">5229	</t>
  </si>
  <si>
    <t>azulim0123456789@gmail.com</t>
  </si>
  <si>
    <t>Formosa - GO</t>
  </si>
  <si>
    <t>RUA A Q 166B L 6</t>
  </si>
  <si>
    <t>MP441194</t>
  </si>
  <si>
    <t>Bloco 11-0202</t>
  </si>
  <si>
    <t xml:space="preserve">4694	</t>
  </si>
  <si>
    <t>euvicodes@gmail.com</t>
  </si>
  <si>
    <t>Jardim Triângulo</t>
  </si>
  <si>
    <t>RUA 03 Q 13 L 19</t>
  </si>
  <si>
    <t>MP430746</t>
  </si>
  <si>
    <t xml:space="preserve">5352	</t>
  </si>
  <si>
    <t>ludmillasouza90@gmail.com</t>
  </si>
  <si>
    <t>Samambaia Norte (Samambaia)</t>
  </si>
  <si>
    <t>QN 209 Conjunto 2</t>
  </si>
  <si>
    <t>Autorizado assinatura.</t>
  </si>
  <si>
    <t>Não Definido</t>
  </si>
  <si>
    <t xml:space="preserve">5190	</t>
  </si>
  <si>
    <t>fradeslimaandressa99@gmail.com</t>
  </si>
  <si>
    <t>CHACARAS ABREU</t>
  </si>
  <si>
    <t>Rua A QDA A LT 02 N 94</t>
  </si>
  <si>
    <t>Autorizado assinatura CEF.</t>
  </si>
  <si>
    <t>MP441193</t>
  </si>
  <si>
    <t>Bloco 15-0001</t>
  </si>
  <si>
    <t xml:space="preserve">5274	</t>
  </si>
  <si>
    <t>jhonesedu@gmail.com</t>
  </si>
  <si>
    <t>SAO VICENTE</t>
  </si>
  <si>
    <t>RUA 6</t>
  </si>
  <si>
    <t>ERAF Corretora de Imóveis Eireli</t>
  </si>
  <si>
    <t>ERAF Imob</t>
  </si>
  <si>
    <t>MP441197</t>
  </si>
  <si>
    <t xml:space="preserve">5111	</t>
  </si>
  <si>
    <t>wellcosta596@gmail.com</t>
  </si>
  <si>
    <t>PROGRESSO</t>
  </si>
  <si>
    <t>RUA CEZARIO MARTINS</t>
  </si>
  <si>
    <t>Aguardando analise da AGEHAB.
Não autorizada assinatura do contrato caixa.</t>
  </si>
  <si>
    <t>MP441190</t>
  </si>
  <si>
    <t>Bloco 16-0102</t>
  </si>
  <si>
    <t xml:space="preserve">5294	</t>
  </si>
  <si>
    <t>sara.can.fernandes@gmail.com</t>
  </si>
  <si>
    <t>PARQUE SAO JOAO</t>
  </si>
  <si>
    <t>RUA GIL BRANDAO, Q. 1, L 0</t>
  </si>
  <si>
    <t>apartamentoemformosa</t>
  </si>
  <si>
    <t>MP441196</t>
  </si>
  <si>
    <t>formularios caixa ja assinados, falta declaração de dependentes</t>
  </si>
  <si>
    <t>Bloco 02-0004</t>
  </si>
  <si>
    <t xml:space="preserve">4907	</t>
  </si>
  <si>
    <t>mariadosremediossilvadf@gmail.com</t>
  </si>
  <si>
    <t>PARQUE DA BARRAGEM SETOR 1</t>
  </si>
  <si>
    <t>QUADRA 50 CONJUNTO A LOTE 02</t>
  </si>
  <si>
    <t xml:space="preserve">4978	</t>
  </si>
  <si>
    <t>robsonmoreirademelo7@gmail.com</t>
  </si>
  <si>
    <t>SETOR 2</t>
  </si>
  <si>
    <t>QD 31 CJ B</t>
  </si>
  <si>
    <t>MARÇO 26 | PUBLICO ABERTO | Educativo Azul [7LM AGL]</t>
  </si>
  <si>
    <t>Tabela AGL33</t>
  </si>
  <si>
    <t>Pendente vinculo da Ageabh.</t>
  </si>
  <si>
    <t>Bloco 15-0004</t>
  </si>
  <si>
    <t xml:space="preserve">5277	</t>
  </si>
  <si>
    <t>ritanyoliveira0@gmail.com</t>
  </si>
  <si>
    <t>SERRA DOURADA - BA</t>
  </si>
  <si>
    <t>JARDIM BELA VISTA</t>
  </si>
  <si>
    <t>RUA 11 NR 02-A JARDIM BELA VISTA Q 01 L 02</t>
  </si>
  <si>
    <t>NOV.22 | FSA  | PISCINA | ATÉ 60X</t>
  </si>
  <si>
    <t>MP441184</t>
  </si>
  <si>
    <t>leonardo@confixcorretora.com.br</t>
  </si>
  <si>
    <t>Taguatinga Centro (Taguatinga)</t>
  </si>
  <si>
    <t>SHVP R 12 CH 309 LT 1A, APT 509</t>
  </si>
  <si>
    <t xml:space="preserve">4676	</t>
  </si>
  <si>
    <t>joaopedroguia969@gmail.com</t>
  </si>
  <si>
    <t>RUA SEM NOME Q. 5</t>
  </si>
  <si>
    <t>MP430736</t>
  </si>
  <si>
    <t>colhendo doc</t>
  </si>
  <si>
    <t xml:space="preserve">3953	</t>
  </si>
  <si>
    <t>anajuliacandidodasilva56@gmail.com</t>
  </si>
  <si>
    <t>Mansões Ilha Bela</t>
  </si>
  <si>
    <t>Quadra 22</t>
  </si>
  <si>
    <t>AGL025</t>
  </si>
  <si>
    <t>AGL25 - BL04 APT 102</t>
  </si>
  <si>
    <t xml:space="preserve">5307	</t>
  </si>
  <si>
    <t>joiceoliver882@gmail.com</t>
  </si>
  <si>
    <t>Salvador -BA</t>
  </si>
  <si>
    <t>Vila Isabel</t>
  </si>
  <si>
    <t>Rua 66 Etapa I JARDIM CÉU AZUL, Q 99, L 20B casa 2</t>
  </si>
  <si>
    <t>SATELITE IMOB</t>
  </si>
  <si>
    <t xml:space="preserve">Boa tarde! 
Por favor, cancelar a reserva. segundo a imobiliária, a cliente informou que por motivos de saúde, decidiu por não dar continuidade no processo de compra do imóvel. Por favor prosseguir com o cancelamento e ressarcimento do valor pago de sinal/Entrada. 
Francisco Lucielio de Queiroz
</t>
  </si>
  <si>
    <t>Robson Paulo</t>
  </si>
  <si>
    <t xml:space="preserve">4400	</t>
  </si>
  <si>
    <t>welleycosta49@gmail.com</t>
  </si>
  <si>
    <t>SETOR 16</t>
  </si>
  <si>
    <t>Q. 126 CONJUNTO A</t>
  </si>
  <si>
    <t>Bloco 02-0203</t>
  </si>
  <si>
    <t xml:space="preserve">5065	</t>
  </si>
  <si>
    <t>Wtfquel21@gmail.com</t>
  </si>
  <si>
    <t>CAMPOS BELOS - GO</t>
  </si>
  <si>
    <t>Chácaras Setor Abreu</t>
  </si>
  <si>
    <t>VIA 12 QD 76A</t>
  </si>
  <si>
    <t>MP441192</t>
  </si>
  <si>
    <t>COLHENDO DOC.</t>
  </si>
  <si>
    <t>dedani70@gmail.com</t>
  </si>
  <si>
    <t>PALMAS-TO</t>
  </si>
  <si>
    <t>AVENIDA CIRCULAR Q 05 L 14</t>
  </si>
  <si>
    <t>MP441185</t>
  </si>
  <si>
    <t xml:space="preserve">5021	</t>
  </si>
  <si>
    <t>janavk56@gmail.com</t>
  </si>
  <si>
    <t>QUADRA 67 CONJUNTO B LOTE 03</t>
  </si>
  <si>
    <t>Solicito cancelamento da Venda, cliente não tem mais interesse.</t>
  </si>
  <si>
    <t xml:space="preserve">4965	</t>
  </si>
  <si>
    <t>rayanesilva2420@gmail.com</t>
  </si>
  <si>
    <t>Quadra 202 Conjunto 7 Lote 05 Kit 02</t>
  </si>
  <si>
    <t>kell.carvalho@icloud.com</t>
  </si>
  <si>
    <t>RUA 13, Q 1, L 5, SETOR F</t>
  </si>
  <si>
    <t>Leonard Luis Mogena Perez - CLT DESLIGADO</t>
  </si>
  <si>
    <t xml:space="preserve">Solicito Cancelamento, Cliente desistiu.
Patrícia Cristina
</t>
  </si>
  <si>
    <t>Bloco 13-0304</t>
  </si>
  <si>
    <t xml:space="preserve">5241	</t>
  </si>
  <si>
    <t>Gabrielpereirakamai22@gmail.com</t>
  </si>
  <si>
    <t>Rua MARACANA QDA 21</t>
  </si>
  <si>
    <t>MP441180</t>
  </si>
  <si>
    <t>GABY0712.OLIVEIRA@gmail.com</t>
  </si>
  <si>
    <t>QNN 2 Conjunto E Casa 45</t>
  </si>
  <si>
    <t>Bloco 03-0204</t>
  </si>
  <si>
    <t xml:space="preserve">5088	</t>
  </si>
  <si>
    <t>johnatan866@gmail.com</t>
  </si>
  <si>
    <t>BURITIS MG</t>
  </si>
  <si>
    <t>Buritis</t>
  </si>
  <si>
    <t>RUA FLORESTA 1443 CS CENTRO BURITIS - MG</t>
  </si>
  <si>
    <t>MP441191</t>
  </si>
  <si>
    <t xml:space="preserve">5046	</t>
  </si>
  <si>
    <t>diego.antonio.farias1299@gmail.com</t>
  </si>
  <si>
    <t>RUA 1</t>
  </si>
  <si>
    <t>MP441188</t>
  </si>
  <si>
    <t xml:space="preserve">43	</t>
  </si>
  <si>
    <t>thaissa_araujo27@hotmail.com</t>
  </si>
  <si>
    <t>SHA Conjunto 5 Chácara 48 Lote 15</t>
  </si>
  <si>
    <t>Pedro Higor Candeias</t>
  </si>
  <si>
    <t xml:space="preserve">111	</t>
  </si>
  <si>
    <t>felipethiago1122@hotmail.com</t>
  </si>
  <si>
    <t>QE 40 Conjunto D APT 204</t>
  </si>
  <si>
    <t xml:space="preserve">4026	</t>
  </si>
  <si>
    <t>magalhaesanalavinia@gmail.com</t>
  </si>
  <si>
    <t>TERESINA - PI</t>
  </si>
  <si>
    <t>QUADRA 03 LOTE 44</t>
  </si>
  <si>
    <t>Bloco 15-0102</t>
  </si>
  <si>
    <t xml:space="preserve">5278	</t>
  </si>
  <si>
    <t>eduardavitoria200616@gmail.com</t>
  </si>
  <si>
    <t>PLANALTINA-GO</t>
  </si>
  <si>
    <t>São João d Aliança</t>
  </si>
  <si>
    <t>VILA MONTE DAS OLIVEIRAS</t>
  </si>
  <si>
    <t>RUA BARAO DO RIO BRANCO, Q. 171</t>
  </si>
  <si>
    <t>MP441181</t>
  </si>
  <si>
    <t xml:space="preserve">4899	</t>
  </si>
  <si>
    <t>lucasfelix.els@gmail.com</t>
  </si>
  <si>
    <t>JARDIM AMERICA II</t>
  </si>
  <si>
    <t>QUADRA 5, LOTE 50</t>
  </si>
  <si>
    <t>IMOB FELIPE BARBOSA DA SILVA</t>
  </si>
  <si>
    <t>Solicito o cancelamento da reserva, tendo em vista que o cliente foi desligado do emprego em 11/03 e, por esse motivo, a agência não validou a renda apresentada. Em alinhamento com Francisco, gestor de vendas das imobiliárias, foi informado que não há possibilidade de prosseguimento com o processo nas condições atuais.</t>
  </si>
  <si>
    <t>Bloco 05-0001</t>
  </si>
  <si>
    <t xml:space="preserve">5119	</t>
  </si>
  <si>
    <t>agislene1234@gmail.com</t>
  </si>
  <si>
    <t>RUA PARTICULAR, Q. 64</t>
  </si>
  <si>
    <t>Imob Minha Corretora</t>
  </si>
  <si>
    <t>Imobiliária Minha Corretora</t>
  </si>
  <si>
    <t>NOV. 23 | CADASTRO | FSA | Hab. para todos</t>
  </si>
  <si>
    <t>MP441186</t>
  </si>
  <si>
    <t>Bloco 10-0302</t>
  </si>
  <si>
    <t xml:space="preserve">4521	</t>
  </si>
  <si>
    <t>Julianapdm2002@gmail.com</t>
  </si>
  <si>
    <t>ARAPOANGA QD 09 CJ J</t>
  </si>
  <si>
    <t>Bloco 02-0003</t>
  </si>
  <si>
    <t xml:space="preserve">4397	</t>
  </si>
  <si>
    <t>ericaalvesnascimento2018@gmail.com</t>
  </si>
  <si>
    <t>RUA MATO GROSSO Q 31</t>
  </si>
  <si>
    <t>Bloco 16-0101</t>
  </si>
  <si>
    <t xml:space="preserve">5283	</t>
  </si>
  <si>
    <t>anasofiabrito19@gmail.com</t>
  </si>
  <si>
    <t>TERESINA-PI</t>
  </si>
  <si>
    <t>RUA 14 A, QD. 32, LT. 01</t>
  </si>
  <si>
    <t>Flavia Serviços Imobiliarios</t>
  </si>
  <si>
    <t>Flavia Serviços</t>
  </si>
  <si>
    <t>MP441187</t>
  </si>
  <si>
    <t>avó desisitu de ser dependente, o namorado vai entrar como co comprador</t>
  </si>
  <si>
    <t>jhennyfer73@icloud.com</t>
  </si>
  <si>
    <t>AVENIDA POSTO AGROPECUÁRIO</t>
  </si>
  <si>
    <t xml:space="preserve">Cliente solicitou o cancelamento.
Patrícia Cristina
</t>
  </si>
  <si>
    <t>aguardando comite</t>
  </si>
  <si>
    <t>alexandreribeirosilva0611@gmail.com</t>
  </si>
  <si>
    <t>RESERVA PR</t>
  </si>
  <si>
    <t>RUA BENIGNO RIBEIRO, QUADRA 10, LOTE 064, S/N BAIRRO PROGRESSO</t>
  </si>
  <si>
    <t>Favor cancelar reserva. Clientes tem restrições demais.</t>
  </si>
  <si>
    <t>alesouzaa1367@gmail.com</t>
  </si>
  <si>
    <t>Setor Habitacional Sol Nascente CH R 13</t>
  </si>
  <si>
    <t xml:space="preserve">Bom dia, cliente desistiu de seguir com o financiamento, foi convencido por parentes a não seguir. 
Douglas Silva - Assistente do Crédito. 
         CRECI-GO 39929
       F&amp;amp;W: 61 98657-0469
</t>
  </si>
  <si>
    <t>Bloco 14-0204</t>
  </si>
  <si>
    <t xml:space="preserve">5264	</t>
  </si>
  <si>
    <t>tatianegomesdemelo675@gmail.com</t>
  </si>
  <si>
    <t>RUA 10 Q 10</t>
  </si>
  <si>
    <t>Patrícia Cristina</t>
  </si>
  <si>
    <t>MP441189</t>
  </si>
  <si>
    <t>aguardando aprovação de comite</t>
  </si>
  <si>
    <t>Bloco 01-0301</t>
  </si>
  <si>
    <t xml:space="preserve">5048	</t>
  </si>
  <si>
    <t>danielalacerda830@gmail.com</t>
  </si>
  <si>
    <t>RUA 20 Q 95</t>
  </si>
  <si>
    <t>MP441179</t>
  </si>
  <si>
    <t>dudabbrito1711@gmail.com</t>
  </si>
  <si>
    <t>AR 10 Conjunto 3 LT 18</t>
  </si>
  <si>
    <t xml:space="preserve">A cliente não conseguiu dar seguimento porque vai fazer uma cirurgia e não vai usar o dinheiro que pagaria a restrição, optando por não dar continuidade.
</t>
  </si>
  <si>
    <t>Pedido de cancelamento.</t>
  </si>
  <si>
    <t>josuenevieira753@gmail.com</t>
  </si>
  <si>
    <t>SIMPLICIO MENDES/PI</t>
  </si>
  <si>
    <t>PARQUE ESPLANADA II</t>
  </si>
  <si>
    <t>RUA 8 QD 37 BL I</t>
  </si>
  <si>
    <t>Cliente solicitou cancelamento da negociação em decorrência de influência de terceiros (familiares).
Douglas Silva
Assistente de Crédito</t>
  </si>
  <si>
    <t>tiagotpo@outlook.com</t>
  </si>
  <si>
    <t>Valença - BA</t>
  </si>
  <si>
    <t>Sem tela de aprovação no pré-cadastro. Corrigiremos também a ordem dos participantes visto que a esposa tem renda maior.</t>
  </si>
  <si>
    <t>183152, 196991</t>
  </si>
  <si>
    <t>09/01/2026, 23/03/2026</t>
  </si>
  <si>
    <t>Painel Corretor, Painel Imobiliária</t>
  </si>
  <si>
    <t>Instagram, Instagram</t>
  </si>
  <si>
    <t>mariavitoriabritocosta9663@gmail.com</t>
  </si>
  <si>
    <t>AV.RIFANIA, KITNETS LD 510</t>
  </si>
  <si>
    <t>A cliente desistiu, teve probelmas pessoais e informou que vai conseguir compras só nos proximos anos.</t>
  </si>
  <si>
    <t xml:space="preserve">84	</t>
  </si>
  <si>
    <t>gabrielacosta.s96@gmail.com</t>
  </si>
  <si>
    <t>Park Way</t>
  </si>
  <si>
    <t>SMPW Quadra 1 Conjunto 1</t>
  </si>
  <si>
    <t xml:space="preserve">4987	</t>
  </si>
  <si>
    <t>pedrohenriqueg92@gmail.com</t>
  </si>
  <si>
    <t>QNR 5 Conjunto N</t>
  </si>
  <si>
    <t>MATEUS OLIVEIRA DUARTE</t>
  </si>
  <si>
    <t>MT IMOVEIS</t>
  </si>
  <si>
    <t xml:space="preserve">5440	</t>
  </si>
  <si>
    <t>wallecy_xavier@hotmail.com</t>
  </si>
  <si>
    <t>Ponte Alta Norte (Gama)</t>
  </si>
  <si>
    <t>Rua JK LOTE 43 A GLEBA B</t>
  </si>
  <si>
    <t>Extrato anexado</t>
  </si>
  <si>
    <t xml:space="preserve">87	</t>
  </si>
  <si>
    <t>lurestrela@gmail.com</t>
  </si>
  <si>
    <t>QN 8D Conjunto 6 Lote 08 Apto 01</t>
  </si>
  <si>
    <t>j7mauro.lopes@gmail.com</t>
  </si>
  <si>
    <t>Village</t>
  </si>
  <si>
    <t>Rua L Q 11</t>
  </si>
  <si>
    <t>Boa tarde,
solicito cancelamento da reserva.
Ele disse que não quer prosseguir, pois comentou que um amigo dele comprou com a gente e teve problemas: a obra atrasou, a parcela do seguro aumentou mais de R$100 e ele também mencionou que achou os imóveis não tão bons.
Eu tentamos contornar a situação, expliquei que o caso do amigo poderia ter sido algo isolado e reforcei que, se ele não aproveitasse agora, poderia não conseguir mais futuramente deviso a sua idade. Mesmo assim, ele decidiu não seguir.</t>
  </si>
  <si>
    <t>Bloco 08-0201</t>
  </si>
  <si>
    <t xml:space="preserve">5170	</t>
  </si>
  <si>
    <t>gabrielsouzadossantos2023@gmail.com</t>
  </si>
  <si>
    <t>JADRIM DAS AMERICAS FORMOSA</t>
  </si>
  <si>
    <t>RUA ARGENTINA NR 18 LADO 10</t>
  </si>
  <si>
    <t>MP441177</t>
  </si>
  <si>
    <t>BLOCO 22</t>
  </si>
  <si>
    <t>Bloco 22-0104</t>
  </si>
  <si>
    <t xml:space="preserve">4881	</t>
  </si>
  <si>
    <t>rayssa03arthur@gmail.com</t>
  </si>
  <si>
    <t>RUA 5 Q 79 L 5</t>
  </si>
  <si>
    <t>CLEIDE ALVES DE OLIVEIRA</t>
  </si>
  <si>
    <t>MP430735</t>
  </si>
  <si>
    <t>Sem contato. Está na roça.</t>
  </si>
  <si>
    <t>Bloco 05-0101</t>
  </si>
  <si>
    <t xml:space="preserve">5107	</t>
  </si>
  <si>
    <t>andreluizpereiradasilva705@gmail.com</t>
  </si>
  <si>
    <t>RUY BARBOSA BA</t>
  </si>
  <si>
    <t>RUA 10-A, Q. 27, L. 01-A, BLOCO - A, ED - JARDIM EUROPA</t>
  </si>
  <si>
    <t>MP441178</t>
  </si>
  <si>
    <t xml:space="preserve">4901	</t>
  </si>
  <si>
    <t>alhassanibrahim3.3.1.11@gmail.com</t>
  </si>
  <si>
    <t>GANA</t>
  </si>
  <si>
    <t>Setor Central (Gama)</t>
  </si>
  <si>
    <t>Quadra 36</t>
  </si>
  <si>
    <t>Documentação NÃO finalizada dentro do prazo</t>
  </si>
  <si>
    <t xml:space="preserve">Certidão de nascimento em falta. </t>
  </si>
  <si>
    <t>Seguir com cancelamento da reserva, cliente está com dificuldade em conseguir a certidão de Nascimento.
Quando conseguir o documento faremos a nova reserva.</t>
  </si>
  <si>
    <t>Certidão de Nascimento/ Cliente Estrangeiro.</t>
  </si>
  <si>
    <t>ketlenamandasantossilva8@gmail.com</t>
  </si>
  <si>
    <t>RUA SEM NOME Q 15</t>
  </si>
  <si>
    <t>Marta Anastácio Neres - CLT</t>
  </si>
  <si>
    <t>Comprou com a concorrência</t>
  </si>
  <si>
    <t xml:space="preserve">Cliente rodou a analise em outro local cancelando todo processo. 
Douglas Silva - Assistente do Crédito. 
         CRECI-GO 39929
       F&amp;amp;W: 61 98657-0469
</t>
  </si>
  <si>
    <t>Bloco 12-0301</t>
  </si>
  <si>
    <t xml:space="preserve">5227	</t>
  </si>
  <si>
    <t>matheusvictor3000@gmail.com</t>
  </si>
  <si>
    <t>RUA CLARINDA LOBO DE MIRANDA, Q. B, L. 21</t>
  </si>
  <si>
    <t>MAIO 25 | Aurium Home | Zona Rural | Vídeo Lorena 03 Novo</t>
  </si>
  <si>
    <t>MP441182</t>
  </si>
  <si>
    <t xml:space="preserve">5208	</t>
  </si>
  <si>
    <t>brendacoimbra009@gmail.com</t>
  </si>
  <si>
    <t>SANTO ANTONIO DO DESCOBERTO-GO</t>
  </si>
  <si>
    <t>RUA 12, CASA 02</t>
  </si>
  <si>
    <t>Ficha: MP441176</t>
  </si>
  <si>
    <t xml:space="preserve">5175	</t>
  </si>
  <si>
    <t>paulinofilho2006@gmail.com</t>
  </si>
  <si>
    <t>CONJ PARQUE DA COLINA Q C L 13</t>
  </si>
  <si>
    <t>MP441175</t>
  </si>
  <si>
    <t xml:space="preserve">5022	</t>
  </si>
  <si>
    <t>iagoalves1236@gmail.com</t>
  </si>
  <si>
    <t>QNM 8 Conjunto D LT 45</t>
  </si>
  <si>
    <t>Kit Cheque Moradia aprovado. Aguardando a emissão do contrato AGEHAB.
Autorizado a assinatura do contrato caixa Conforme autorizado pelo coordenador do Credito.</t>
  </si>
  <si>
    <t>pendente assinatura nos formulários.</t>
  </si>
  <si>
    <t>Bloco 06-0002</t>
  </si>
  <si>
    <t xml:space="preserve">4969	</t>
  </si>
  <si>
    <t>vinimagistral98@gmail.com</t>
  </si>
  <si>
    <t>RUA 11 Q 21 L</t>
  </si>
  <si>
    <t xml:space="preserve">4438	</t>
  </si>
  <si>
    <t>amandapereiragomes2005@gmail.com</t>
  </si>
  <si>
    <t>Setor Oeste</t>
  </si>
  <si>
    <t>RUA MANSÕES OESTE QD. M LT 314</t>
  </si>
  <si>
    <t>Bloco 21-0101</t>
  </si>
  <si>
    <t xml:space="preserve">4853	</t>
  </si>
  <si>
    <t>marianamendesdecristo0309@gmail.com</t>
  </si>
  <si>
    <t>FLORES DE GOIAS GO</t>
  </si>
  <si>
    <t>RUA PADRE TIAGO</t>
  </si>
  <si>
    <t>MP430733</t>
  </si>
  <si>
    <t xml:space="preserve">4953	</t>
  </si>
  <si>
    <t>saymonribeiro316@gmail.com</t>
  </si>
  <si>
    <t>SAMAMBAIA</t>
  </si>
  <si>
    <t>QR 316, CONJUNTO 12</t>
  </si>
  <si>
    <t>Luciano Pontes Silva Junior - CLT DESLIGADO</t>
  </si>
  <si>
    <t>Bloco 02-0302</t>
  </si>
  <si>
    <t xml:space="preserve">5068	</t>
  </si>
  <si>
    <t>hs232768@gmail.com</t>
  </si>
  <si>
    <t>googleads</t>
  </si>
  <si>
    <t>Aguardando sair restrição</t>
  </si>
  <si>
    <t>bragakauan44@gmail.com</t>
  </si>
  <si>
    <t>RUA 12</t>
  </si>
  <si>
    <t xml:space="preserve">Por influencia do pai, cliente desistiu. 
Patrícia Cristina
</t>
  </si>
  <si>
    <t>SETEMBRO 25 | FSA | PUBLICO ABERTO | Vídeo Gabriel | WPP + Form [7LM FSA]</t>
  </si>
  <si>
    <t xml:space="preserve">5355	</t>
  </si>
  <si>
    <t>amandaalcantaramendes@gmail.com</t>
  </si>
  <si>
    <t>Rua 4A Chácara 108 lote 05 Apto 505</t>
  </si>
  <si>
    <t>solicito o cancelamento da reserva para troca de empreendimento.</t>
  </si>
  <si>
    <t>Bloco 22-0204</t>
  </si>
  <si>
    <t xml:space="preserve">4882	</t>
  </si>
  <si>
    <t>amandaonofre22@outlook.com</t>
  </si>
  <si>
    <t>Rua A QDA A LT 02</t>
  </si>
  <si>
    <t>MP430732</t>
  </si>
  <si>
    <t>AGUARD FORMULARIO</t>
  </si>
  <si>
    <t xml:space="preserve">4913	</t>
  </si>
  <si>
    <t>lc406322@gmail.com</t>
  </si>
  <si>
    <t>Bloco 14-0301</t>
  </si>
  <si>
    <t xml:space="preserve">5256	</t>
  </si>
  <si>
    <t>wellingtonggiuu@gmail.com</t>
  </si>
  <si>
    <t>RUA GAIVOTA Q 4 LOTE 12</t>
  </si>
  <si>
    <t xml:space="preserve">BOA TARDE, comprovante de sinal anexado (valor total) 
Pago dia 23 de março de 2026 as 9:32h </t>
  </si>
  <si>
    <t>MP441172</t>
  </si>
  <si>
    <t xml:space="preserve">5445	</t>
  </si>
  <si>
    <t>felipeleonardo088@gmail.com</t>
  </si>
  <si>
    <t>C 3 LT 01 AP 510</t>
  </si>
  <si>
    <t>Espelho validado.
Autorizado assinatura;</t>
  </si>
  <si>
    <t>193894, 195777</t>
  </si>
  <si>
    <t>06/03/2026, 16/03/2026</t>
  </si>
  <si>
    <t>Painel Imobiliária, Reserva</t>
  </si>
  <si>
    <t>Mídia Paga, Painel Imobiliária</t>
  </si>
  <si>
    <t>pedro.fsa.silva@gmail.com</t>
  </si>
  <si>
    <t>RUA 1 Q 1</t>
  </si>
  <si>
    <t>CLIENTE NEGOCIOU NA MESA JUNTO COM A MAE, 
EU PARTICIPEI DA NEGOCIAÇÃO, CONSEGUIMOS REALIZAR O FECHAMENTO, MAS VI QUE QUEM ESTAVA INTERESSADA NO IMOVEL SERIA A MAE DO RAPAZ, O MESMO JA POSSUI 32 ANOS E NAO PPOSSUI INTERESSE EM DAR CONTINUIDADE DEVIVO QUERER QUE A MAE ARQUE COM TODAS AS DESPESAS.
FAVOR FAZER O CANCELAMENTO DA RESERVA</t>
  </si>
  <si>
    <t>Bloco 01-0201</t>
  </si>
  <si>
    <t xml:space="preserve">5351	</t>
  </si>
  <si>
    <t>augencio.antunes@gmail.com</t>
  </si>
  <si>
    <t>Salvador - BA</t>
  </si>
  <si>
    <t>Quadra AC 2 LT 11 AP 109</t>
  </si>
  <si>
    <t>Élida Benedita Ribeiro Viana</t>
  </si>
  <si>
    <t>Paula</t>
  </si>
  <si>
    <t>Espelho validado, valores de acordo com fluxo.
Sinal PAGO.
Autorizado assinatura.</t>
  </si>
  <si>
    <t xml:space="preserve">5409	</t>
  </si>
  <si>
    <t>professoraivonete@gmail.com</t>
  </si>
  <si>
    <t>QNL 11 Bloco B Apto 329</t>
  </si>
  <si>
    <t xml:space="preserve">4909	</t>
  </si>
  <si>
    <t>lourranesilva600@gmail.com</t>
  </si>
  <si>
    <t>QR 414 CJ 12A LT 01</t>
  </si>
  <si>
    <t>Francisco Queiroz</t>
  </si>
  <si>
    <t>Bloco 04-0102</t>
  </si>
  <si>
    <t xml:space="preserve">5441	</t>
  </si>
  <si>
    <t>victormarinholima@gmail.com</t>
  </si>
  <si>
    <t>SQS 412 Bloco S AP 203</t>
  </si>
  <si>
    <t>Ajuste feito.
Autorizado assinatura.</t>
  </si>
  <si>
    <t xml:space="preserve">4441	</t>
  </si>
  <si>
    <t>tatiane.trabalho.df@gmail.gom</t>
  </si>
  <si>
    <t>QNL 24, CONJUNTO B, C 29</t>
  </si>
  <si>
    <t>Bloco 05-0003</t>
  </si>
  <si>
    <t xml:space="preserve">4442	</t>
  </si>
  <si>
    <t>xanybisporosa10@gmail.com</t>
  </si>
  <si>
    <t>SAM</t>
  </si>
  <si>
    <t>QR 211, CJ 02, LT 30</t>
  </si>
  <si>
    <t>Boa tarde,
O cliente realizou o pagamento do produto via Pix, no valor de R$ 500,00 no dia 14 de março. O comprovante está anexado aos documentos.</t>
  </si>
  <si>
    <t xml:space="preserve">4009	</t>
  </si>
  <si>
    <t>analidiaconceicaooliveira@gmail.com</t>
  </si>
  <si>
    <t>CAMPO MAIOR PI</t>
  </si>
  <si>
    <t>QNM 5 Conjunto H</t>
  </si>
  <si>
    <t>GARANTIDO MENOR,AUTORIZADO PELO TAVEIRA.</t>
  </si>
  <si>
    <t>Bloco 06-0302</t>
  </si>
  <si>
    <t xml:space="preserve">3967	</t>
  </si>
  <si>
    <t>wislaynemmt@hotmail.com</t>
  </si>
  <si>
    <t>QR 215 Conjunto E LT 04</t>
  </si>
  <si>
    <t xml:space="preserve">3637	</t>
  </si>
  <si>
    <t>andreluizfernandes003@gmail.com</t>
  </si>
  <si>
    <t>CHACARAS DO ABREU</t>
  </si>
  <si>
    <t>RUA RIFANIA</t>
  </si>
  <si>
    <t>MP444512</t>
  </si>
  <si>
    <t>Bloco 13-0201</t>
  </si>
  <si>
    <t xml:space="preserve">5237	</t>
  </si>
  <si>
    <t>renataaugusto.diamante@gmail.com</t>
  </si>
  <si>
    <t>R JOSE LOBO</t>
  </si>
  <si>
    <t>MP441174</t>
  </si>
  <si>
    <t>sem formularios</t>
  </si>
  <si>
    <t>coffeeff7@gmail.com</t>
  </si>
  <si>
    <t>Solicito o cancelamento do cliente, o mesmo estava comprando para um primo e acabou não conseguindo dependentes. Tambem tentamos para o cliente comprar para ele mesmo, mas sem sucesso.</t>
  </si>
  <si>
    <t>CLIENTE COM DIFICULDADE DE CONSEGUIR DEPENDENTE</t>
  </si>
  <si>
    <t>Trocou a unidade desejada. Solicitação do Gerente Comercial.</t>
  </si>
  <si>
    <t>victoria.argolo@gmail.com</t>
  </si>
  <si>
    <t>Quadra 203 LT 03 Bloco D Apto 1001 Portal da Andorinhas</t>
  </si>
  <si>
    <t>Espelho validado, valores de acordo com fluxo.
Autorizado assinaturra.</t>
  </si>
  <si>
    <t>Disponibilidade</t>
  </si>
  <si>
    <t xml:space="preserve">4910	</t>
  </si>
  <si>
    <t>marcosraulisson@gmail.com</t>
  </si>
  <si>
    <t>Chácaras Anhangüera</t>
  </si>
  <si>
    <t>Rua Minas Gerais Q19, L03 S/N, AP 301,BLOCO E</t>
  </si>
  <si>
    <t xml:space="preserve">Solicito, por gentileza, o cancelamento das reservas  6794
Motivo: Não responde o corretor.
</t>
  </si>
  <si>
    <t xml:space="preserve">4885	</t>
  </si>
  <si>
    <t>marcossous74@gmail.com</t>
  </si>
  <si>
    <t>Pirenópolis</t>
  </si>
  <si>
    <t>VILA GODINHO</t>
  </si>
  <si>
    <t>RUA BOA VISTA Q,3 LT</t>
  </si>
  <si>
    <t>Bloco 09-0303</t>
  </si>
  <si>
    <t xml:space="preserve">5176	</t>
  </si>
  <si>
    <t>cadu16.rsantos@gmail.com</t>
  </si>
  <si>
    <t>Área Rural de Formosa</t>
  </si>
  <si>
    <t>FAZENDA RIFANIA</t>
  </si>
  <si>
    <t>MP441167</t>
  </si>
  <si>
    <t>CONFIRMANDO FLUXO DE PAGAMENTO</t>
  </si>
  <si>
    <t xml:space="preserve">5075	</t>
  </si>
  <si>
    <t>stefanysena150614@gmail.com</t>
  </si>
  <si>
    <t>PARQUE LAGO II</t>
  </si>
  <si>
    <t>RUA GAIVOTA, Q. 11, L. 06</t>
  </si>
  <si>
    <t>MP441183</t>
  </si>
  <si>
    <t>Bloco 05-0301</t>
  </si>
  <si>
    <t xml:space="preserve">5115	</t>
  </si>
  <si>
    <t>willian200315@icloud.com</t>
  </si>
  <si>
    <t>RUA 10A</t>
  </si>
  <si>
    <t>MP441170</t>
  </si>
  <si>
    <t>Bloco 15-0302</t>
  </si>
  <si>
    <t xml:space="preserve">5281	</t>
  </si>
  <si>
    <t>lbrito1909@gmail.com</t>
  </si>
  <si>
    <t>Rua 20 Q 82</t>
  </si>
  <si>
    <t>JHENNEFE HORRARA SILVA DE OLIVEIRA - DESLIGADA</t>
  </si>
  <si>
    <t>JHENNEFE HORRARA SILVA DE OLIVEIRA</t>
  </si>
  <si>
    <t xml:space="preserve">5104	</t>
  </si>
  <si>
    <t>ricardoreispaulo72@gmail.com</t>
  </si>
  <si>
    <t>FORMOSA / GO</t>
  </si>
  <si>
    <t>Bom Jesus de Goiás</t>
  </si>
  <si>
    <t>SETOR ALVORADA</t>
  </si>
  <si>
    <t>AVENIDA BRASIL, Q. 43, L. 03</t>
  </si>
  <si>
    <t>O cliente desistiu porque quer casa.</t>
  </si>
  <si>
    <t>DIA 30, A ESPOSA DO CLIENTE VAI ESTAR VENDO O EMPREEDIMENTO EM MAIS UMA TENTATIVA DE REVERTER. CLIENTE QUER CASA.</t>
  </si>
  <si>
    <t>Bloco 10-0203</t>
  </si>
  <si>
    <t xml:space="preserve">4679	</t>
  </si>
  <si>
    <t>higorjr.16@gmail.com</t>
  </si>
  <si>
    <t>Buritinópolis</t>
  </si>
  <si>
    <t>RUA 13 QD 45 L6</t>
  </si>
  <si>
    <t>Samuel Wilker Lima de Oliveira - CLT DESLIGADO</t>
  </si>
  <si>
    <t>MP430734</t>
  </si>
  <si>
    <t>Doc. pentende do dependente</t>
  </si>
  <si>
    <t>loislenedossantos6@gmail.com</t>
  </si>
  <si>
    <t>Luziânia</t>
  </si>
  <si>
    <t>Vila Guará</t>
  </si>
  <si>
    <t>Avenida 04 Q24</t>
  </si>
  <si>
    <t xml:space="preserve">Cliente rodou em outro local 
Não quer seguir conosco </t>
  </si>
  <si>
    <t>144485, 194348</t>
  </si>
  <si>
    <t>07/01/2025, 09/03/2026</t>
  </si>
  <si>
    <t>Outras publicidades, Painel Corretor</t>
  </si>
  <si>
    <t xml:space="preserve">5041	</t>
  </si>
  <si>
    <t>PEDRO12@GMAIL.COM</t>
  </si>
  <si>
    <t xml:space="preserve">Boa tarde, por gentileza cancelar a reserva, solicitação feita pelo comercial com o motivo: Não estão no momento de compra.
Douglas Silva - Assistente do Crédito. 
         CRECI-GO 39929
       F&amp;amp;W: 61 98657-0469
</t>
  </si>
  <si>
    <t>gomesxaviersiqueira@gmail.com</t>
  </si>
  <si>
    <t>POSSE GOIÁS</t>
  </si>
  <si>
    <t>Jardim Ipê</t>
  </si>
  <si>
    <t>RUA PEROBA Q. 6</t>
  </si>
  <si>
    <t xml:space="preserve">Cliente desistiu 
Patrícia Cristina
</t>
  </si>
  <si>
    <t>Cliente quer desistir por influencia de terceiros</t>
  </si>
  <si>
    <t>realpammela@gmail.com</t>
  </si>
  <si>
    <t xml:space="preserve">Solicito, por gentileza, o cancelamento das reservas   6783
Motivo: Influencia de terceiros 
</t>
  </si>
  <si>
    <t>vicky.amaral23@gmail.com</t>
  </si>
  <si>
    <t>QNQ 3 Conjunto 1 LOTE 9</t>
  </si>
  <si>
    <t>Rebeca Cristhina Pires Dias - DESLIGADA</t>
  </si>
  <si>
    <t xml:space="preserve">A mesma falou que não vai dar continuidade, pois não há mais interesse, já que está olhando outro imóvel no DF.
</t>
  </si>
  <si>
    <t xml:space="preserve">Solicito cancelamento.
Cliente perdeu o emprego e não tem interesse em continuar o processo!
Patrícia Cristina
</t>
  </si>
  <si>
    <t>MP441168</t>
  </si>
  <si>
    <t>carlosmaxmazzei@gmail.com</t>
  </si>
  <si>
    <t>QE 13 Conjunto E</t>
  </si>
  <si>
    <t>Cliente não apto para o repasse por restrições internas na Caixa.</t>
  </si>
  <si>
    <t xml:space="preserve">5346	</t>
  </si>
  <si>
    <t>cleniof@gmail.com</t>
  </si>
  <si>
    <t>LAGAMAR-MG</t>
  </si>
  <si>
    <t>Setor Habitacional Vicente Pires - Trecho 3</t>
  </si>
  <si>
    <t>QUADRA 1 CONJUNTO 9 CHACARA 42 APTO 01 NÚMERO 5</t>
  </si>
  <si>
    <t>Espelho validado.
FI e FGTS do fluxo ok com os valores do espelho.</t>
  </si>
  <si>
    <t xml:space="preserve">5400	</t>
  </si>
  <si>
    <t>ALANAMSANTOS28@gmail.com</t>
  </si>
  <si>
    <t>SANTA CRUZ DO CAPIBARIBE PE</t>
  </si>
  <si>
    <t>QN 407 CONJ E LOTE</t>
  </si>
  <si>
    <t>Não assinou dentro do prazo</t>
  </si>
  <si>
    <t>Não assinou formulário da Beiramar a tempo e quando escolheu a unidade ela já havia sido vendida.</t>
  </si>
  <si>
    <t xml:space="preserve">4952	</t>
  </si>
  <si>
    <t>yasmin2024farias@gmail.com</t>
  </si>
  <si>
    <t>BELEM PA</t>
  </si>
  <si>
    <t>RUA 08, Q. 46, C. A, L. 43</t>
  </si>
  <si>
    <t>DF001 - Haus</t>
  </si>
  <si>
    <t>ETAPA 01</t>
  </si>
  <si>
    <t>TORRE</t>
  </si>
  <si>
    <t xml:space="preserve">2966	</t>
  </si>
  <si>
    <t>ELIANEIMOVEIS@GMAIL.COM</t>
  </si>
  <si>
    <t>QI 29</t>
  </si>
  <si>
    <t>7LM - Vendas Internas Novka</t>
  </si>
  <si>
    <t>NOVKA| DF</t>
  </si>
  <si>
    <t>TABELA COM FINANCIAMENTO DIRETO - CONSTRUTORA 1</t>
  </si>
  <si>
    <t>Bloco 15-0201</t>
  </si>
  <si>
    <t xml:space="preserve">5269	</t>
  </si>
  <si>
    <t>reynaldodejesuscalaca@gmail.com</t>
  </si>
  <si>
    <t>RUA 10A, Q. 27, L. 01A, APART 302, BLOCO - A</t>
  </si>
  <si>
    <t>MP441166</t>
  </si>
  <si>
    <t>Bloco 02-0703</t>
  </si>
  <si>
    <t xml:space="preserve">5377	</t>
  </si>
  <si>
    <t>Bloco 02-0102</t>
  </si>
  <si>
    <t xml:space="preserve">4908	</t>
  </si>
  <si>
    <t>grazielleaparecida05@gmail.com</t>
  </si>
  <si>
    <t>SETOR II</t>
  </si>
  <si>
    <t>Q. 93, L.1G CONJUNTO A</t>
  </si>
  <si>
    <t>MP439450</t>
  </si>
  <si>
    <t>AGEHAB VALIDADA</t>
  </si>
  <si>
    <t xml:space="preserve">4892	</t>
  </si>
  <si>
    <t>thalitapereiragomes591@gmail.com</t>
  </si>
  <si>
    <t>Setor Norte</t>
  </si>
  <si>
    <t>Quadra 19 MR 10</t>
  </si>
  <si>
    <t xml:space="preserve">4884	</t>
  </si>
  <si>
    <t>azzyatico2.0@gmail.com</t>
  </si>
  <si>
    <t>DF</t>
  </si>
  <si>
    <t>QUADRA 202 CONJUNTO 07 LOTE 05 KIT 02</t>
  </si>
  <si>
    <t>Bloco 13-0103</t>
  </si>
  <si>
    <t xml:space="preserve">5236	</t>
  </si>
  <si>
    <t>roseanesms86@gmail.com</t>
  </si>
  <si>
    <t>AMARAJI-PE</t>
  </si>
  <si>
    <t>PARQUE LAGUNA</t>
  </si>
  <si>
    <t>RUA ROSALVO OLIMPIO, Q. 66, L. 06</t>
  </si>
  <si>
    <t>MP441173</t>
  </si>
  <si>
    <t>pgleison07@gmail.com</t>
  </si>
  <si>
    <t>ALVORADA DO NORTE -GO</t>
  </si>
  <si>
    <t xml:space="preserve">Solicito, por gentileza, o cancelamento das reservas  6768 por motivo de problema familiar </t>
  </si>
  <si>
    <t>Chinaydgtadia@gmail.com</t>
  </si>
  <si>
    <t>Favor cancelar reserva. Cliente perdeu o emprego.</t>
  </si>
  <si>
    <t>restrição</t>
  </si>
  <si>
    <t xml:space="preserve">5353	</t>
  </si>
  <si>
    <t>ltc.mayara@gmail.com</t>
  </si>
  <si>
    <t>QNM 4 Conjunto N LT 39 CS 01</t>
  </si>
  <si>
    <t>Minuta CEF recebida para edições e conferências. Data de assinatura prevista para 23/03/2026.</t>
  </si>
  <si>
    <t>Bloco 21-0103</t>
  </si>
  <si>
    <t xml:space="preserve">4854	</t>
  </si>
  <si>
    <t>mv564880@gmail.com</t>
  </si>
  <si>
    <t>RUA 8A</t>
  </si>
  <si>
    <t>192336, 195052</t>
  </si>
  <si>
    <t>27/02/2026, 13/03/2026</t>
  </si>
  <si>
    <t>04/03/2026, 13/03/2026</t>
  </si>
  <si>
    <t>MP430731</t>
  </si>
  <si>
    <t>Bloco 03-0302</t>
  </si>
  <si>
    <t xml:space="preserve">5089	</t>
  </si>
  <si>
    <t>angelicasouza3018@gmail.com</t>
  </si>
  <si>
    <t>RIACHINHO MG</t>
  </si>
  <si>
    <t>BAIRRO PROGRESSO</t>
  </si>
  <si>
    <t xml:space="preserve">6449	</t>
  </si>
  <si>
    <t>lucas.santana1306@gmail.com</t>
  </si>
  <si>
    <t>Brasilia DF</t>
  </si>
  <si>
    <t>Rua 36 BLOCO J APTO 908</t>
  </si>
  <si>
    <t>3 Quartos com suíte</t>
  </si>
  <si>
    <t xml:space="preserve">5444	</t>
  </si>
  <si>
    <t>Lamara.df@gmail.com</t>
  </si>
  <si>
    <t>Cruzeiro Velho</t>
  </si>
  <si>
    <t>SRES Q 12 BL J CS 56 FUNDOS</t>
  </si>
  <si>
    <t>Espelho validado.
Autorizado assinaturra.</t>
  </si>
  <si>
    <t>Forma de pagamento</t>
  </si>
  <si>
    <t xml:space="preserve">3991	</t>
  </si>
  <si>
    <t>natanpereiradonascimento84@gmail.com</t>
  </si>
  <si>
    <t>CRUZEIRO DO SUL/AC</t>
  </si>
  <si>
    <t>SHA Conjunto 5 Chácara 123</t>
  </si>
  <si>
    <t>Palestra/Apresentação comercial empresa</t>
  </si>
  <si>
    <t>everson.lourenco.slv@gmail.com</t>
  </si>
  <si>
    <t>Camping Clube</t>
  </si>
  <si>
    <t>Quadra 31</t>
  </si>
  <si>
    <t>Rebeca do Espirito Santo Souza Carvalho - CLT DESLIGADA</t>
  </si>
  <si>
    <t>REBECA DO ESPIRITO SANTO SOUZA CARVALHO</t>
  </si>
  <si>
    <t>Solicito cancelamento da reserva, cliente com pendencias financeiras, rodou fora.</t>
  </si>
  <si>
    <t>Aguardando sair restrição.</t>
  </si>
  <si>
    <t>teste</t>
  </si>
  <si>
    <t xml:space="preserve">5392	</t>
  </si>
  <si>
    <t>talitaburiti03@yahoo.com.br</t>
  </si>
  <si>
    <t>Área Octogonal</t>
  </si>
  <si>
    <t>AOS 1 Bloco A APTO 601</t>
  </si>
  <si>
    <t>enzoeeva@gmail.com</t>
  </si>
  <si>
    <t>JARDIM AMERICA 2</t>
  </si>
  <si>
    <t>RUA SEM NOME, Q .33, L. 17</t>
  </si>
  <si>
    <t xml:space="preserve">Cliente desistiu, não vai seguir com o processo de financiamento. 
Douglas Silva - Assistente do Crédito. 
         CRECI-GO 39929
       F&amp;amp;W: 61 98657-0469
</t>
  </si>
  <si>
    <t>thomaz.aquino@teste.com</t>
  </si>
  <si>
    <t>Corretor padrão importação Sienge</t>
  </si>
  <si>
    <t>Imobiliária Padrão</t>
  </si>
  <si>
    <t>Liberando unidade para venda</t>
  </si>
  <si>
    <t>Bloco 06-0003</t>
  </si>
  <si>
    <t xml:space="preserve">4458	</t>
  </si>
  <si>
    <t>denilson-porto-pi@hotmail.com</t>
  </si>
  <si>
    <t>QE 40 Conjunto E LOTE 03</t>
  </si>
  <si>
    <t>Bloco 11-0002</t>
  </si>
  <si>
    <t xml:space="preserve">5216	</t>
  </si>
  <si>
    <t>Jessica.l.suares@gmail.com</t>
  </si>
  <si>
    <t>Rua 10B QDA 39 L 14 N 13</t>
  </si>
  <si>
    <t>MP441165</t>
  </si>
  <si>
    <t xml:space="preserve">3712	</t>
  </si>
  <si>
    <t>milenacatleya07@gmail.com</t>
  </si>
  <si>
    <t>RESIDENCIAL JARDIM PLANALTO</t>
  </si>
  <si>
    <t>RUA BARU, Q. 07, L. 30</t>
  </si>
  <si>
    <t>Ana Carolina Ferreira de Andrade - Carlos Andrade Imobiliária</t>
  </si>
  <si>
    <t>MP444511</t>
  </si>
  <si>
    <t>CLIENTE NÃO TEM GOV, VAMOS TENTAR E-NOTORIADO</t>
  </si>
  <si>
    <t>FSA012 - Vila dos Lírios - Receitas de Incorporação</t>
  </si>
  <si>
    <t xml:space="preserve">4260	</t>
  </si>
  <si>
    <t>Cristinamariana046@gmail.com</t>
  </si>
  <si>
    <t>Coromandel- Mg</t>
  </si>
  <si>
    <t>MP423832</t>
  </si>
  <si>
    <t>Bloco 05-0302</t>
  </si>
  <si>
    <t xml:space="preserve">3951	</t>
  </si>
  <si>
    <t>cardoso8773@gmail.com</t>
  </si>
  <si>
    <t>QUADRA 42 CASA 04</t>
  </si>
  <si>
    <t>Bloco 12-0102</t>
  </si>
  <si>
    <t xml:space="preserve">4708	</t>
  </si>
  <si>
    <t>guilhermeaandrade9@gmail.com</t>
  </si>
  <si>
    <t>RUA 8 Q 62</t>
  </si>
  <si>
    <t>CLIENTE NÃO QUER SEGUIR DEVIDO MEDO FINANCEIRO FUTURO</t>
  </si>
  <si>
    <t>MP430727</t>
  </si>
  <si>
    <t>Medo do fluxo de pagamento.</t>
  </si>
  <si>
    <t xml:space="preserve">4355	</t>
  </si>
  <si>
    <t>uandersoninacio93@gmail.com</t>
  </si>
  <si>
    <t>JARDIM DAS AMERICAS</t>
  </si>
  <si>
    <t>VIA 3</t>
  </si>
  <si>
    <t>Não tem fiador</t>
  </si>
  <si>
    <t>Bom dia, cliente não vai seguir devido não possui fiador com nome limpo, o mesmo falou que encontrou facilidade na concorrencia.</t>
  </si>
  <si>
    <t>10m²</t>
  </si>
  <si>
    <t>MP423831</t>
  </si>
  <si>
    <t>Bloco 13-0102</t>
  </si>
  <si>
    <t xml:space="preserve">4724	</t>
  </si>
  <si>
    <t>caiofagundes123@hotmail.com</t>
  </si>
  <si>
    <t>RUA OLIMPIO JACINTO</t>
  </si>
  <si>
    <t>MP430730</t>
  </si>
  <si>
    <t xml:space="preserve">4373	</t>
  </si>
  <si>
    <t>joelsonagostogomesdasneves@gmail.com</t>
  </si>
  <si>
    <t>PEROLA  II</t>
  </si>
  <si>
    <t>Q 42 L 13 APART 103</t>
  </si>
  <si>
    <t>p37305636@gmail.com</t>
  </si>
  <si>
    <t>PENEDO AL</t>
  </si>
  <si>
    <t>JARDIM AGUAS LINDAS II</t>
  </si>
  <si>
    <t>RUA 03 Q 05 L 24-B</t>
  </si>
  <si>
    <t>Cliente já benificiario do MCMV.</t>
  </si>
  <si>
    <t>Seguir com cancelamento da Reserva, cliente possui financiamento ativo e beneficiado pelo MCMV.</t>
  </si>
  <si>
    <t xml:space="preserve">4746	</t>
  </si>
  <si>
    <t>gleydson.francisco72@gmail.com</t>
  </si>
  <si>
    <t>RUA 22, Q. 51, L . 0</t>
  </si>
  <si>
    <t>mariaclaracardoso747@gmail.com</t>
  </si>
  <si>
    <t>Chácaras Anhangüera C</t>
  </si>
  <si>
    <t>Rua Minas Gerais Q19,</t>
  </si>
  <si>
    <t xml:space="preserve">Por favor cancelar, cliente declinou, não vai mais seguir com o processo.
Douglas Silva - Assistente do Crédito. 
         CRECI-GO 39929
       F&amp;amp;W: 61 98657-0469
</t>
  </si>
  <si>
    <t>Jordan Ribeiro Vasconcelos</t>
  </si>
  <si>
    <t>yanmaverick@hotmail.com.br</t>
  </si>
  <si>
    <t>Quadra 42 LOTE 13 APART 103</t>
  </si>
  <si>
    <t>Cliente não atende mais o corretor, reserva tem até 07/03 de prazo. Após esse período venda será cancelada</t>
  </si>
  <si>
    <t>fernandesemanuely09@gmail.com</t>
  </si>
  <si>
    <t>Girassol</t>
  </si>
  <si>
    <t>Q 28 L S/N</t>
  </si>
  <si>
    <t>Cliente desistiu, pois não tem mais o Sinal. 
Por favor seguir com o cancelamento da reserva</t>
  </si>
  <si>
    <t>RODAR NOVAMENTE AMANHÃ 02/04</t>
  </si>
  <si>
    <t xml:space="preserve">4661	</t>
  </si>
  <si>
    <t>pedroabadio80@gmail.com</t>
  </si>
  <si>
    <t>SETOR FERROVIARIO</t>
  </si>
  <si>
    <t>RUA OLIMPIO SPINDOLA Q 18</t>
  </si>
  <si>
    <t>MP430726</t>
  </si>
  <si>
    <t>reserva teste.</t>
  </si>
  <si>
    <t xml:space="preserve">4356	</t>
  </si>
  <si>
    <t>eduardocruzsfsa@gmail.com</t>
  </si>
  <si>
    <t>RUA 21 Q.73</t>
  </si>
  <si>
    <t>Desistiu pois preferiu priorizar os gastos do casamento.</t>
  </si>
  <si>
    <t xml:space="preserve">4262	</t>
  </si>
  <si>
    <t>tatianake53@gmail.com</t>
  </si>
  <si>
    <t>IGUATU CE</t>
  </si>
  <si>
    <t>AVENIDA FLAV VICTOR DIAS Q 25</t>
  </si>
  <si>
    <t>Tabela FSA012</t>
  </si>
  <si>
    <t>MP423830</t>
  </si>
  <si>
    <t>Bloco 21-0204</t>
  </si>
  <si>
    <t xml:space="preserve">6448	</t>
  </si>
  <si>
    <t>edivanianegreiro2@gmail.com</t>
  </si>
  <si>
    <t>PONTENGI-CE</t>
  </si>
  <si>
    <t>RUA 16, Q. 114, L. 0</t>
  </si>
  <si>
    <t>MP430729</t>
  </si>
  <si>
    <t>falta declaração de dpendente assinada pela mae, só vai conseguir sabado, 07-03.</t>
  </si>
  <si>
    <t xml:space="preserve">3636	</t>
  </si>
  <si>
    <t>Maysavieirab@gmail.com</t>
  </si>
  <si>
    <t>RUA TODOS OS SANTOS Q Q L</t>
  </si>
  <si>
    <t>OUTROS</t>
  </si>
  <si>
    <t>MP444510</t>
  </si>
  <si>
    <t>namorado vai entrar como co comprador, pq cliente não tem dependente, solicitado certidao do mesmo, ele não possui.</t>
  </si>
  <si>
    <t>geovannadiasdesouza@icloud.com</t>
  </si>
  <si>
    <t>FAZENDA</t>
  </si>
  <si>
    <t>FAZENDA VALE DA ESPERANÇA</t>
  </si>
  <si>
    <t>solicito o cancelamento da reserva, cliente queria varias mudanças na qr, desistiu devido ao tempo de contrato.</t>
  </si>
  <si>
    <t>CLIENTE QUERIA ALGUMAS MUDANÇAS NO CONTRATO E AGORA JA QUER VER ALO PRONTO.</t>
  </si>
  <si>
    <t xml:space="preserve">4726	</t>
  </si>
  <si>
    <t>genesioinacio75@gmail.com</t>
  </si>
  <si>
    <t>RUA 7,  ESQ COM 23</t>
  </si>
  <si>
    <t>GENESIO INACIO FERREIRA</t>
  </si>
  <si>
    <t>Não tem outro fiador.</t>
  </si>
  <si>
    <t xml:space="preserve">4417	</t>
  </si>
  <si>
    <t>pablopereirasantos007@gmail.com</t>
  </si>
  <si>
    <t>BRASILIA- DF</t>
  </si>
  <si>
    <t>QR 221 Conjunto 7</t>
  </si>
  <si>
    <t xml:space="preserve">4507	</t>
  </si>
  <si>
    <t>jota.dejuliatattoo@gmail.com</t>
  </si>
  <si>
    <t>Recanto da Barragem</t>
  </si>
  <si>
    <t>Q 21,</t>
  </si>
  <si>
    <t>BLOCO M</t>
  </si>
  <si>
    <t>Bloco 13-0004</t>
  </si>
  <si>
    <t xml:space="preserve">4070	</t>
  </si>
  <si>
    <t>portoguilherme107@gmail.com</t>
  </si>
  <si>
    <t>RECANTO DAS EMAS</t>
  </si>
  <si>
    <t>QUADRA 406 CJ S</t>
  </si>
  <si>
    <t>José Ribamar Da Silva Freitas Filho - CLT</t>
  </si>
  <si>
    <t>Bloco 03-0304</t>
  </si>
  <si>
    <t xml:space="preserve">4418	</t>
  </si>
  <si>
    <t>ts27501@gmail.com</t>
  </si>
  <si>
    <t>Cocalzinho de Goiás</t>
  </si>
  <si>
    <t>GIRASSOL GO</t>
  </si>
  <si>
    <t>AV UM</t>
  </si>
  <si>
    <t xml:space="preserve">4675	</t>
  </si>
  <si>
    <t>giane.df@hotmail.com</t>
  </si>
  <si>
    <t>Parque da Colina</t>
  </si>
  <si>
    <t>Rua F Q 49 L 11</t>
  </si>
  <si>
    <t>phelipe.souza2020@gmail.com</t>
  </si>
  <si>
    <t>RUA 10, Q. 3, LADO 481</t>
  </si>
  <si>
    <t>solicito o cancelamento da reserva, o cliente falouo que no momento vai ficar muito pesado a parte financeira.</t>
  </si>
  <si>
    <t>MP430720</t>
  </si>
  <si>
    <t>Desistiu. Achou pesado.</t>
  </si>
  <si>
    <t>marciapsilva111@gmail.com</t>
  </si>
  <si>
    <t>BUTIS MG</t>
  </si>
  <si>
    <t>RUA 03</t>
  </si>
  <si>
    <t>MP444509</t>
  </si>
  <si>
    <t>Estamos tentando reverter. vai trocar unidade</t>
  </si>
  <si>
    <t xml:space="preserve">4402	</t>
  </si>
  <si>
    <t>Tailinymacedo94@gmail.com</t>
  </si>
  <si>
    <t>RUBIATABA/ GO</t>
  </si>
  <si>
    <t>QS 9 Rua 160</t>
  </si>
  <si>
    <t xml:space="preserve">4393	</t>
  </si>
  <si>
    <t>saracarvalho2020cruz@gmail.com</t>
  </si>
  <si>
    <t>GURUPI - TO</t>
  </si>
  <si>
    <t>CEILANDIA</t>
  </si>
  <si>
    <t>QNM 5 CJ G CS 06 LT 44</t>
  </si>
  <si>
    <t>Micael dos Santos Pires - CLT</t>
  </si>
  <si>
    <t>Micael dos Santos Pires</t>
  </si>
  <si>
    <t>AGEHAB VALIDADO
Autorizado assinatura Caixa.</t>
  </si>
  <si>
    <t xml:space="preserve">3985	</t>
  </si>
  <si>
    <t>antoniel21@outlook.com</t>
  </si>
  <si>
    <t>Q. 42 LOTE 13 APART 103</t>
  </si>
  <si>
    <t xml:space="preserve">4415	</t>
  </si>
  <si>
    <t>Galeguinha170@gmail.com</t>
  </si>
  <si>
    <t>RECANTO DAS EMAS - DF</t>
  </si>
  <si>
    <t>Q 310 CJ O5 LT</t>
  </si>
  <si>
    <t xml:space="preserve">4995	</t>
  </si>
  <si>
    <t>sbrendha015@gmail.com</t>
  </si>
  <si>
    <t>Jardim América IV</t>
  </si>
  <si>
    <t>Quadra 15</t>
  </si>
  <si>
    <t>Bloco 02-0301</t>
  </si>
  <si>
    <t xml:space="preserve">4401	</t>
  </si>
  <si>
    <t>Santosloyane38@gmail.com</t>
  </si>
  <si>
    <t>SETOR 4</t>
  </si>
  <si>
    <t>RUA 3 QD 12 CONJ. B  FRAÇAO F</t>
  </si>
  <si>
    <t>Falta vinculo da AgeHab</t>
  </si>
  <si>
    <t>oliveiramarcosalexandre109@gmail.com</t>
  </si>
  <si>
    <t>TAGUATINGA/TO</t>
  </si>
  <si>
    <t>Quadra 45 Conjunto B</t>
  </si>
  <si>
    <t>Humberto Bomfim Ferreira Filho - CLT DESLIGADO</t>
  </si>
  <si>
    <t>Kit Cheque Moradia aprovado. Aguardando a emissão do contrato AGEHAB.
Pendente Confissão.
Pendente pagamento do Sinal.
Pendente finalização da venda.
Não autorizado a assinatura do contrato caixa.</t>
  </si>
  <si>
    <t xml:space="preserve">4961	</t>
  </si>
  <si>
    <t>vf84563@gmail.com</t>
  </si>
  <si>
    <t>Setor Oeste (Vila Estrutural)</t>
  </si>
  <si>
    <t>Quadra 8 Conjunto 3 Lote 11</t>
  </si>
  <si>
    <t>AGUARDANDO DECLARAÇÃO DEPENDENTE ASSINADA</t>
  </si>
  <si>
    <t>Bloco 22-0203</t>
  </si>
  <si>
    <t xml:space="preserve">4873	</t>
  </si>
  <si>
    <t>kmillaa238@gmail.com</t>
  </si>
  <si>
    <t>VIA ALPHA-16</t>
  </si>
  <si>
    <t>MP430724</t>
  </si>
  <si>
    <t xml:space="preserve">4307	</t>
  </si>
  <si>
    <t>souzadaniele2347@gmail.com</t>
  </si>
  <si>
    <t>PLANALTINA DF</t>
  </si>
  <si>
    <t>RUA PRESIDENTE VENCESLAU BRAZ Q 3 L 10</t>
  </si>
  <si>
    <t>187890, 191626</t>
  </si>
  <si>
    <t>06/02/2026, 24/02/2026</t>
  </si>
  <si>
    <t>21/02/2026, 24/02/2026</t>
  </si>
  <si>
    <t>MP423829</t>
  </si>
  <si>
    <t>Bloco 07-0101</t>
  </si>
  <si>
    <t xml:space="preserve">4627	</t>
  </si>
  <si>
    <t>joseliafsouza7@gmail.com</t>
  </si>
  <si>
    <t>PARANÃ TO</t>
  </si>
  <si>
    <t>RUA 7</t>
  </si>
  <si>
    <t>MP430723</t>
  </si>
  <si>
    <t>COLHENDO DOC</t>
  </si>
  <si>
    <t>Troca de empreendimento</t>
  </si>
  <si>
    <t>Bloco 10-0202</t>
  </si>
  <si>
    <t xml:space="preserve">4678	</t>
  </si>
  <si>
    <t>sm8852037@gmail.com</t>
  </si>
  <si>
    <t>RUA D, Q. 20</t>
  </si>
  <si>
    <t>cliente desisitiu da compra por ingerencia da esposa, os mesmos alegam ter alguns compromissos e não vao seguir. Tentei contato varias vezes, com apenas um retorno e depois sem mais nehuma interaão do cliente.</t>
  </si>
  <si>
    <t>esposa não esta querendo seguir</t>
  </si>
  <si>
    <t xml:space="preserve">4017	</t>
  </si>
  <si>
    <t>barbosadossantosjovenil@gmail.com</t>
  </si>
  <si>
    <t>ARRAIAS/TO</t>
  </si>
  <si>
    <t>Goiânia</t>
  </si>
  <si>
    <t>Residencial Recanto do Bosque</t>
  </si>
  <si>
    <t>RUA RB 17 QD 42 LT 52</t>
  </si>
  <si>
    <t>MP449039</t>
  </si>
  <si>
    <t>CONTRATOS CANCELADOS PARA TROCA DE UNIDADE. AGL 32 - B 203</t>
  </si>
  <si>
    <t xml:space="preserve">PEÇO CANCELAMENTO, TROCA DE UNIDADE.  AGL  32  - B 203 </t>
  </si>
  <si>
    <t>PEDI O CANCELAMENTO TROCA DE EMPREEDIMENTO, NOVA UNIDADE B 203</t>
  </si>
  <si>
    <t>Deoliveira.lopesbsb@gmail.com</t>
  </si>
  <si>
    <t>QNM 8 Conjunto P</t>
  </si>
  <si>
    <t>Seguir cancelamento da reserva, cliente não tem dependente</t>
  </si>
  <si>
    <t>Falta dependente.</t>
  </si>
  <si>
    <t xml:space="preserve">4464	</t>
  </si>
  <si>
    <t>DUDACASTRODEMORAIS@gmail.com</t>
  </si>
  <si>
    <t>Q P L CHACARA 07 BLOCO F</t>
  </si>
  <si>
    <t>RESTRIÇÃO DENTRO DO PROCESSO</t>
  </si>
  <si>
    <t xml:space="preserve">Troca de unidade </t>
  </si>
  <si>
    <t xml:space="preserve">RENDA VALIDADA </t>
  </si>
  <si>
    <t>thiagohf2003@gmail.com</t>
  </si>
  <si>
    <t>Quadra 3</t>
  </si>
  <si>
    <t xml:space="preserve">Boa tarde, solicito o cancelamento da reserva, Motivo: Problema familiar com a mãe.
Douglas Silva - Assistente do Crédito. 
         CRECI-GO 39929
       F&amp;amp;W: 61 98657-0469
</t>
  </si>
  <si>
    <t>Iannaralavinya15@gmail.com</t>
  </si>
  <si>
    <t>Padre Bernardo</t>
  </si>
  <si>
    <t>VENDINHA PADRE</t>
  </si>
  <si>
    <t>RUA 9 RESIDENCIAL OURO VERDE Q 17</t>
  </si>
  <si>
    <t>POR FAVOR CANCELAR RESERVA, CLIENTE NÃO VAI SEGUIR!</t>
  </si>
  <si>
    <t>Em processo de cancelamento</t>
  </si>
  <si>
    <t>Bloco 22-0202</t>
  </si>
  <si>
    <t xml:space="preserve">4872	</t>
  </si>
  <si>
    <t>tha.oliverm@gmail.com</t>
  </si>
  <si>
    <t>Avenida 2</t>
  </si>
  <si>
    <t>Bloco 06-0204</t>
  </si>
  <si>
    <t xml:space="preserve">4318	</t>
  </si>
  <si>
    <t>rarybb@gmail.com</t>
  </si>
  <si>
    <t>RUA 10 Q 04 LOTE 8B</t>
  </si>
  <si>
    <t>__/__/____</t>
  </si>
  <si>
    <t>MP423828</t>
  </si>
  <si>
    <t>Bloco 12-0203</t>
  </si>
  <si>
    <t xml:space="preserve">4713	</t>
  </si>
  <si>
    <t>ribeirodeborah44@gmail.com</t>
  </si>
  <si>
    <t>RUA 25 DE DEZEMBRO, Q. 04, L . 12</t>
  </si>
  <si>
    <t>MP430742</t>
  </si>
  <si>
    <t>erro para virar no cv, ja enviado no email para conformidade</t>
  </si>
  <si>
    <t>guimaraesyasmin739@gmail.com</t>
  </si>
  <si>
    <t>Rua Seriema Q 20</t>
  </si>
  <si>
    <t>Clientee falou com os familiares e quer desisitr</t>
  </si>
  <si>
    <t xml:space="preserve">4286	</t>
  </si>
  <si>
    <t>nunesnailsbaby@icloud.com</t>
  </si>
  <si>
    <t>VIA 4</t>
  </si>
  <si>
    <t>MP423827</t>
  </si>
  <si>
    <t xml:space="preserve">4233	</t>
  </si>
  <si>
    <t>Bom dia, 
favor fazer o cancelamento da reserva, cliente teve que ser reavaliada, e a mesma escolheu outra unidade.</t>
  </si>
  <si>
    <t>CANCELAMENTO SOLICITADO</t>
  </si>
  <si>
    <t xml:space="preserve">4314	</t>
  </si>
  <si>
    <t>brendageovanapereiramateus@gmail.com</t>
  </si>
  <si>
    <t>Rua Maria de Melo Pinto</t>
  </si>
  <si>
    <t>Autorizado assinatura Caixa.</t>
  </si>
  <si>
    <t>MP423825</t>
  </si>
  <si>
    <t>Pendente Formulários.</t>
  </si>
  <si>
    <t xml:space="preserve">4277	</t>
  </si>
  <si>
    <t>taissilvaeryckeduardo@gmail.com</t>
  </si>
  <si>
    <t>ARAGUATINS TO</t>
  </si>
  <si>
    <t>RUA 14 Q 7 L 12</t>
  </si>
  <si>
    <t>MP423823</t>
  </si>
  <si>
    <t xml:space="preserve">4687	</t>
  </si>
  <si>
    <t>lilianedasilvafsa@gmail.com</t>
  </si>
  <si>
    <t>BARREIRAS - BA</t>
  </si>
  <si>
    <t>PARQUE LAGUNA II</t>
  </si>
  <si>
    <t>Rua Manezinho das Moças Q, 03</t>
  </si>
  <si>
    <t xml:space="preserve">4331	</t>
  </si>
  <si>
    <t>felipemattheus10@outlook.com</t>
  </si>
  <si>
    <t>RUA12 Q72</t>
  </si>
  <si>
    <t>MP423824</t>
  </si>
  <si>
    <t>Pendente formulários</t>
  </si>
  <si>
    <t>Bloco 09-0004</t>
  </si>
  <si>
    <t xml:space="preserve">4502	</t>
  </si>
  <si>
    <t>Sobrinhaamandalarissa@gmail.com</t>
  </si>
  <si>
    <t>QNL 14 Conjunto A</t>
  </si>
  <si>
    <t>Bloco 16-0301</t>
  </si>
  <si>
    <t xml:space="preserve">4779	</t>
  </si>
  <si>
    <t>nicollyflorencio2019@gmail.com</t>
  </si>
  <si>
    <t>VILA BOA - GO</t>
  </si>
  <si>
    <t>RUA CODORNA, Q. 09</t>
  </si>
  <si>
    <t>MP430717</t>
  </si>
  <si>
    <t xml:space="preserve">4457	</t>
  </si>
  <si>
    <t>sommerdinho@gmail.com</t>
  </si>
  <si>
    <t>SAO PAULO / SP</t>
  </si>
  <si>
    <t>QN 211 CONJUNTO 05</t>
  </si>
  <si>
    <t>Espelho R$ 1,69 a maior ajustado.</t>
  </si>
  <si>
    <t xml:space="preserve">4777	</t>
  </si>
  <si>
    <t>damianaazevedolima15@gmail.com</t>
  </si>
  <si>
    <t>TAPIRAMUTA BA</t>
  </si>
  <si>
    <t>Rua 66 QD 69</t>
  </si>
  <si>
    <t>autorizado a assinatura do contrato caixa.</t>
  </si>
  <si>
    <t>patylimasnt@gmail.com</t>
  </si>
  <si>
    <t>PASSAGEM FRANCA MA</t>
  </si>
  <si>
    <t>RUA 04 CHACARA 53, S/N 26-DE SETEMBRO</t>
  </si>
  <si>
    <t xml:space="preserve">Solicito o cancelamento da reserva 6692, motivo: Cliente rodou analise fora e desistiu de seguir com o processo conosco. 
Douglas Silva - Assistente do Crédito. 
         CRECI-GO 39929
       F&amp;amp;W: 61 98657-0469
</t>
  </si>
  <si>
    <t xml:space="preserve">4655	</t>
  </si>
  <si>
    <t>brunolopes.mourafsa@gmail.com</t>
  </si>
  <si>
    <t>RUA 12 Q 31  L 18</t>
  </si>
  <si>
    <t>187565, 187666</t>
  </si>
  <si>
    <t>04/02/2026, 05/02/2026</t>
  </si>
  <si>
    <t>13/02/2026, 05/02/2026</t>
  </si>
  <si>
    <t>MP430710</t>
  </si>
  <si>
    <t>angelamaria32nb@gmail.com</t>
  </si>
  <si>
    <t>SANTA LUZ BA</t>
  </si>
  <si>
    <t>Rua 5Q 09 L 20</t>
  </si>
  <si>
    <t xml:space="preserve">Comprador já beneficiada com SUBSIDIO. </t>
  </si>
  <si>
    <t xml:space="preserve">CLIENTE JA BENEFICIADA COM SUBSIDIO, não tem o valor da diferença para seguir no momento </t>
  </si>
  <si>
    <t>187757, 190513</t>
  </si>
  <si>
    <t>05/02/2026, 19/02/2026</t>
  </si>
  <si>
    <t>13/02/2026, 19/02/2026</t>
  </si>
  <si>
    <t>MP430716</t>
  </si>
  <si>
    <t xml:space="preserve">4468	</t>
  </si>
  <si>
    <t>Pedrotati610@gmail.com</t>
  </si>
  <si>
    <t>PARQUE AGUAS BONITAS I</t>
  </si>
  <si>
    <t>Q. 34</t>
  </si>
  <si>
    <t>Edcarlossouzasoares@mail.com</t>
  </si>
  <si>
    <t>MONTALVANIA - MG</t>
  </si>
  <si>
    <t>QR 621 Conjunto 2 c12</t>
  </si>
  <si>
    <t xml:space="preserve">Solicito o cancelamento da reserva, cliente com restrição alta no CADIN, impossibilitando o avanço no processo.  
Douglas Silva - Assistente do Crédito. 
         CRECI-GO 39929
       F&amp;amp;W: 61 98657-0469
</t>
  </si>
  <si>
    <t xml:space="preserve">4650	</t>
  </si>
  <si>
    <t>jefersonnunesdealmeida3@gmail.com</t>
  </si>
  <si>
    <t>RUA 11 Q 67 L 22 A</t>
  </si>
  <si>
    <t>MP430713</t>
  </si>
  <si>
    <t>Bloco 20-0103</t>
  </si>
  <si>
    <t xml:space="preserve">4838	</t>
  </si>
  <si>
    <t>abnnerrennan@gmail.com</t>
  </si>
  <si>
    <t>VIA 15, Q. 140</t>
  </si>
  <si>
    <t>MP430715</t>
  </si>
  <si>
    <t xml:space="preserve">4520	</t>
  </si>
  <si>
    <t>raimundo1221nonato1@gmail.com</t>
  </si>
  <si>
    <t>COROATA-MA</t>
  </si>
  <si>
    <t>Santo Antônio do Descoberto</t>
  </si>
  <si>
    <t>Parque Estrela Dalva XI</t>
  </si>
  <si>
    <t>Rua Park XI, Quadra 88</t>
  </si>
  <si>
    <t>viniciusssouto8@gmail.com</t>
  </si>
  <si>
    <t>Q 08 ETAPA B</t>
  </si>
  <si>
    <t xml:space="preserve">Bom dia, solicito o distrato do cliente, ele desistiu de seguir com o processo. 
Douglas Silva - Assistente do Crédito. 
         CRECI-GO 39929
       F&amp;amp;W: 61 98657-0469
</t>
  </si>
  <si>
    <t>silvamarcoslimasousa12@gmail.com</t>
  </si>
  <si>
    <t>SETOR EMIGRANTES</t>
  </si>
  <si>
    <t>RUA EMIGRANTES OESTE, QUADRA 30, LOTE 8</t>
  </si>
  <si>
    <t xml:space="preserve">Após conversar com algumas pessoas, cliente deisistiu.
Patrícia Cristina
</t>
  </si>
  <si>
    <t>cliente esta querendo desistir</t>
  </si>
  <si>
    <t xml:space="preserve">4340	</t>
  </si>
  <si>
    <t>patriciasantos.com@yahoo.com</t>
  </si>
  <si>
    <t>RUA 20 Q 20 LT 01 ESQUINA COM A RUA 11</t>
  </si>
  <si>
    <t xml:space="preserve">Boa tarde!
Documentos da AGEHAB validados e ficha cadastrada no Palladio.
Aguardando assinatura do(a) cliente.
.
</t>
  </si>
  <si>
    <t>MP423826</t>
  </si>
  <si>
    <t xml:space="preserve">4703	</t>
  </si>
  <si>
    <t>luannafernandes488@gmail.com</t>
  </si>
  <si>
    <t>IACIARA - GO</t>
  </si>
  <si>
    <t>RUA 9 - A Q 36, L. 0</t>
  </si>
  <si>
    <t>MP430714</t>
  </si>
  <si>
    <t>gabriellyt89@gmail.com</t>
  </si>
  <si>
    <t>Jardim Pérola da Barragem I</t>
  </si>
  <si>
    <t>Quadra 11 rua 06</t>
  </si>
  <si>
    <t>Fabio Henrique - CLT</t>
  </si>
  <si>
    <t>Cancelar, Cliente não conseguiu o sinal e não vai seguir</t>
  </si>
  <si>
    <t>ryanyan2510@gmail.com</t>
  </si>
  <si>
    <t>CAXIAS - MA</t>
  </si>
  <si>
    <t>Rua Sem Nome, Quadra 46</t>
  </si>
  <si>
    <t xml:space="preserve">Cancelar a reserva cliente não consegue regularizar suas restrições por este motivo desistiu. 
Douglas Silva - Assistente do Crédito. 
         CRECI-GO 39929
       F&amp;amp;W: 61 98657-0469
</t>
  </si>
  <si>
    <t xml:space="preserve">5399	</t>
  </si>
  <si>
    <t>adm.caroline@outlook.com.br</t>
  </si>
  <si>
    <t>São João dos Patos - MA</t>
  </si>
  <si>
    <t>Setor Placa da Mercedes (Núcleo Bandeirante)</t>
  </si>
  <si>
    <t>PL das Mercedes, Cj 04, Lt 08, Apto 204</t>
  </si>
  <si>
    <t>Espelho validado OK.</t>
  </si>
  <si>
    <t>cauanlucca089@gmail.com</t>
  </si>
  <si>
    <t>RUA 03 QD 05 LT 24 B</t>
  </si>
  <si>
    <t>A cliente solicitou o cancelamento, informando que recebeu uma oportunidade de emprego no DF.
Diante disso, mencionou que, por a empresa ser nova e considerando a mudança de rotina, não tem mais interesse no imóvel em Águas Lindas no momento.</t>
  </si>
  <si>
    <t xml:space="preserve">4578	</t>
  </si>
  <si>
    <t>Contratos cancelados para trocar de unidade.</t>
  </si>
  <si>
    <t xml:space="preserve">Boa noite!
favor fazer cancelamento para troca de unidade. </t>
  </si>
  <si>
    <t>MP430708</t>
  </si>
  <si>
    <t>Elizabeth.nasilva@gmail.com</t>
  </si>
  <si>
    <t>Mansões Pôr do Sol</t>
  </si>
  <si>
    <t>Rua Por do Sol, Quadra QB 4 L 01-E</t>
  </si>
  <si>
    <t>solicito cancelamento da reserva, motivo: cliente disse nao conseguir arcar financeiramente com as parcelas.</t>
  </si>
  <si>
    <t xml:space="preserve">4593	</t>
  </si>
  <si>
    <t>passosamanda072@gmail.com</t>
  </si>
  <si>
    <t>SEABRA BA</t>
  </si>
  <si>
    <t>RUA BOA VISTA CASA 2</t>
  </si>
  <si>
    <t>Kit Cheque Moradia aprovado. Aguardando a emissão do contrato AGEHAB.
Não autorizado a assinatura do contrato caixa.</t>
  </si>
  <si>
    <t>aguardando certidão de nascimento</t>
  </si>
  <si>
    <t xml:space="preserve">4533	</t>
  </si>
  <si>
    <t>buenodaniel188@gmail.com</t>
  </si>
  <si>
    <t>RUA 13 L 0</t>
  </si>
  <si>
    <t>MP430718</t>
  </si>
  <si>
    <t xml:space="preserve">4771	</t>
  </si>
  <si>
    <t>gp602093@gmail.com</t>
  </si>
  <si>
    <t>RUA SABIA Q 13 LT 02</t>
  </si>
  <si>
    <t>MP430707</t>
  </si>
  <si>
    <t xml:space="preserve">4030	</t>
  </si>
  <si>
    <t>Lauracomunica1@gmail.com</t>
  </si>
  <si>
    <t>Q. 42, LOTE 13, APT 202</t>
  </si>
  <si>
    <t>Moriá- DANIEL</t>
  </si>
  <si>
    <t>Moria Imobiliária</t>
  </si>
  <si>
    <t xml:space="preserve">3994	</t>
  </si>
  <si>
    <t>021FERNANDESZL@gmail.com</t>
  </si>
  <si>
    <t>JARDIIN QUERENCIA</t>
  </si>
  <si>
    <t>Q 13 L 14</t>
  </si>
  <si>
    <t>Bloco 18-0104</t>
  </si>
  <si>
    <t xml:space="preserve">4817	</t>
  </si>
  <si>
    <t>Dossantosoljoaovictor@gmail.com</t>
  </si>
  <si>
    <t>RUA MARECHAL RONDON QD 36 LT 11</t>
  </si>
  <si>
    <t>indicação</t>
  </si>
  <si>
    <t>MP430702</t>
  </si>
  <si>
    <t>giovannakthalen8@gmail.com</t>
  </si>
  <si>
    <t>Setor Habitacional Mestre DArmas (Planaltina)</t>
  </si>
  <si>
    <t>Módulo 14</t>
  </si>
  <si>
    <t xml:space="preserve">Bom dia, solicito o distrato da cliente, motivo desistência. 
Douglas Silva - Assistente do Crédito. 
         CRECI-GO 39929
       F&amp;amp;W: 61 98657-0469
</t>
  </si>
  <si>
    <t xml:space="preserve">4534	</t>
  </si>
  <si>
    <t>niltonborges33.1980@gmail.com</t>
  </si>
  <si>
    <t>RUA FREI CONSTANCIO Q 50 L 17</t>
  </si>
  <si>
    <t>MP430711</t>
  </si>
  <si>
    <t>Problema com GOV</t>
  </si>
  <si>
    <t>gabrieldesouzaassis95@gmail.com</t>
  </si>
  <si>
    <t>Jardim Pérola da Barragem II</t>
  </si>
  <si>
    <t>Seguir com cancelamento da reserva, cliente não tem interesse em seguir com o financiamento.</t>
  </si>
  <si>
    <t>Tráfego Direto</t>
  </si>
  <si>
    <t xml:space="preserve">4273	</t>
  </si>
  <si>
    <t>pmarcosvinicius665@gmail.com</t>
  </si>
  <si>
    <t>ALVORADA DO NORTE- GO</t>
  </si>
  <si>
    <t>RUA DONA LOURA - LOCAL VARGEM</t>
  </si>
  <si>
    <t>MP423821</t>
  </si>
  <si>
    <t>edulimalima32@gmail.com</t>
  </si>
  <si>
    <t>Piquet Carneiro - CE</t>
  </si>
  <si>
    <t>Lago do Descoberto</t>
  </si>
  <si>
    <t>Rua Sem Nome Chac 15, Gleba B</t>
  </si>
  <si>
    <t>Plano comercial incompatível</t>
  </si>
  <si>
    <t>Considerando o lapso temporal e a obra chegando na reta final e, ainda por determinação da diretoria comercial, peço o cancelamento da reserva.</t>
  </si>
  <si>
    <t>Bloco 11-0204</t>
  </si>
  <si>
    <t xml:space="preserve">4704	</t>
  </si>
  <si>
    <t>eliardomuller@gmail.com</t>
  </si>
  <si>
    <t>MP430706</t>
  </si>
  <si>
    <t>Bloco 08-0204</t>
  </si>
  <si>
    <t xml:space="preserve">4656	</t>
  </si>
  <si>
    <t>biancabarbosafs@gmail.com</t>
  </si>
  <si>
    <t>RUA 10 Q 23</t>
  </si>
  <si>
    <t>MP430704</t>
  </si>
  <si>
    <t>eliizsilva8@gmail.com</t>
  </si>
  <si>
    <t>COLEGINHO</t>
  </si>
  <si>
    <t>FAZENDA SANTO ANTONIO</t>
  </si>
  <si>
    <t xml:space="preserve">Cliente desistiu. pretende comprar casa
Patrícia Cristina
</t>
  </si>
  <si>
    <t>Ouviu falar mal da construtora</t>
  </si>
  <si>
    <t xml:space="preserve">4410	</t>
  </si>
  <si>
    <t>neusaalexandre850@gmail.com</t>
  </si>
  <si>
    <t>BAIRRO SANTA BARBARA</t>
  </si>
  <si>
    <t>RUA 09, QUADRA 10</t>
  </si>
  <si>
    <t>WISLEYSILVA-25@GMAIL.COM</t>
  </si>
  <si>
    <t>MOSSORO</t>
  </si>
  <si>
    <t>solicito cancelamento reserva, motivo: conjugue nao permitiu comprar.</t>
  </si>
  <si>
    <t>w23191989@gmail.com</t>
  </si>
  <si>
    <t>AV. DERGO, Q. 07</t>
  </si>
  <si>
    <t xml:space="preserve">CLIENTE NÃO IRÁ SEGUIR POIS ESTÁ COM MEDO DE PERDER BENEFCIO BPC </t>
  </si>
  <si>
    <t>Quer desistir para não perder o BPC</t>
  </si>
  <si>
    <t>BLOCO 19</t>
  </si>
  <si>
    <t>Bloco 19-0002</t>
  </si>
  <si>
    <t xml:space="preserve">4829	</t>
  </si>
  <si>
    <t>benjaminalefe11@gmail.com</t>
  </si>
  <si>
    <t>Núcleo Habitacional Santa Rosa</t>
  </si>
  <si>
    <t>Rua 7</t>
  </si>
  <si>
    <t>Kit Cheque Moradia aprovado. Aguardando a emissão do contrato AGEHAB.
Autorizado a assinatura do contrato caixa</t>
  </si>
  <si>
    <t>MP430700</t>
  </si>
  <si>
    <t xml:space="preserve">3626	</t>
  </si>
  <si>
    <t>mcristhianribeiro@gmail.com</t>
  </si>
  <si>
    <t>RUA ANA DE JESUS MELO Q F L 10</t>
  </si>
  <si>
    <t>MP444508</t>
  </si>
  <si>
    <t>Bloco 04-0304</t>
  </si>
  <si>
    <t xml:space="preserve">4434	</t>
  </si>
  <si>
    <t>thaysmikaelly99@gmail.com</t>
  </si>
  <si>
    <t>Parque da Barragem Setor 09</t>
  </si>
  <si>
    <t>Quadra 69 Conjunto D</t>
  </si>
  <si>
    <t>IMOBILIARIA EXPERT IMOVEIS</t>
  </si>
  <si>
    <t xml:space="preserve">4243	</t>
  </si>
  <si>
    <t>ketleymatos96@gmail.com</t>
  </si>
  <si>
    <t>RUA 10 Q 39 L 0</t>
  </si>
  <si>
    <t>MP423820</t>
  </si>
  <si>
    <t>larissawerner2008@gmail.com</t>
  </si>
  <si>
    <t>Jardim da Barragem I</t>
  </si>
  <si>
    <t>Quadra 11, lote 20 apt 103</t>
  </si>
  <si>
    <t>solicito cancelamento da reserva, motivo: cliente nao responde e nao atende varias ligacoes.</t>
  </si>
  <si>
    <t>vivianbibito196@gamil.com</t>
  </si>
  <si>
    <t>QNP 14 CJ D CS</t>
  </si>
  <si>
    <t xml:space="preserve">Cliente não tem cadastro no FGTS no atual vinculo, foi solicitado o comparecimento da cliente na agencia para fazer relacionamento na empresa para tentar seguir com o processo. 
Douglas Silva - Assistente do Crédito. 
         CRECI-GO 39929
       F&amp;amp;W: 61 98657-0469
</t>
  </si>
  <si>
    <t xml:space="preserve">4078	</t>
  </si>
  <si>
    <t>Layaneb738@gmail.com</t>
  </si>
  <si>
    <t>QNN 18 CONJUNTO 6 LOTE 16</t>
  </si>
  <si>
    <t>larissaoliveira8631@gmail.com</t>
  </si>
  <si>
    <t>ILHA BELA</t>
  </si>
  <si>
    <t>RUA 23 CASA -A ILHA BELA Q D-08 L 15</t>
  </si>
  <si>
    <t>Elton Silva Rodrigues - CLT</t>
  </si>
  <si>
    <t>Favor cancelar reserva, cliente não vai seguir</t>
  </si>
  <si>
    <t>Bloco 22-0201</t>
  </si>
  <si>
    <t xml:space="preserve">4871	</t>
  </si>
  <si>
    <t>anaj080812@gmail.com</t>
  </si>
  <si>
    <t>RUA 15 Q 48</t>
  </si>
  <si>
    <t>MP430699</t>
  </si>
  <si>
    <t xml:space="preserve">4609	</t>
  </si>
  <si>
    <t>dl4279341@gmail.com</t>
  </si>
  <si>
    <t>RUA COSTA RICA</t>
  </si>
  <si>
    <t>MP430701</t>
  </si>
  <si>
    <t>Garantido Baixo</t>
  </si>
  <si>
    <t>A reserva foi realizada, porém o cliente não possuía garantido para a unidade. Diante disso, solicito o cancelamento da reserva.</t>
  </si>
  <si>
    <t>Bloco 19-0103</t>
  </si>
  <si>
    <t xml:space="preserve">4822	</t>
  </si>
  <si>
    <t>kamyllarsantos@gmail.com</t>
  </si>
  <si>
    <t>RUA I Q 104 L 25A</t>
  </si>
  <si>
    <t>MP430697</t>
  </si>
  <si>
    <t>Bloco 16-0201</t>
  </si>
  <si>
    <t xml:space="preserve">4775	</t>
  </si>
  <si>
    <t>bragakeully6@gmail.com</t>
  </si>
  <si>
    <t>RUA 10B QUADRA 39 LOTE 14 CASA 1</t>
  </si>
  <si>
    <t>Veio trabalhar na 7LM</t>
  </si>
  <si>
    <t xml:space="preserve">4528	</t>
  </si>
  <si>
    <t>Thatiane.silva1991@gmail.com</t>
  </si>
  <si>
    <t>JOAO PESSOA / PB</t>
  </si>
  <si>
    <t>LAGO NORTE</t>
  </si>
  <si>
    <t>SMLN MI TR 10 CJ 01 CS 03 LT</t>
  </si>
  <si>
    <t>Falta cliente assinar formulários, GOV inacessível no sábado</t>
  </si>
  <si>
    <t>cd6748667@gmail.com</t>
  </si>
  <si>
    <t>São Bernardo - MA</t>
  </si>
  <si>
    <t>QR 302 Conjunto F</t>
  </si>
  <si>
    <t>solicito cancelamento da reserva, motivo: cliente disse que está novo demais para comprar ;z</t>
  </si>
  <si>
    <t>faz-estrela@hotmail.com</t>
  </si>
  <si>
    <t>js1016020@gmail.com</t>
  </si>
  <si>
    <t>QUADRA 4 LT</t>
  </si>
  <si>
    <t>Considerando o lapso temporal e a obra chegando na reta final e, ainda por determinação da diretoria comercial,</t>
  </si>
  <si>
    <t>164267, 187263</t>
  </si>
  <si>
    <t>12/07/2025, 02/02/2026</t>
  </si>
  <si>
    <t>21/01/2026, 02/02/2026</t>
  </si>
  <si>
    <t>Facebook, Painel Gestor</t>
  </si>
  <si>
    <t xml:space="preserve">3971	</t>
  </si>
  <si>
    <t>jose.freitas@7lm.com.br</t>
  </si>
  <si>
    <t>SANTA INES MA</t>
  </si>
  <si>
    <t>Rua Claudiano Rocha, Q. 35</t>
  </si>
  <si>
    <t>Considerar venda para fins de comissão e meta para o corretor.</t>
  </si>
  <si>
    <t xml:space="preserve">4276	</t>
  </si>
  <si>
    <t>Contratos cancelados para troca de unidade.</t>
  </si>
  <si>
    <t>Favor cancelar reserva. Cliente mudou de unidade.</t>
  </si>
  <si>
    <t>anthony.casagrandecbb@gmail.com</t>
  </si>
  <si>
    <t>RUA VISCONDE DE PORTO SEGURO, APART - 301</t>
  </si>
  <si>
    <t>Solicito o cancelamento da reserva, cliente não conseguiu dependente, a unica que poderia ser é a avó, mas devido a brigas da familia, ela esta proibidade se ser a dependente do cliente.</t>
  </si>
  <si>
    <t>CLLIENTE COM DIFICULDADE PARA DEPENDENTE</t>
  </si>
  <si>
    <t xml:space="preserve">4699	</t>
  </si>
  <si>
    <t>caiocesarr2017@gmail.com</t>
  </si>
  <si>
    <t>BRUMADO-BA</t>
  </si>
  <si>
    <t>VIA 10 Q. 145, L. 1 Q</t>
  </si>
  <si>
    <t>MP430705</t>
  </si>
  <si>
    <t>ficou de assinar os formularios dia 10-02 a noite.</t>
  </si>
  <si>
    <t>Bloco 01-0403</t>
  </si>
  <si>
    <t xml:space="preserve">5361	</t>
  </si>
  <si>
    <t>karlasf15@hotmail.com</t>
  </si>
  <si>
    <t>Avenida Central Área Especial</t>
  </si>
  <si>
    <t>pabloisaacsantospereira1@gmail.com</t>
  </si>
  <si>
    <t>QUADRA B CHACARA 19A</t>
  </si>
  <si>
    <t>Cliente não seguir, por favor realizar cancelamento</t>
  </si>
  <si>
    <t>Bloco 09-0204</t>
  </si>
  <si>
    <t xml:space="preserve">4013	</t>
  </si>
  <si>
    <t>anaiziav6@gmail.com</t>
  </si>
  <si>
    <t>SETOR DE HABITAÇÃO LAGO NORTE</t>
  </si>
  <si>
    <t>VILA VARJAO TORTO QD 11 CJ A LT03</t>
  </si>
  <si>
    <t>Joaopaulopadua00@gmail.com</t>
  </si>
  <si>
    <t>CORUMBA GOIAS</t>
  </si>
  <si>
    <t>Quadra 77</t>
  </si>
  <si>
    <t>Andreluizsantosmiranda5@gmail.com</t>
  </si>
  <si>
    <t>Jardim da Barragem</t>
  </si>
  <si>
    <t>Rua 08, Q. 13, L. 16</t>
  </si>
  <si>
    <t>solicito cancelamento da reserva, motivo: cliente foi influenciado por terceiros.</t>
  </si>
  <si>
    <t>dj_pedro_x@hotmail.com</t>
  </si>
  <si>
    <t>Rua 3C Chácara 27C</t>
  </si>
  <si>
    <t>A cliente informou que não deseja dar continuidade, pois adquiriu um imóvel na Bela Mares, em razão de o imóvel oferecer área de lazer completa e estar localizado próximo à residência de sua mãe, o que atendeu 100% às suas necessidades.</t>
  </si>
  <si>
    <t>gabrielkfn2002@gmail.com</t>
  </si>
  <si>
    <t>Uberaba - MG</t>
  </si>
  <si>
    <t>Chacaras Coimbra</t>
  </si>
  <si>
    <t>Rua Sem Nome, Q. 8,</t>
  </si>
  <si>
    <t>Comprador com o financiamento ativo na CEF.</t>
  </si>
  <si>
    <t>solicito cancelamento reserva, motivo: Cliente possui financiamento ativo na Caixa e já foi beneficiado pelo subsídio do Governo Federal.</t>
  </si>
  <si>
    <t xml:space="preserve">4275	</t>
  </si>
  <si>
    <t>santanaelson743@gmail.com</t>
  </si>
  <si>
    <t>RUA DR. SINVAL G DE OLIVEIRA Q 28</t>
  </si>
  <si>
    <t>MP423822</t>
  </si>
  <si>
    <t>aguardando o vinculo de 3 anos ara agehab</t>
  </si>
  <si>
    <t xml:space="preserve">4685	</t>
  </si>
  <si>
    <t>isabellalandimdeoliveira19@gmail.com</t>
  </si>
  <si>
    <t>MP430698</t>
  </si>
  <si>
    <t xml:space="preserve">4237	</t>
  </si>
  <si>
    <t>98311549priih@gmail.com</t>
  </si>
  <si>
    <t>VIA 15 A QUADRA 108 E 125</t>
  </si>
  <si>
    <t>MP423817</t>
  </si>
  <si>
    <t>Jessicamaiaralima3@gmail.com</t>
  </si>
  <si>
    <t>CEILÂNDIA</t>
  </si>
  <si>
    <t>QNN 20, CONJ F, CASA 36</t>
  </si>
  <si>
    <t xml:space="preserve">Solicito cancelamento da venda. Cliente foi demitida do serviço.
Francisco Lucielio de Queiroz
</t>
  </si>
  <si>
    <t xml:space="preserve">4323	</t>
  </si>
  <si>
    <t>fabiabatista65@gmail.com</t>
  </si>
  <si>
    <t>UTINGA-BA</t>
  </si>
  <si>
    <t>VILA IARA</t>
  </si>
  <si>
    <t>RUA POLY COELHO Q. 3</t>
  </si>
  <si>
    <t xml:space="preserve">cliente desistiu
Patrícia Cristina
</t>
  </si>
  <si>
    <t>Desistiu após conversar com o gerente da agência</t>
  </si>
  <si>
    <t>gsilvafarias7@gmail.com</t>
  </si>
  <si>
    <t>AREA RURAL</t>
  </si>
  <si>
    <t>FAZENDA STA CRUZ</t>
  </si>
  <si>
    <t>Cliente desisitiu, favor cancelar a reserva.</t>
  </si>
  <si>
    <t>CLIENTE DESISITU, PRECISA RESOLVER ALGUMAS PENDENCIAS . VAI TENTAR COMPRAR EM UNS 3 MESES</t>
  </si>
  <si>
    <t xml:space="preserve">3949	</t>
  </si>
  <si>
    <t>is8947367@gmail.com</t>
  </si>
  <si>
    <t>SANTA LUZIA - MA</t>
  </si>
  <si>
    <t>Setor 2 - Conjunto B</t>
  </si>
  <si>
    <t>Rua araguaia, Q 44,</t>
  </si>
  <si>
    <t>fd621448@gmail.com</t>
  </si>
  <si>
    <t>BATALHA-AL</t>
  </si>
  <si>
    <t>SÃO VICENTE</t>
  </si>
  <si>
    <t>RUA 04</t>
  </si>
  <si>
    <t>cliente solicitou o cancelamento, esta com algumas dividas e não consegue arcar com juros obra no momento. Vai pagar as pendencias e tentar novamente em uns 3 messes.</t>
  </si>
  <si>
    <t>CLIENTE DESISTIU</t>
  </si>
  <si>
    <t xml:space="preserve">3997	</t>
  </si>
  <si>
    <t>larissamor517@gmail.com</t>
  </si>
  <si>
    <t>SHSN TR 02 Q 105 CJ D LT 35</t>
  </si>
  <si>
    <t>Bloco 19-0204</t>
  </si>
  <si>
    <t xml:space="preserve">4834	</t>
  </si>
  <si>
    <t>marceloleitesilva097@gmail.com</t>
  </si>
  <si>
    <t>RUA SANTA GERTRUDES NÚMERO 161 SETOR NORDESTE</t>
  </si>
  <si>
    <t>MP430696</t>
  </si>
  <si>
    <t>clientes.kaihara@gmail.com</t>
  </si>
  <si>
    <t>Buritis - MG</t>
  </si>
  <si>
    <t>RUA COMUNITARIA, CASA NOVA</t>
  </si>
  <si>
    <t>L K Kaihara Ltda.</t>
  </si>
  <si>
    <t>Kaihara Empreendimentos Imobiliários</t>
  </si>
  <si>
    <t>Solicito o cancelamento da reserva, cliente não conseguiu fiador e teve incentivo de um amigo para fechar com Bella mares.</t>
  </si>
  <si>
    <t>Comprou Bela Mares</t>
  </si>
  <si>
    <t>diegosousamnr@gmail.com</t>
  </si>
  <si>
    <t>jardim aguas lindas</t>
  </si>
  <si>
    <t>RUA SETOR DE CHACARAS, QD. 06 LT 06</t>
  </si>
  <si>
    <t>Bloco 13-0202</t>
  </si>
  <si>
    <t xml:space="preserve">4728	</t>
  </si>
  <si>
    <t>nathallyornelas00@gmail.com</t>
  </si>
  <si>
    <t>Rua 19 Q 74 L 12</t>
  </si>
  <si>
    <t>MP430694</t>
  </si>
  <si>
    <t>Bloco 18-0002</t>
  </si>
  <si>
    <t xml:space="preserve">4813	</t>
  </si>
  <si>
    <t>emersona194@gmail.com</t>
  </si>
  <si>
    <t>RUA 20 Q 14 L 27</t>
  </si>
  <si>
    <t>Precisa de 2 fiadores</t>
  </si>
  <si>
    <t>milenedemoura13@gmail.com</t>
  </si>
  <si>
    <t>SANTA MARIA NORTE</t>
  </si>
  <si>
    <t>QR 215 CJ E</t>
  </si>
  <si>
    <t>solicito cancelamento da reserva, motivo: cliente parou de responder o corretor a varios dias.</t>
  </si>
  <si>
    <t>Bloco 01-0001</t>
  </si>
  <si>
    <t xml:space="preserve">4227	</t>
  </si>
  <si>
    <t>jhonnyaugusto2019@gmail.com</t>
  </si>
  <si>
    <t>RUA 11 Q 102</t>
  </si>
  <si>
    <t>DAIANA SOARES DA ROCHA</t>
  </si>
  <si>
    <t>MP423816</t>
  </si>
  <si>
    <t>BLOCO L</t>
  </si>
  <si>
    <t xml:space="preserve">4062	</t>
  </si>
  <si>
    <t>lucasrodriguessanti123@gmail.com</t>
  </si>
  <si>
    <t>Guara</t>
  </si>
  <si>
    <t>EPTG QE 02 PROJECAO B</t>
  </si>
  <si>
    <t xml:space="preserve">5013	</t>
  </si>
  <si>
    <t>ranyel.sena@gmail.com</t>
  </si>
  <si>
    <t>PORTO VELHO - RO</t>
  </si>
  <si>
    <t>MANSOES OLINDA</t>
  </si>
  <si>
    <t>QA 18 BLOCO B RUA 14</t>
  </si>
  <si>
    <t xml:space="preserve">Bom dia, por gentileza cancelar a reserva, cliente perdeu o emprego, não consegue seguir com o processo. 
Douglas Silva - Assistente do Crédito. 
         CRECI-GO 39929
       F&amp;amp;W: 61 98657-0469
</t>
  </si>
  <si>
    <t>Walissongomes007@gmail.com</t>
  </si>
  <si>
    <t>Rua 9 Q 55 CASA 1</t>
  </si>
  <si>
    <t>Bom dia
solicito cancelamento da reserva, o cliente rodoou em outro CCA e não tem interesse de seguir conosco.</t>
  </si>
  <si>
    <t>OUTRO CCA CANCELOU APROV DO CLIENTE</t>
  </si>
  <si>
    <t xml:space="preserve">4487	</t>
  </si>
  <si>
    <t>iracemasousamachado@gmail.com</t>
  </si>
  <si>
    <t>ITAUEIRA - PI</t>
  </si>
  <si>
    <t>Q 10</t>
  </si>
  <si>
    <t>geovanaferreiralopes608@gmail.com</t>
  </si>
  <si>
    <t>Rua dos Domenicanos Q32 L10 APT 03</t>
  </si>
  <si>
    <t>MARIO ALVES LAMOUNIER JUNIOR - DESLIGADO</t>
  </si>
  <si>
    <t>MARIO ALVES LAMOUNIER JUNIOR</t>
  </si>
  <si>
    <t>Boa tarde, solicito cancelamento  da reserva.
Cliente quer casa, e não possui interesse de seguir.</t>
  </si>
  <si>
    <t>QUER CASA, ESTAMOS TENTANDO RECUPERAR</t>
  </si>
  <si>
    <t>Bloco 12-0103</t>
  </si>
  <si>
    <t xml:space="preserve">4709	</t>
  </si>
  <si>
    <t>brualvesdossantos893@gmail.com</t>
  </si>
  <si>
    <t>RUA BOA VISTA</t>
  </si>
  <si>
    <t>MP430693</t>
  </si>
  <si>
    <t>jhoneciano87@gmail.com</t>
  </si>
  <si>
    <t>PIANCÓ - PB</t>
  </si>
  <si>
    <t>CLN 7 Bloco D</t>
  </si>
  <si>
    <t>O cliente solicitou o cancelamento, pois sua família irá auxiliá-lo na aquisição de um imóvel no Recanto das Emas, com valor mais elevado, optando por não dar continuidade conosco.</t>
  </si>
  <si>
    <t>theusgms5246@gmail.com</t>
  </si>
  <si>
    <t>Quadra 46 Conjunto B, Q. 103. LOTE 7 AP 205</t>
  </si>
  <si>
    <t xml:space="preserve">Bom dia!!
Solicito cancelamento da reserva. Cliente informou que não vai conseguir arcar com os custos do financiamento nesse momento. 
Francisco Lucielio de Queiroz
</t>
  </si>
  <si>
    <t>juvartsss@gmail.com</t>
  </si>
  <si>
    <t>SIMOES FILHO - BH</t>
  </si>
  <si>
    <t>AVENIDA VALERIANO DE CASTRO</t>
  </si>
  <si>
    <t>Perdeu a fonte pagadora.\n</t>
  </si>
  <si>
    <t xml:space="preserve">Solicito cancelamento. Foi demitido e nao tem como seguir
Patrícia Cristina
</t>
  </si>
  <si>
    <t>MP423818</t>
  </si>
  <si>
    <t>Sem dependente</t>
  </si>
  <si>
    <t xml:space="preserve">4317	</t>
  </si>
  <si>
    <t>cleitonsousagomes986@gmail.com</t>
  </si>
  <si>
    <t>VIA 12</t>
  </si>
  <si>
    <t>MP423819</t>
  </si>
  <si>
    <t>CLIENTE PAGOU AS PENDENCIAS, AGUARDANDO SAIR PARA ASSINAR.</t>
  </si>
  <si>
    <t>Marizethtorres1702@gmail.com</t>
  </si>
  <si>
    <t>VIA 16</t>
  </si>
  <si>
    <t>Thamires Ferreira da Silva - CLT</t>
  </si>
  <si>
    <t>Favor cancelar reserva. Cliente não conseguiu o sinal e o companheiro quer casa.</t>
  </si>
  <si>
    <t>Sinal de 5K e companheiro quer casa.</t>
  </si>
  <si>
    <t xml:space="preserve">4517	</t>
  </si>
  <si>
    <t>fatimanena03@gmail.com</t>
  </si>
  <si>
    <t>PV VENDINHA-PADRE BERNARDO</t>
  </si>
  <si>
    <t>RUA 7 Q 68 L 16</t>
  </si>
  <si>
    <t>marconepires006@gmail.com</t>
  </si>
  <si>
    <t>Área Rural FAZENDA BROCOTÓ</t>
  </si>
  <si>
    <t>Boa tarde,
solicito cancelamento da reserva, cliente não possui movimentação suficiente para seguir.</t>
  </si>
  <si>
    <t>CLIENTE COM RESTRIÇÃO</t>
  </si>
  <si>
    <t xml:space="preserve">4259	</t>
  </si>
  <si>
    <t>RYANDJESUS13@GMAIL.COM</t>
  </si>
  <si>
    <t>SETOR MARIANO MACHADO</t>
  </si>
  <si>
    <t>RUA FELIPE MARTINS, N° S/N, SETOR MARIANO MACHADO Q 10, L 04</t>
  </si>
  <si>
    <t>Cliente perdeu a fonte pagadora.</t>
  </si>
  <si>
    <t xml:space="preserve">sliente foi desligado da empresa e nao tem como seguir com o financimento
Patrícia Cristina
</t>
  </si>
  <si>
    <t>Perdeu o emprego</t>
  </si>
  <si>
    <t xml:space="preserve">4247	</t>
  </si>
  <si>
    <t>pereiravivian222@gmail.com</t>
  </si>
  <si>
    <t>NOVA FLORES</t>
  </si>
  <si>
    <t>RUA O5 , PC170 , NOVA FLORES , Q.15 , FLORES DE GOIAS</t>
  </si>
  <si>
    <t>MP423814</t>
  </si>
  <si>
    <t>solicito o cancelamento da reserva, para troca de uniade.</t>
  </si>
  <si>
    <t>troca de unidade</t>
  </si>
  <si>
    <t xml:space="preserve">4416	</t>
  </si>
  <si>
    <t>andreevangelista317@gmail.com</t>
  </si>
  <si>
    <t>Quadra 94</t>
  </si>
  <si>
    <t>185874, 186389</t>
  </si>
  <si>
    <t>23/01/2026, 27/01/2026</t>
  </si>
  <si>
    <t>Reserva, NOVEMBRO 25 | PUBLICO ABERTO 02  | Educativo Verde [7LM AGL]</t>
  </si>
  <si>
    <t>Painel Gestor, Facebook</t>
  </si>
  <si>
    <t xml:space="preserve">5378	</t>
  </si>
  <si>
    <t>gabrielira7001@gmail.com</t>
  </si>
  <si>
    <t>Gurupi-TO</t>
  </si>
  <si>
    <t>RF I, QN 1, Conjunto 9, Casa</t>
  </si>
  <si>
    <t>Espelho OK
Autorizado.</t>
  </si>
  <si>
    <t xml:space="preserve">4034	</t>
  </si>
  <si>
    <t>marienicolecolomb6@gmail.com</t>
  </si>
  <si>
    <t>JARDIM PEROLA DA BARRAGEM I</t>
  </si>
  <si>
    <t>RUA 06 Q 11 L 8</t>
  </si>
  <si>
    <t xml:space="preserve">4249	</t>
  </si>
  <si>
    <t>welytonjuniorj@gmail.com</t>
  </si>
  <si>
    <t>SIMOLANDIA GO</t>
  </si>
  <si>
    <t>RUA MIGUEL SILVA APT 406 TORRE A</t>
  </si>
  <si>
    <t>MP423815</t>
  </si>
  <si>
    <t xml:space="preserve">4719	</t>
  </si>
  <si>
    <t>paulohenriquep776@gmail.com</t>
  </si>
  <si>
    <t>RUA 12 Q 71</t>
  </si>
  <si>
    <t>MP430690</t>
  </si>
  <si>
    <t xml:space="preserve">4634	</t>
  </si>
  <si>
    <t>jggmf2004@gmail.com</t>
  </si>
  <si>
    <t>RUA DR SINVAL G. DE OLIVEIRA, Q. 28, L. 03</t>
  </si>
  <si>
    <t>MP430712</t>
  </si>
  <si>
    <t>esperando sair a restrição, ja foi paga</t>
  </si>
  <si>
    <t>Bloco 11-0101</t>
  </si>
  <si>
    <t xml:space="preserve">4691	</t>
  </si>
  <si>
    <t>bonfimkewer@gmail.com</t>
  </si>
  <si>
    <t>PRAÇA DO ESPORTE QD 03B</t>
  </si>
  <si>
    <t>MP430688</t>
  </si>
  <si>
    <t xml:space="preserve">3621	</t>
  </si>
  <si>
    <t>santanaledi@hotmail.com</t>
  </si>
  <si>
    <t>RESIDENCIAL VIDA NOVA I</t>
  </si>
  <si>
    <t>RUA AGATA, Q. 3, L. 14</t>
  </si>
  <si>
    <t>MP444507</t>
  </si>
  <si>
    <t xml:space="preserve">4535	</t>
  </si>
  <si>
    <t>jhonatansouaressousa@gmail.com</t>
  </si>
  <si>
    <t>SAO PAULO SP</t>
  </si>
  <si>
    <t>VILLAGE</t>
  </si>
  <si>
    <t>RUA G</t>
  </si>
  <si>
    <t>MP430686</t>
  </si>
  <si>
    <t xml:space="preserve">4624	</t>
  </si>
  <si>
    <t>gustavo.danillo05@gmail.com</t>
  </si>
  <si>
    <t>RUA 6, Q. 5, L. 5</t>
  </si>
  <si>
    <t>MP430691</t>
  </si>
  <si>
    <t>Bloco 08-0304</t>
  </si>
  <si>
    <t xml:space="preserve">4001	</t>
  </si>
  <si>
    <t>weverton23jesusdossantos@gmail.com</t>
  </si>
  <si>
    <t>SETOR 12</t>
  </si>
  <si>
    <t>QUADRA 76 CONJUNTO A</t>
  </si>
  <si>
    <t xml:space="preserve">4550	</t>
  </si>
  <si>
    <t>aricelma-fsa@hotmail.com</t>
  </si>
  <si>
    <t>MORPORA-BA</t>
  </si>
  <si>
    <t>RUA ROSALVO OLIMPO COSTA. Q. 73, APART - 101</t>
  </si>
  <si>
    <t>MP430692</t>
  </si>
  <si>
    <t xml:space="preserve">3978	</t>
  </si>
  <si>
    <t>jv163807@gmail.com</t>
  </si>
  <si>
    <t>Vilage</t>
  </si>
  <si>
    <t>RUA 23, QD 24, LOTE 06</t>
  </si>
  <si>
    <t xml:space="preserve"> Autorizado a assinatura do contrato caixa.</t>
  </si>
  <si>
    <t xml:space="preserve">5014	</t>
  </si>
  <si>
    <t>pereiracleyton453@gmail.com</t>
  </si>
  <si>
    <t>Água Limpa</t>
  </si>
  <si>
    <t>PEROLA 2</t>
  </si>
  <si>
    <t xml:space="preserve">Bom dia, por favor cancelar reserva, cliente não tem dependente. 
Douglas Silva - Assistente do Crédito. 
         CRECI-GO 39929
       F&amp;amp;W: 61 98657-0469
</t>
  </si>
  <si>
    <t>Falta dependente</t>
  </si>
  <si>
    <t>Bloco 04-0302</t>
  </si>
  <si>
    <t xml:space="preserve">4941	</t>
  </si>
  <si>
    <t>luanlls610@gmail.com</t>
  </si>
  <si>
    <t>COLONIAL PARK</t>
  </si>
  <si>
    <t>Rua Um, Q.8</t>
  </si>
  <si>
    <t>solicito cancelamento da reserva, motivo: cliente visitou o empreendimento e nao gostou da regiao.</t>
  </si>
  <si>
    <t>eduardoscsilva09@gmail.com</t>
  </si>
  <si>
    <t>AVENIDA FERROVIÁRIA D</t>
  </si>
  <si>
    <t>Não tem direito ao Cheque Moradia</t>
  </si>
  <si>
    <t>CLIENTE INFORMOU NÃO SER CASADO, PORÉM É. E TAMBÉM JÁ FOI CONTEMPLADO PELA AGEHAB</t>
  </si>
  <si>
    <t>CLIENTE CONTEMPLADO PELO AGEHAB EM OUTRA CIDADE</t>
  </si>
  <si>
    <t xml:space="preserve">4693	</t>
  </si>
  <si>
    <t>limadriacajulia09@gmail.com</t>
  </si>
  <si>
    <t>Praça do Esporte</t>
  </si>
  <si>
    <t>MP430685</t>
  </si>
  <si>
    <t>Bloco 12-0003</t>
  </si>
  <si>
    <t xml:space="preserve">4721	</t>
  </si>
  <si>
    <t>Brunalayane1195@gmail.com</t>
  </si>
  <si>
    <t>JARDIM CALIFÓRNIA</t>
  </si>
  <si>
    <t>Rua Frei Manoel Q 55 L 17</t>
  </si>
  <si>
    <t>MP430683</t>
  </si>
  <si>
    <t xml:space="preserve">4577	</t>
  </si>
  <si>
    <t>Cliente mudou de unidade.</t>
  </si>
  <si>
    <t xml:space="preserve">4075	</t>
  </si>
  <si>
    <t>DARLIS303@GMAIL.COM</t>
  </si>
  <si>
    <t>Paula Cícera Pereira de Oliveira Santos - CLT</t>
  </si>
  <si>
    <t xml:space="preserve">Kit Cheque Moradia aprovado. Aguardando a emissão do contrato AGEHAB.
Autorizado a assinatura do contrato caixa. </t>
  </si>
  <si>
    <t>Asuardando formulários</t>
  </si>
  <si>
    <t>angelagabyaz@gmail.com</t>
  </si>
  <si>
    <t>Rua 4A Blocos 2 e 3</t>
  </si>
  <si>
    <t>Boa tarde,
Solicito o cancelamento da reserva, tendo em vista que, após conversa com seus pais, a cliente optou por não prosseguir com a aquisição do imóvel neste momento. Segundo informado, ambos não concordaram com a compra, por entenderem que a aquisição não seria oportuna para a cliente neste período.
Diante disso, o processo foi devidamente esclarecido à cliente, que formalizou o pedido de cancelamento da reserva.
Fico à disposição para quaisquer esclarecimentos adicionais</t>
  </si>
  <si>
    <t xml:space="preserve">4536	</t>
  </si>
  <si>
    <t>lucas.peres1404@gmail.com</t>
  </si>
  <si>
    <t>AVENIDA MTO JOAO LUIZ DO ESPIRITO SANTO, Q. 3, APART - 101</t>
  </si>
  <si>
    <t>MP430687</t>
  </si>
  <si>
    <t xml:space="preserve">5404	</t>
  </si>
  <si>
    <t>danielgilschneider@hotmail.com</t>
  </si>
  <si>
    <t>QNO 3, Conjunto A, Bloco A, St 12, Apto</t>
  </si>
  <si>
    <t xml:space="preserve">Espelho validado.
</t>
  </si>
  <si>
    <t>Bloco 08-0203</t>
  </si>
  <si>
    <t xml:space="preserve">4349	</t>
  </si>
  <si>
    <t>jeisimariafranciscodossantos@gmail.com</t>
  </si>
  <si>
    <t>RUA PARACATU Q 0 L 0</t>
  </si>
  <si>
    <t>Boa tarde!
Kit registro anexado.</t>
  </si>
  <si>
    <t>yungvino215@gmail.com</t>
  </si>
  <si>
    <t>Boa tarde, Prezados!!
Solicito cancelamento da reserva #6573
Motivo: cliente foi desligado da empresa onde trabalhava.</t>
  </si>
  <si>
    <t>Cliente foi desligado 19/01/2026</t>
  </si>
  <si>
    <t xml:space="preserve">3969	</t>
  </si>
  <si>
    <t>ph9489347@gmail.com</t>
  </si>
  <si>
    <t>MEU QUINHAO</t>
  </si>
  <si>
    <t>RUA 17, Q. 2, L.</t>
  </si>
  <si>
    <t>Peço o distrato deste reserva considerando que foi reprovado em fase de dossiê e, ainda, por determinação da diretoria comercial para distratar as reservas da obra AGL30 que não vao repassar nos proximos dias.</t>
  </si>
  <si>
    <t>ramonmendesdeoliveira45@gmail.com</t>
  </si>
  <si>
    <t>Quadra 45 Conjunto A</t>
  </si>
  <si>
    <t xml:space="preserve">Cliente informou que não vai dar continuidade por motivos financeiros. Não consegue arcar com o valor do condomínio + parcela + construtora.
Francisco Lucielio de Queiroz
</t>
  </si>
  <si>
    <t>felipelupelupe@gmail.com</t>
  </si>
  <si>
    <t>CEILANDIA II</t>
  </si>
  <si>
    <t>COND BURITIS CH 02 M1 LT</t>
  </si>
  <si>
    <t>O cliente informou que não dará seguimento no momento, pois a aquisição do imóvel não é viável agora. Atualmente reside com a mãe e, mesmo após tentativas de contornar as objeções, relatou que chegou a demonstrar interesse, porém, após a ocorrência de um fato pessoal, optou por não prosseguir.</t>
  </si>
  <si>
    <t xml:space="preserve">4974	</t>
  </si>
  <si>
    <t>andreinasousa9613@gmail.com</t>
  </si>
  <si>
    <t>TOCANTIS - TO</t>
  </si>
  <si>
    <t>CEILANDIA 2</t>
  </si>
  <si>
    <t>CH  149 A L</t>
  </si>
  <si>
    <t>Abedênego Diniz Corrêa - CLT</t>
  </si>
  <si>
    <t xml:space="preserve">A cliente solicitou o cancelamento da reserva em razão de já possuir um imóvel e, no momento, não ter interesse em investir em um novo bem. Informou que pretende retomar esse interesse apenas após o mês de março, visto que atualmente está sem orçamento disponível para financiamento e não deseja arcar com a evolução de obra neste período.
Além dos pontos mencionados, a cliente sinalizou que existem outros motivos de cunho pessoal, os quais optou por não expor após o fechamento. </t>
  </si>
  <si>
    <t>Wimóveis</t>
  </si>
  <si>
    <t xml:space="preserve">5967	</t>
  </si>
  <si>
    <t>misaraujo19@gmail.com</t>
  </si>
  <si>
    <t>QUADRA 30, JARDIM DA BARRAGEM II</t>
  </si>
  <si>
    <t>QUADRA 30</t>
  </si>
  <si>
    <t>NOVA MORADA IMOBILIARIA</t>
  </si>
  <si>
    <t>183490, 184164</t>
  </si>
  <si>
    <t>11/01/2026, 15/01/2026</t>
  </si>
  <si>
    <t>Sem conversão, Painel Gestor</t>
  </si>
  <si>
    <t>WebSite, Painel Imobiliária</t>
  </si>
  <si>
    <t xml:space="preserve">4653	</t>
  </si>
  <si>
    <t>pr3329@icloud.com</t>
  </si>
  <si>
    <t>Outdoor / Mobiliário Urbano</t>
  </si>
  <si>
    <t xml:space="preserve">4466	</t>
  </si>
  <si>
    <t>robertaoliveira0112@gmail.com</t>
  </si>
  <si>
    <t>MANSÕES POR DO SOL</t>
  </si>
  <si>
    <t>RUA POR DO SOL QD. B-02 LT.08 NR. BL - I APTO 202</t>
  </si>
  <si>
    <t>Bloco 21-0104</t>
  </si>
  <si>
    <t xml:space="preserve">4865	</t>
  </si>
  <si>
    <t>sdeisiane237@gmail.com</t>
  </si>
  <si>
    <t>ARARIPINA PE</t>
  </si>
  <si>
    <t>RUA COMUNITARIA Q 6 L 4</t>
  </si>
  <si>
    <t>MP430682</t>
  </si>
  <si>
    <t>hebert1821@hotmail.com</t>
  </si>
  <si>
    <t>BURITINOPOLIS GO</t>
  </si>
  <si>
    <t>SETOR 1</t>
  </si>
  <si>
    <t>QD 51 L 11 CJ B</t>
  </si>
  <si>
    <t>Fluxo financeiro fora da tabela, não pagou o sinal no prazo e não abriremos exceção para esse caso</t>
  </si>
  <si>
    <t>aguardando os fiadores.</t>
  </si>
  <si>
    <t xml:space="preserve">4339	</t>
  </si>
  <si>
    <t>clarazap379@gmail.com</t>
  </si>
  <si>
    <t>Avenida Posto Agropecuário</t>
  </si>
  <si>
    <t>MP423810</t>
  </si>
  <si>
    <t>Bloco 08-0202</t>
  </si>
  <si>
    <t xml:space="preserve">4646	</t>
  </si>
  <si>
    <t>clarissebellamio@gmail.com</t>
  </si>
  <si>
    <t>FRANCA - SP</t>
  </si>
  <si>
    <t>RUA 4 QUADRA 08</t>
  </si>
  <si>
    <t>Panfleto</t>
  </si>
  <si>
    <t>MP430684</t>
  </si>
  <si>
    <t>jjautocenter212@gmail.com</t>
  </si>
  <si>
    <t>Rua 3B Chácara 43</t>
  </si>
  <si>
    <t>analuizavllr@gmail.com</t>
  </si>
  <si>
    <t>Sul América</t>
  </si>
  <si>
    <t>VIA 2 Q A L 12</t>
  </si>
  <si>
    <t>CLIENTE FOI INFLUENCIA POR TERCEIRO A DESISTIR DO EMPREENDIMENTO E TENTAR COMPRAR UMA CASA</t>
  </si>
  <si>
    <t>Bloco 14-0004</t>
  </si>
  <si>
    <t xml:space="preserve">4754	</t>
  </si>
  <si>
    <t>erik.vieiraf13@gmail.com</t>
  </si>
  <si>
    <t>Rua 16</t>
  </si>
  <si>
    <t>183171, 181342</t>
  </si>
  <si>
    <t>09/01/2026, 22/12/2025</t>
  </si>
  <si>
    <t>20/02/2026, 06/01/2026</t>
  </si>
  <si>
    <t>davieli_@hotmail.com</t>
  </si>
  <si>
    <t>Viçosa do Ceará - CE</t>
  </si>
  <si>
    <t>CEILANDIA SUL</t>
  </si>
  <si>
    <t>QNN 8 CONJUNTO K</t>
  </si>
  <si>
    <t>solicito cancelamento da reserva, motivo: cliente visitou o empreendimento e nao gostou do bairro.</t>
  </si>
  <si>
    <t>Bloco 12-0202</t>
  </si>
  <si>
    <t xml:space="preserve">4712	</t>
  </si>
  <si>
    <t>marcosgtavini@gmail.com</t>
  </si>
  <si>
    <t>RUA EMANOEL, Q 48</t>
  </si>
  <si>
    <t>Placas</t>
  </si>
  <si>
    <t>Pendente Ficha AGEHAB para assinatura digital</t>
  </si>
  <si>
    <t>Bloco 14-0003</t>
  </si>
  <si>
    <t xml:space="preserve">4753	</t>
  </si>
  <si>
    <t>Favor cancelar reserva. Troca de unidade.</t>
  </si>
  <si>
    <t xml:space="preserve">4392	</t>
  </si>
  <si>
    <t>Victorsidney8@gmail.com</t>
  </si>
  <si>
    <t>QR 1031 CJ 06 LT</t>
  </si>
  <si>
    <t>Kit Cheque Moradia aprovado. Aguardando a emissão do contrato AGEHAB.
Pendente pagamento da diferença sinal.
Autorizado a assinatura do contrato caixa. (CONFORME APROVADO PELO BRUNO).</t>
  </si>
  <si>
    <t>Kits Entregue, aguardando validação do credito.</t>
  </si>
  <si>
    <t>Bloco 20-0204</t>
  </si>
  <si>
    <t xml:space="preserve">4850	</t>
  </si>
  <si>
    <t>camilalacerdas909@gmail.com</t>
  </si>
  <si>
    <t>RUA 9 Q 55</t>
  </si>
  <si>
    <t xml:space="preserve">4231	</t>
  </si>
  <si>
    <t>tiagojrocha01@gmail.com</t>
  </si>
  <si>
    <t>Rua Mansões Oeste Q. M, L. 314</t>
  </si>
  <si>
    <t>MP423812</t>
  </si>
  <si>
    <t>bs024367@gmail.com</t>
  </si>
  <si>
    <t>NITEROI RJ</t>
  </si>
  <si>
    <t>QSC 19 CH 26 CJ G BL B</t>
  </si>
  <si>
    <t>Auditoria Ok.</t>
  </si>
  <si>
    <t>183661, 183969</t>
  </si>
  <si>
    <t>12/01/2026, 14/01/2026</t>
  </si>
  <si>
    <t>WebSite, Painel Gestor</t>
  </si>
  <si>
    <t>Bloco 21-0203</t>
  </si>
  <si>
    <t xml:space="preserve">4857	</t>
  </si>
  <si>
    <t>mirandatamires2004@gmail.com</t>
  </si>
  <si>
    <t>Rua Bem-ti-vi</t>
  </si>
  <si>
    <t>MP430677</t>
  </si>
  <si>
    <t>eduardolucaseduardoalmeidadoss@gmail.com</t>
  </si>
  <si>
    <t>PARNAIBA PI</t>
  </si>
  <si>
    <t>RECANTO DA EMAS</t>
  </si>
  <si>
    <t>QD 300 CJ 4</t>
  </si>
  <si>
    <t xml:space="preserve">Considerando que ate o momento o cliente e sua dependente não compareceu na agencia para entrevista, e, ainda, por determinação da diretoria, peço o distrato desta reserva. </t>
  </si>
  <si>
    <t xml:space="preserve">3999	</t>
  </si>
  <si>
    <t>rdrgfeitosa@gmail.com</t>
  </si>
  <si>
    <t>MANSÕES OLINDA</t>
  </si>
  <si>
    <t>RUA 18, Q A-20, L 13 APARTAMENTO 102 BLOCO A</t>
  </si>
  <si>
    <t>Empreendimento incorreto no contrato CEF.</t>
  </si>
  <si>
    <t xml:space="preserve">4762	</t>
  </si>
  <si>
    <t>tamile21@hotmail.com</t>
  </si>
  <si>
    <t>RUA VISCONDE DE PORTO SEGURO</t>
  </si>
  <si>
    <t>SINAL SERA PAGO NA ASSINATURA DA MINUTA</t>
  </si>
  <si>
    <t>amandaisa76@gmail.com</t>
  </si>
  <si>
    <t>BRASILIA</t>
  </si>
  <si>
    <t>Chácara Coimbra</t>
  </si>
  <si>
    <t>Rua 2 Nr CH – P  BLOCO F APT 04  Q 07 L 01</t>
  </si>
  <si>
    <t>Autônomos | AGL</t>
  </si>
  <si>
    <t xml:space="preserve">Boa tarde, cliente foi desligada, não tem como seguir.  
Douglas Silva - Assistente do Crédito. 
         CRECI-GO 39929
       F&amp;amp;W: 61 98657-0469
</t>
  </si>
  <si>
    <t>a cliente esta trocando de unidade.</t>
  </si>
  <si>
    <t>Solicito o cancelamento da reserva, a cliente esta trocando de unidade.</t>
  </si>
  <si>
    <t>cliente esta em troca de unidade para comprar no JARDINS</t>
  </si>
  <si>
    <t xml:space="preserve">4557	</t>
  </si>
  <si>
    <t>anaclaratavares12347@gmail.com</t>
  </si>
  <si>
    <t>RUA DEZOITO</t>
  </si>
  <si>
    <t xml:space="preserve">Solicito cancelamento.
Cliente desistiu.
Patrícia Cristina
</t>
  </si>
  <si>
    <t>Não esta mais respondendo o corretor</t>
  </si>
  <si>
    <t xml:space="preserve">4544	</t>
  </si>
  <si>
    <t>mudança de unidade</t>
  </si>
  <si>
    <t xml:space="preserve">Solicito cancelamento da reserva por mudança de unidade
Patrícia Cristina
</t>
  </si>
  <si>
    <t xml:space="preserve">3988	</t>
  </si>
  <si>
    <t>ruabeborgesvieira625@gmail.com</t>
  </si>
  <si>
    <t>CHACARA QUEDAS DO DESCOBERTO</t>
  </si>
  <si>
    <t>RUA 42 QUADRA 33</t>
  </si>
  <si>
    <t>Falta dependente assinar declaração e enviar doc</t>
  </si>
  <si>
    <t xml:space="preserve">3943	</t>
  </si>
  <si>
    <t>negoedanisouza@gmail.com</t>
  </si>
  <si>
    <t>RUA PEDRA LAVRADA NR. CH-P COIMBRA QUADRA 17 LOTE 16</t>
  </si>
  <si>
    <t>Pendente Formulários Caixa, não está gerando</t>
  </si>
  <si>
    <t>thaiy.cruz16@gmail.com</t>
  </si>
  <si>
    <t>PEROLA II, QUADRA 46</t>
  </si>
  <si>
    <t xml:space="preserve">Imobiliária informa que a cliente solicita cancelamento por não conseguir arcar com os custos do processo de compra no momento.
Francisco Lucielio de Queiroz
</t>
  </si>
  <si>
    <t xml:space="preserve">4032	</t>
  </si>
  <si>
    <t>cv463220@gmail.com</t>
  </si>
  <si>
    <t>SHPS Q 107 CONJ A</t>
  </si>
  <si>
    <t xml:space="preserve">4253	</t>
  </si>
  <si>
    <t>flaviosodeboa@gmail.com</t>
  </si>
  <si>
    <t>RUA A</t>
  </si>
  <si>
    <t xml:space="preserve">4343	</t>
  </si>
  <si>
    <t>paulowhick@gmail.com</t>
  </si>
  <si>
    <t>Avenida Valeriano de Castro</t>
  </si>
  <si>
    <t>MP423809</t>
  </si>
  <si>
    <t>VAI ASSINAR OUTRA QR</t>
  </si>
  <si>
    <t xml:space="preserve">3914	</t>
  </si>
  <si>
    <t>ranp9040@gmail.com</t>
  </si>
  <si>
    <t>BOFINOPOLIS DE MINAS - MG</t>
  </si>
  <si>
    <t>Quadra 28 Conjunto D</t>
  </si>
  <si>
    <t>danielarodrigues0905@gmail.com</t>
  </si>
  <si>
    <t>SANTA ROSA</t>
  </si>
  <si>
    <t>RUA SEM NOME</t>
  </si>
  <si>
    <t>Favor solicito o cancelamento da reserva.
Motivo: Cliente fez analise como solteira e depois me informou que e Casada no civil e conjugue não quer fazer uma nova analise para seguir com o processo .</t>
  </si>
  <si>
    <t>CLIENTE INFORMOU QUE É CASADA NO CIVIL, TEMOS QUE RODAR NOVAMENTE</t>
  </si>
  <si>
    <t xml:space="preserve">4234	</t>
  </si>
  <si>
    <t>leandrogomes06092004@gmail.com</t>
  </si>
  <si>
    <t>SOBRADINHO-DF</t>
  </si>
  <si>
    <t>RUA SABIA, Q. 11, L. 21</t>
  </si>
  <si>
    <t>MP423811</t>
  </si>
  <si>
    <t xml:space="preserve">4461	</t>
  </si>
  <si>
    <t>ellenchrislanerochaoliveira@gmail.com</t>
  </si>
  <si>
    <t>MANSIDÃO - BA</t>
  </si>
  <si>
    <t>Perola ll</t>
  </si>
  <si>
    <t>Rua 9, Q 83</t>
  </si>
  <si>
    <t xml:space="preserve">2948	</t>
  </si>
  <si>
    <t>katybellusci@gmail.com</t>
  </si>
  <si>
    <t>CUIABA MT</t>
  </si>
  <si>
    <t>Setor Sudoeste</t>
  </si>
  <si>
    <t>CCSW 6 BLOCO B/C ENTRADA 84</t>
  </si>
  <si>
    <t>Psi Negocios Imobiliarios LTDA</t>
  </si>
  <si>
    <t>Park Business Brasil</t>
  </si>
  <si>
    <t>cuidadoraariane200@gmail.com</t>
  </si>
  <si>
    <t>SÃO ROMÃO MG</t>
  </si>
  <si>
    <t>QNG 36</t>
  </si>
  <si>
    <t xml:space="preserve">Solicito cancelamento da reserva. Segundo a imobiliária o motivo da desistência é que a cliente está com problemas com o TJDF.
Francisco Lucielio de Queiroz
</t>
  </si>
  <si>
    <t xml:space="preserve">3910	</t>
  </si>
  <si>
    <t>Wanielly.nutricionista@gmail.com</t>
  </si>
  <si>
    <t>BARRAS - PI</t>
  </si>
  <si>
    <t>Q 68 LOTE S/N</t>
  </si>
  <si>
    <t>KITS OK.</t>
  </si>
  <si>
    <t xml:space="preserve">3998	</t>
  </si>
  <si>
    <t>iagocarlos2002@gmail.com</t>
  </si>
  <si>
    <t>AGUAS DE LINDAS  GO</t>
  </si>
  <si>
    <t>ALTEROZA</t>
  </si>
  <si>
    <t>QUADRA 04 LOTE 17</t>
  </si>
  <si>
    <t>recuperação de venda, falta cliente assinar formulários</t>
  </si>
  <si>
    <t>cliente não conseguiu o fgts futuro.</t>
  </si>
  <si>
    <t>solicito cancelamento da reserva, motivo: cliente nao conseguiu o fgts futuro.</t>
  </si>
  <si>
    <t xml:space="preserve">3649	</t>
  </si>
  <si>
    <t>sarasantos1819@iclaud.com</t>
  </si>
  <si>
    <t>108222, 109623</t>
  </si>
  <si>
    <t>21/02/2024, 01/03/2024</t>
  </si>
  <si>
    <t xml:space="preserve">22/04/2025, </t>
  </si>
  <si>
    <t>28/01/2026, 01/03/2024</t>
  </si>
  <si>
    <t>Bloco 10-0201</t>
  </si>
  <si>
    <t xml:space="preserve">4677	</t>
  </si>
  <si>
    <t>Alinelopsmesquita@gmail.com</t>
  </si>
  <si>
    <t>RUA 05, Q. 83</t>
  </si>
  <si>
    <t>Bloco 21-0202</t>
  </si>
  <si>
    <t xml:space="preserve">4856	</t>
  </si>
  <si>
    <t>cintiadasilvasantos@icloud.com</t>
  </si>
  <si>
    <t>Rua 11 Q 69 LT 1D</t>
  </si>
  <si>
    <t>Bloco 08-0303</t>
  </si>
  <si>
    <t xml:space="preserve">4000	</t>
  </si>
  <si>
    <t>joaodossantosprado2006@gmail.com</t>
  </si>
  <si>
    <t>SAMAMBAIA SUL (SAMAMBAIA)</t>
  </si>
  <si>
    <t>QS 519 CJ A AP 605 LT</t>
  </si>
  <si>
    <t xml:space="preserve">3952	</t>
  </si>
  <si>
    <t>jaqueline1991soares@gmail.com</t>
  </si>
  <si>
    <t>Chácaras Coimbra</t>
  </si>
  <si>
    <t>QUADRA P APTO 301 BLOCO D</t>
  </si>
  <si>
    <t>Michele Rodrigues da Silva</t>
  </si>
  <si>
    <t>Pendente assinaturas dos Formulários Caixa.</t>
  </si>
  <si>
    <t xml:space="preserve">3876	</t>
  </si>
  <si>
    <t>producaodjketlen@gmail.com</t>
  </si>
  <si>
    <t>Parque da Barragem I</t>
  </si>
  <si>
    <t>RUA 14 Q.25 LOTE 22</t>
  </si>
  <si>
    <t>MP444314</t>
  </si>
  <si>
    <t xml:space="preserve">4058	</t>
  </si>
  <si>
    <t>vandagomesdasnevesdasneves@gmail.com</t>
  </si>
  <si>
    <t>QUADRA O, LOTE 3, SETOR COIMBRA</t>
  </si>
  <si>
    <t xml:space="preserve">4346	</t>
  </si>
  <si>
    <t>rodriguesdefreitasraynaranikol@gmail.com</t>
  </si>
  <si>
    <t>MP423806</t>
  </si>
  <si>
    <t>Bloco 19-0004</t>
  </si>
  <si>
    <t xml:space="preserve">4831	</t>
  </si>
  <si>
    <t>Jm.silva200517@gmail.com</t>
  </si>
  <si>
    <t>VIA 8 Q 22</t>
  </si>
  <si>
    <t>MP430667</t>
  </si>
  <si>
    <t xml:space="preserve">3641	</t>
  </si>
  <si>
    <t>alinecassimiro22@gmail.com</t>
  </si>
  <si>
    <t>RUA 19 QD 74 LT 12</t>
  </si>
  <si>
    <t>Kit cheque moradia aprovado, aguardando a emissão do contrato.
Autorizado a assinatura do contrato caixa.</t>
  </si>
  <si>
    <t>181342, 183171</t>
  </si>
  <si>
    <t>22/12/2025, 09/01/2026</t>
  </si>
  <si>
    <t>Reserva, Sem conversão</t>
  </si>
  <si>
    <t>06/01/2026, 20/02/2026</t>
  </si>
  <si>
    <t>MP444505</t>
  </si>
  <si>
    <t xml:space="preserve">4255	</t>
  </si>
  <si>
    <t>luanjhonatan190@gmail.com</t>
  </si>
  <si>
    <t>Residencial Jardim Planalto</t>
  </si>
  <si>
    <t>Rua Bela Vista QUADRA 07 LOTE 12</t>
  </si>
  <si>
    <t>MP423833</t>
  </si>
  <si>
    <t xml:space="preserve">4665	</t>
  </si>
  <si>
    <t>lorranysilva41661@gmail.com</t>
  </si>
  <si>
    <t>RUA JOÃO MARTINS Q. 42 L. 4-A</t>
  </si>
  <si>
    <t>raquelsilvas749@gmail.com</t>
  </si>
  <si>
    <t>Água Fria de Goiás</t>
  </si>
  <si>
    <t>RUA SEM NOME Q 4</t>
  </si>
  <si>
    <t xml:space="preserve">Reserva subiu indevidamente. </t>
  </si>
  <si>
    <t>bom dia 
favor, cancelar reserva, reserva subida indevidamente.</t>
  </si>
  <si>
    <t xml:space="preserve">3965	</t>
  </si>
  <si>
    <t>rronierike@gmail.com</t>
  </si>
  <si>
    <t>Setor Tradicional (Planaltina)</t>
  </si>
  <si>
    <t>Avenida Salvador Coelho</t>
  </si>
  <si>
    <t xml:space="preserve">4707	</t>
  </si>
  <si>
    <t>marciaaquino2025@gmail.com</t>
  </si>
  <si>
    <t>Posse - GO</t>
  </si>
  <si>
    <t>AVENIDA BRASILIA, Q. 22, L. 0</t>
  </si>
  <si>
    <t>JOAOVICTORARA74@GMAIL.COM</t>
  </si>
  <si>
    <t>RIO JANEIRO</t>
  </si>
  <si>
    <t>TERCEIRA AV LT 1190A AP 303</t>
  </si>
  <si>
    <t>Jacqueline Linhares Novaes</t>
  </si>
  <si>
    <t>Reserva cancelada nesta data. Cliente não está no momento de compra. Fizeram todos os cálculos baseados na entrega do empreendimento em Dezembro/2025, mas quando receberam o contrato para assinar leram a informação constando entrega para Julho/2026 e isso fez com que os clientes, que já são desconfiados, não acreditarem mais na palavra da corretora em mesa e a credibilidade do assunto cair. A situação foi repassada ao Coordenador do produto.</t>
  </si>
  <si>
    <t xml:space="preserve">4560	</t>
  </si>
  <si>
    <t>Victoria2002.fsa@gmail.com</t>
  </si>
  <si>
    <t>RUA 3 Q.14</t>
  </si>
  <si>
    <t>MP430668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</si>
</sst>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R$&quot;\ #,##0.00;[Red]\-&quot;R$&quot;\ #,##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21" fontId="0" fillId="0" borderId="0" xfId="0" applyNumberFormat="1"/>
    <xf numFmtId="4" fontId="0" fillId="0" borderId="0" xfId="0" applyNumberFormat="1"/>
    <xf numFmtId="10" fontId="0" fillId="0" borderId="0" xfId="0" applyNumberFormat="1"/>
    <xf numFmtId="8" fontId="0" fillId="0" borderId="0" xfId="0" applyNumberFormat="1"/>
    <xf numFmtId="17" fontId="0" fillId="0" borderId="0" xfId="0" applyNumberFormat="1"/>
    <xf numFmtId="0" fontId="0" fillId="0" borderId="0" xfId="0" applyAlignment="1">
      <alignment wrapText="1"/>
    </xf>
    <xf numFmtId="9" fontId="0" fillId="0" borderId="0" xfId="0" applyNumberFormat="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D8516-9946-4ED8-BE0F-1CF674893F6E}">
  <dimension ref="A1:EZ609"/>
  <sheetViews>
    <sheetView tabSelected="1" workbookViewId="0"/>
  </sheetViews>
  <sheetFormatPr defaultRowHeight="14.5" x14ac:dyDescent="0.35"/>
  <sheetData>
    <row r="1" spans="1:15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row>
    <row r="2" spans="1:156" x14ac:dyDescent="0.35">
      <c r="A2" t="str">
        <f>HYPERLINK("https://7lm.cvcrm.com.br/gestor/comercial/reservas/7159/administrar","7159")</f>
        <v>7159</v>
      </c>
      <c r="B2" t="s">
        <v>156</v>
      </c>
      <c r="C2" s="1">
        <v>46170</v>
      </c>
      <c r="D2" s="2">
        <v>0.78328703703703706</v>
      </c>
      <c r="E2" t="s">
        <v>157</v>
      </c>
      <c r="F2" t="s">
        <v>158</v>
      </c>
      <c r="G2" t="s">
        <v>159</v>
      </c>
      <c r="H2" t="s">
        <v>160</v>
      </c>
      <c r="I2">
        <v>506</v>
      </c>
      <c r="J2">
        <v>1</v>
      </c>
      <c r="L2">
        <v>10001</v>
      </c>
      <c r="M2" t="s">
        <v>161</v>
      </c>
      <c r="N2" s="1">
        <v>46170</v>
      </c>
      <c r="O2" s="2">
        <v>0.97473379629629631</v>
      </c>
      <c r="R2" t="str">
        <f>HYPERLINK("https://7lm.cvcrm.com.br/gestor/relatorios/associado/html?q[1|r.idreserva]=7159","ELIAS RODRIGUES MACHADO")</f>
        <v>ELIAS RODRIGUES MACHADO</v>
      </c>
      <c r="S2">
        <v>21995680249</v>
      </c>
      <c r="T2">
        <v>5561981246350</v>
      </c>
      <c r="U2">
        <v>5561981246350</v>
      </c>
      <c r="V2" t="s">
        <v>162</v>
      </c>
      <c r="W2" t="s">
        <v>163</v>
      </c>
      <c r="X2" t="s">
        <v>164</v>
      </c>
      <c r="Y2" t="s">
        <v>165</v>
      </c>
      <c r="Z2" t="s">
        <v>166</v>
      </c>
      <c r="AA2" t="s">
        <v>167</v>
      </c>
      <c r="AB2" t="s">
        <v>168</v>
      </c>
      <c r="AC2" t="s">
        <v>169</v>
      </c>
      <c r="AE2" t="s">
        <v>169</v>
      </c>
      <c r="AF2" t="s">
        <v>170</v>
      </c>
      <c r="AG2" t="s">
        <v>171</v>
      </c>
      <c r="AH2" s="3">
        <v>509021.48</v>
      </c>
      <c r="AI2" s="3">
        <v>509021.48</v>
      </c>
      <c r="AJ2" s="1">
        <v>46170</v>
      </c>
      <c r="AN2" t="s">
        <v>172</v>
      </c>
      <c r="AT2" t="s">
        <v>173</v>
      </c>
      <c r="AU2" t="s">
        <v>174</v>
      </c>
      <c r="AW2">
        <v>0</v>
      </c>
      <c r="AX2" s="1">
        <v>46170</v>
      </c>
      <c r="AY2" s="2">
        <v>0.78328703703703706</v>
      </c>
      <c r="AZ2">
        <v>214281</v>
      </c>
      <c r="BA2" s="1">
        <v>46161</v>
      </c>
      <c r="BC2" t="s">
        <v>175</v>
      </c>
      <c r="BD2" s="1">
        <v>46161</v>
      </c>
      <c r="BE2" t="s">
        <v>176</v>
      </c>
      <c r="BL2" s="4">
        <v>0</v>
      </c>
      <c r="BM2" s="1">
        <v>46387</v>
      </c>
      <c r="BO2">
        <v>0</v>
      </c>
      <c r="BP2">
        <v>32675</v>
      </c>
      <c r="BQ2" t="s">
        <v>156</v>
      </c>
      <c r="BR2" s="3">
        <v>429338.86</v>
      </c>
      <c r="BS2">
        <v>0</v>
      </c>
      <c r="BT2">
        <v>0</v>
      </c>
      <c r="BU2" s="3">
        <v>429338.86</v>
      </c>
      <c r="BV2" s="3">
        <v>509021.48</v>
      </c>
      <c r="BX2">
        <v>0</v>
      </c>
      <c r="BZ2">
        <v>0</v>
      </c>
      <c r="CA2">
        <v>0</v>
      </c>
      <c r="CB2">
        <v>0</v>
      </c>
      <c r="CC2" s="3">
        <v>509021.48</v>
      </c>
      <c r="CD2" s="5">
        <v>0</v>
      </c>
      <c r="CF2" s="6">
        <v>46143</v>
      </c>
      <c r="CH2">
        <v>0</v>
      </c>
      <c r="CI2">
        <v>0</v>
      </c>
      <c r="CJ2">
        <v>0</v>
      </c>
      <c r="CK2">
        <v>0</v>
      </c>
      <c r="CL2">
        <v>0</v>
      </c>
      <c r="CM2">
        <v>0</v>
      </c>
      <c r="CN2">
        <v>0</v>
      </c>
      <c r="CO2">
        <v>0</v>
      </c>
      <c r="CP2">
        <v>0</v>
      </c>
      <c r="CQ2">
        <v>0</v>
      </c>
      <c r="CR2">
        <v>0</v>
      </c>
      <c r="CS2" t="s">
        <v>177</v>
      </c>
      <c r="CT2" t="s">
        <v>178</v>
      </c>
      <c r="CU2">
        <v>506</v>
      </c>
      <c r="CW2">
        <v>-72.381399999999999</v>
      </c>
      <c r="CZ2" s="1">
        <v>46170</v>
      </c>
      <c r="DA2" t="s">
        <v>172</v>
      </c>
      <c r="DB2" t="s">
        <v>172</v>
      </c>
      <c r="DC2" t="s">
        <v>172</v>
      </c>
      <c r="DD2" t="s">
        <v>172</v>
      </c>
      <c r="DG2" s="1">
        <v>46170</v>
      </c>
      <c r="DH2">
        <v>0</v>
      </c>
      <c r="DI2">
        <v>0</v>
      </c>
      <c r="DK2" t="s">
        <v>179</v>
      </c>
      <c r="DM2" t="s">
        <v>172</v>
      </c>
      <c r="DN2" t="s">
        <v>180</v>
      </c>
      <c r="DU2" t="s">
        <v>181</v>
      </c>
      <c r="DV2" s="3">
        <v>1334016.3</v>
      </c>
      <c r="DW2">
        <v>-72.38</v>
      </c>
      <c r="DX2" s="3">
        <v>1334016.3</v>
      </c>
      <c r="DY2">
        <v>-72.38</v>
      </c>
    </row>
    <row r="3" spans="1:156" x14ac:dyDescent="0.35">
      <c r="A3" t="str">
        <f>HYPERLINK("https://7lm.cvcrm.com.br/gestor/comercial/reservas/7158/administrar","7158")</f>
        <v>7158</v>
      </c>
      <c r="B3" t="s">
        <v>156</v>
      </c>
      <c r="C3" s="1">
        <v>46170</v>
      </c>
      <c r="D3" s="2">
        <v>0.74293981481481486</v>
      </c>
      <c r="E3" t="s">
        <v>157</v>
      </c>
      <c r="F3" t="s">
        <v>182</v>
      </c>
      <c r="G3" t="s">
        <v>159</v>
      </c>
      <c r="H3" t="s">
        <v>183</v>
      </c>
      <c r="I3" t="s">
        <v>184</v>
      </c>
      <c r="J3">
        <v>1</v>
      </c>
      <c r="L3">
        <v>30151</v>
      </c>
      <c r="M3" t="s">
        <v>185</v>
      </c>
      <c r="N3" s="1">
        <v>46170</v>
      </c>
      <c r="O3" s="2">
        <v>0.75097222222222226</v>
      </c>
      <c r="R3" t="str">
        <f>HYPERLINK("https://7lm.cvcrm.com.br/gestor/relatorios/associado/html?q[1|r.idreserva]=7158","TAYLANNE INGRID CAMPOS LEAL")</f>
        <v>TAYLANNE INGRID CAMPOS LEAL</v>
      </c>
      <c r="S3">
        <v>11653227141</v>
      </c>
      <c r="T3">
        <v>5562996508220</v>
      </c>
      <c r="U3">
        <v>5562996631289</v>
      </c>
      <c r="V3" t="s">
        <v>186</v>
      </c>
      <c r="W3" t="s">
        <v>187</v>
      </c>
      <c r="X3" t="s">
        <v>188</v>
      </c>
      <c r="Y3" t="s">
        <v>189</v>
      </c>
      <c r="Z3" t="s">
        <v>190</v>
      </c>
      <c r="AA3" t="s">
        <v>191</v>
      </c>
      <c r="AB3" t="s">
        <v>192</v>
      </c>
      <c r="AC3" t="s">
        <v>193</v>
      </c>
      <c r="AF3" t="s">
        <v>194</v>
      </c>
      <c r="AG3" t="s">
        <v>195</v>
      </c>
      <c r="AH3" s="3">
        <v>241000.04</v>
      </c>
      <c r="AI3" s="3">
        <v>241000.04</v>
      </c>
      <c r="AJ3" s="1">
        <v>46218</v>
      </c>
      <c r="AN3" t="s">
        <v>172</v>
      </c>
      <c r="AT3" t="s">
        <v>196</v>
      </c>
      <c r="AU3" t="s">
        <v>197</v>
      </c>
      <c r="AW3">
        <v>0</v>
      </c>
      <c r="AX3" s="1">
        <v>46170</v>
      </c>
      <c r="AY3" s="2">
        <v>0.74293981481481486</v>
      </c>
      <c r="AZ3">
        <v>199957</v>
      </c>
      <c r="BA3" s="1">
        <v>46119</v>
      </c>
      <c r="BB3" s="1">
        <v>46168</v>
      </c>
      <c r="BC3" t="s">
        <v>0</v>
      </c>
      <c r="BD3" s="1">
        <v>46170</v>
      </c>
      <c r="BE3" t="s">
        <v>198</v>
      </c>
      <c r="BL3" s="4">
        <v>0</v>
      </c>
      <c r="BM3" s="1">
        <v>46899</v>
      </c>
      <c r="BO3">
        <v>0</v>
      </c>
      <c r="BP3">
        <v>33009</v>
      </c>
      <c r="BQ3" t="s">
        <v>156</v>
      </c>
      <c r="BR3" s="3">
        <v>118774.04</v>
      </c>
      <c r="BS3" s="3">
        <v>40590</v>
      </c>
      <c r="BT3">
        <v>0</v>
      </c>
      <c r="BU3" s="3">
        <v>159364.04</v>
      </c>
      <c r="BV3" s="3">
        <v>241000.04</v>
      </c>
      <c r="BX3">
        <v>0</v>
      </c>
      <c r="BZ3">
        <v>0</v>
      </c>
      <c r="CA3">
        <v>0</v>
      </c>
      <c r="CB3">
        <v>0</v>
      </c>
      <c r="CC3" s="3">
        <v>241000.04</v>
      </c>
      <c r="CD3" s="5">
        <v>0</v>
      </c>
      <c r="CF3" s="6">
        <v>46143</v>
      </c>
      <c r="CH3">
        <v>0</v>
      </c>
      <c r="CI3">
        <v>0</v>
      </c>
      <c r="CJ3">
        <v>0</v>
      </c>
      <c r="CK3">
        <v>0</v>
      </c>
      <c r="CL3">
        <v>0</v>
      </c>
      <c r="CM3">
        <v>0</v>
      </c>
      <c r="CN3">
        <v>0</v>
      </c>
      <c r="CO3">
        <v>0</v>
      </c>
      <c r="CP3">
        <v>0</v>
      </c>
      <c r="CQ3">
        <v>0</v>
      </c>
      <c r="CR3">
        <v>0</v>
      </c>
      <c r="CS3" t="s">
        <v>199</v>
      </c>
      <c r="CT3" t="s">
        <v>190</v>
      </c>
      <c r="CU3" t="s">
        <v>184</v>
      </c>
      <c r="CW3">
        <v>-54.7333</v>
      </c>
      <c r="CZ3" s="1">
        <v>46170</v>
      </c>
      <c r="DA3" t="s">
        <v>172</v>
      </c>
      <c r="DB3" t="s">
        <v>172</v>
      </c>
      <c r="DC3" t="s">
        <v>172</v>
      </c>
      <c r="DD3" t="s">
        <v>172</v>
      </c>
      <c r="DG3" s="1">
        <v>46170</v>
      </c>
      <c r="DH3">
        <v>0</v>
      </c>
      <c r="DI3">
        <v>0</v>
      </c>
      <c r="DK3" t="s">
        <v>179</v>
      </c>
      <c r="DL3" t="s">
        <v>200</v>
      </c>
      <c r="DM3" t="s">
        <v>172</v>
      </c>
      <c r="DN3" t="s">
        <v>201</v>
      </c>
      <c r="DV3" s="3">
        <v>241000.04</v>
      </c>
      <c r="DW3">
        <v>0</v>
      </c>
      <c r="DX3" s="3">
        <v>241000.04</v>
      </c>
      <c r="DY3">
        <v>0</v>
      </c>
    </row>
    <row r="4" spans="1:156" x14ac:dyDescent="0.35">
      <c r="A4" t="str">
        <f>HYPERLINK("https://7lm.cvcrm.com.br/gestor/comercial/reservas/7157/administrar","7157")</f>
        <v>7157</v>
      </c>
      <c r="B4" t="s">
        <v>172</v>
      </c>
      <c r="C4" s="1">
        <v>46170</v>
      </c>
      <c r="D4" s="2">
        <v>0.72603009259259255</v>
      </c>
      <c r="E4" t="s">
        <v>157</v>
      </c>
      <c r="F4" t="s">
        <v>202</v>
      </c>
      <c r="G4" t="s">
        <v>203</v>
      </c>
      <c r="H4" t="s">
        <v>204</v>
      </c>
      <c r="I4" t="s">
        <v>205</v>
      </c>
      <c r="J4">
        <v>1</v>
      </c>
      <c r="L4">
        <v>20031</v>
      </c>
      <c r="M4" t="s">
        <v>206</v>
      </c>
      <c r="R4" t="str">
        <f>HYPERLINK("https://7lm.cvcrm.com.br/gestor/relatorios/associado/html?q[1|r.idreserva]=7157","MATEUS GOMES DE SOUZA")</f>
        <v>MATEUS GOMES DE SOUZA</v>
      </c>
      <c r="S4">
        <v>11055222618</v>
      </c>
      <c r="T4">
        <v>553899275588</v>
      </c>
      <c r="U4">
        <v>553899275588</v>
      </c>
      <c r="V4" t="s">
        <v>207</v>
      </c>
      <c r="W4" t="s">
        <v>163</v>
      </c>
      <c r="Y4" t="s">
        <v>189</v>
      </c>
      <c r="Z4" t="s">
        <v>208</v>
      </c>
      <c r="AA4" t="s">
        <v>209</v>
      </c>
      <c r="AB4" t="s">
        <v>210</v>
      </c>
      <c r="AC4" t="s">
        <v>211</v>
      </c>
      <c r="AD4" t="s">
        <v>211</v>
      </c>
      <c r="AF4" t="s">
        <v>212</v>
      </c>
      <c r="AG4" t="s">
        <v>195</v>
      </c>
      <c r="AH4" s="3">
        <v>213083.64</v>
      </c>
      <c r="AI4" s="3">
        <v>213083.64</v>
      </c>
      <c r="AJ4" s="1">
        <v>46198</v>
      </c>
      <c r="AN4" t="s">
        <v>172</v>
      </c>
      <c r="AT4" t="s">
        <v>196</v>
      </c>
      <c r="AU4" t="s">
        <v>175</v>
      </c>
      <c r="AW4">
        <v>0</v>
      </c>
      <c r="AX4" s="1">
        <v>46170</v>
      </c>
      <c r="AY4" s="2">
        <v>0.72603009259259255</v>
      </c>
      <c r="AZ4">
        <v>217326</v>
      </c>
      <c r="BA4" s="1">
        <v>46170</v>
      </c>
      <c r="BC4" t="s">
        <v>213</v>
      </c>
      <c r="BD4" s="1">
        <v>46170</v>
      </c>
      <c r="BE4" t="s">
        <v>175</v>
      </c>
      <c r="BL4" s="4">
        <v>0</v>
      </c>
      <c r="BM4" s="1">
        <v>46808</v>
      </c>
      <c r="BO4">
        <v>0</v>
      </c>
      <c r="BP4">
        <v>33131</v>
      </c>
      <c r="BQ4" t="s">
        <v>156</v>
      </c>
      <c r="BR4" s="3">
        <v>137197.82999999999</v>
      </c>
      <c r="BS4" s="3">
        <v>23288</v>
      </c>
      <c r="BT4">
        <v>0</v>
      </c>
      <c r="BU4" s="3">
        <v>160485.82999999999</v>
      </c>
      <c r="BV4" s="3">
        <v>213083.64</v>
      </c>
      <c r="BX4">
        <v>0</v>
      </c>
      <c r="BZ4">
        <v>0</v>
      </c>
      <c r="CA4">
        <v>0</v>
      </c>
      <c r="CB4">
        <v>0</v>
      </c>
      <c r="CC4" s="3">
        <v>213083.64</v>
      </c>
      <c r="CD4" s="5">
        <v>0</v>
      </c>
      <c r="CF4" s="6">
        <v>46143</v>
      </c>
      <c r="CH4">
        <v>0</v>
      </c>
      <c r="CI4">
        <v>0</v>
      </c>
      <c r="CJ4">
        <v>0</v>
      </c>
      <c r="CK4">
        <v>0</v>
      </c>
      <c r="CL4">
        <v>0</v>
      </c>
      <c r="CM4">
        <v>0</v>
      </c>
      <c r="CN4">
        <v>0</v>
      </c>
      <c r="CO4">
        <v>0</v>
      </c>
      <c r="CP4">
        <v>0</v>
      </c>
      <c r="CQ4">
        <v>0</v>
      </c>
      <c r="CR4">
        <v>0</v>
      </c>
      <c r="CT4" t="s">
        <v>214</v>
      </c>
      <c r="CU4" t="s">
        <v>205</v>
      </c>
      <c r="CW4">
        <v>0</v>
      </c>
      <c r="CZ4" s="1">
        <v>46170</v>
      </c>
      <c r="DA4" t="s">
        <v>172</v>
      </c>
      <c r="DB4" t="s">
        <v>172</v>
      </c>
      <c r="DC4" t="s">
        <v>172</v>
      </c>
      <c r="DD4" t="s">
        <v>172</v>
      </c>
      <c r="DG4" s="1">
        <v>46170</v>
      </c>
      <c r="DH4">
        <v>0</v>
      </c>
      <c r="DI4">
        <v>0</v>
      </c>
      <c r="DL4" t="s">
        <v>215</v>
      </c>
      <c r="DM4" t="s">
        <v>172</v>
      </c>
      <c r="DN4" t="s">
        <v>201</v>
      </c>
      <c r="DV4" s="3">
        <v>213083.64</v>
      </c>
      <c r="DW4">
        <v>0</v>
      </c>
      <c r="DX4" s="3">
        <v>213083.64</v>
      </c>
      <c r="DY4">
        <v>0</v>
      </c>
      <c r="EN4" t="s">
        <v>172</v>
      </c>
      <c r="EU4" s="1">
        <v>46183</v>
      </c>
      <c r="EW4" s="1">
        <v>46170</v>
      </c>
    </row>
    <row r="5" spans="1:156" x14ac:dyDescent="0.35">
      <c r="A5" t="str">
        <f>HYPERLINK("https://7lm.cvcrm.com.br/gestor/comercial/reservas/7156/administrar","7156")</f>
        <v>7156</v>
      </c>
      <c r="B5" t="s">
        <v>172</v>
      </c>
      <c r="C5" s="1">
        <v>46170</v>
      </c>
      <c r="D5" s="2">
        <v>0.65930555555555559</v>
      </c>
      <c r="E5" t="s">
        <v>157</v>
      </c>
      <c r="F5" t="s">
        <v>216</v>
      </c>
      <c r="G5" t="s">
        <v>159</v>
      </c>
      <c r="H5" t="s">
        <v>217</v>
      </c>
      <c r="I5" t="s">
        <v>218</v>
      </c>
      <c r="J5">
        <v>1</v>
      </c>
      <c r="L5">
        <v>20061</v>
      </c>
      <c r="M5" t="s">
        <v>219</v>
      </c>
      <c r="R5" t="str">
        <f>HYPERLINK("https://7lm.cvcrm.com.br/gestor/relatorios/associado/html?q[1|r.idreserva]=7156","DEBORA DE ALMEIDA CAMPOS")</f>
        <v>DEBORA DE ALMEIDA CAMPOS</v>
      </c>
      <c r="S5">
        <v>4679613106</v>
      </c>
      <c r="T5">
        <v>5561983013320</v>
      </c>
      <c r="U5">
        <v>5561991135272</v>
      </c>
      <c r="V5" t="s">
        <v>220</v>
      </c>
      <c r="W5" t="s">
        <v>187</v>
      </c>
      <c r="Y5" t="s">
        <v>189</v>
      </c>
      <c r="Z5" t="s">
        <v>214</v>
      </c>
      <c r="AA5" t="s">
        <v>221</v>
      </c>
      <c r="AB5" t="s">
        <v>222</v>
      </c>
      <c r="AC5" t="s">
        <v>223</v>
      </c>
      <c r="AD5" t="s">
        <v>223</v>
      </c>
      <c r="AF5" t="s">
        <v>212</v>
      </c>
      <c r="AG5" t="s">
        <v>195</v>
      </c>
      <c r="AH5" s="3">
        <v>226513.5</v>
      </c>
      <c r="AI5" s="3">
        <v>226513.5</v>
      </c>
      <c r="AJ5" s="1">
        <v>46208</v>
      </c>
      <c r="AN5" t="s">
        <v>172</v>
      </c>
      <c r="AT5" t="s">
        <v>196</v>
      </c>
      <c r="AU5" t="s">
        <v>175</v>
      </c>
      <c r="AW5">
        <v>0</v>
      </c>
      <c r="AX5" s="1">
        <v>46170</v>
      </c>
      <c r="AY5" s="2">
        <v>0.65930555555555559</v>
      </c>
      <c r="AZ5">
        <v>215520</v>
      </c>
      <c r="BA5" s="1">
        <v>46165</v>
      </c>
      <c r="BC5" t="s">
        <v>213</v>
      </c>
      <c r="BD5" s="1">
        <v>46165</v>
      </c>
      <c r="BE5" t="s">
        <v>175</v>
      </c>
      <c r="BL5" s="4">
        <v>0</v>
      </c>
      <c r="BM5" s="1">
        <v>46995</v>
      </c>
      <c r="BO5">
        <v>0</v>
      </c>
      <c r="BP5">
        <v>32886</v>
      </c>
      <c r="BQ5" t="s">
        <v>156</v>
      </c>
      <c r="BR5" s="3">
        <v>139133.9</v>
      </c>
      <c r="BS5" s="3">
        <v>32281</v>
      </c>
      <c r="BT5">
        <v>0</v>
      </c>
      <c r="BU5" s="3">
        <v>171414.9</v>
      </c>
      <c r="BV5" s="3">
        <v>226513.5</v>
      </c>
      <c r="BX5">
        <v>0</v>
      </c>
      <c r="BZ5">
        <v>0</v>
      </c>
      <c r="CA5">
        <v>0</v>
      </c>
      <c r="CB5">
        <v>0</v>
      </c>
      <c r="CC5" s="3">
        <v>226513.5</v>
      </c>
      <c r="CD5" s="5">
        <v>0</v>
      </c>
      <c r="CF5" s="6">
        <v>46143</v>
      </c>
      <c r="CH5">
        <v>0</v>
      </c>
      <c r="CI5">
        <v>0</v>
      </c>
      <c r="CJ5">
        <v>0</v>
      </c>
      <c r="CK5">
        <v>0</v>
      </c>
      <c r="CL5">
        <v>0</v>
      </c>
      <c r="CM5">
        <v>0</v>
      </c>
      <c r="CN5">
        <v>0</v>
      </c>
      <c r="CO5">
        <v>0</v>
      </c>
      <c r="CP5">
        <v>0</v>
      </c>
      <c r="CQ5">
        <v>0</v>
      </c>
      <c r="CR5">
        <v>0</v>
      </c>
      <c r="CT5" t="s">
        <v>214</v>
      </c>
      <c r="CU5" t="s">
        <v>218</v>
      </c>
      <c r="CW5">
        <v>0</v>
      </c>
      <c r="CZ5" s="1">
        <v>46170</v>
      </c>
      <c r="DA5" t="s">
        <v>172</v>
      </c>
      <c r="DB5" t="s">
        <v>172</v>
      </c>
      <c r="DC5" t="s">
        <v>172</v>
      </c>
      <c r="DD5" t="s">
        <v>172</v>
      </c>
      <c r="DG5" s="1">
        <v>46170</v>
      </c>
      <c r="DH5">
        <v>0</v>
      </c>
      <c r="DI5">
        <v>0</v>
      </c>
      <c r="DK5" t="s">
        <v>179</v>
      </c>
      <c r="DL5" t="s">
        <v>224</v>
      </c>
      <c r="DM5" t="s">
        <v>172</v>
      </c>
      <c r="DN5" t="s">
        <v>225</v>
      </c>
      <c r="DV5" s="3">
        <v>226513.5</v>
      </c>
      <c r="DW5">
        <v>0</v>
      </c>
      <c r="DX5" s="3">
        <v>226513.5</v>
      </c>
      <c r="DY5">
        <v>0</v>
      </c>
      <c r="EN5" t="s">
        <v>172</v>
      </c>
      <c r="EU5" s="1">
        <v>46183</v>
      </c>
      <c r="EW5" s="1">
        <v>46170</v>
      </c>
    </row>
    <row r="6" spans="1:156" x14ac:dyDescent="0.35">
      <c r="A6" t="str">
        <f>HYPERLINK("https://7lm.cvcrm.com.br/gestor/comercial/reservas/7155/administrar","7155")</f>
        <v>7155</v>
      </c>
      <c r="B6" t="s">
        <v>156</v>
      </c>
      <c r="C6" s="1">
        <v>46170</v>
      </c>
      <c r="D6" s="2">
        <v>0.6103587962962963</v>
      </c>
      <c r="E6" t="s">
        <v>157</v>
      </c>
      <c r="F6" t="s">
        <v>226</v>
      </c>
      <c r="G6" t="s">
        <v>159</v>
      </c>
      <c r="H6" t="s">
        <v>227</v>
      </c>
      <c r="I6" t="s">
        <v>228</v>
      </c>
      <c r="J6">
        <v>1</v>
      </c>
      <c r="L6">
        <v>10031</v>
      </c>
      <c r="M6" t="s">
        <v>229</v>
      </c>
      <c r="N6" s="1">
        <v>46170</v>
      </c>
      <c r="O6" s="2">
        <v>0.96886574074074072</v>
      </c>
      <c r="R6" t="str">
        <f>HYPERLINK("https://7lm.cvcrm.com.br/gestor/relatorios/associado/html?q[1|r.idreserva]=7155","JACQUELINE RODRIGUES DE SENA")</f>
        <v>JACQUELINE RODRIGUES DE SENA</v>
      </c>
      <c r="S6">
        <v>11843304848</v>
      </c>
      <c r="T6">
        <v>5577999399167</v>
      </c>
      <c r="U6">
        <v>5577999399167</v>
      </c>
      <c r="V6" t="s">
        <v>230</v>
      </c>
      <c r="W6" t="s">
        <v>187</v>
      </c>
      <c r="X6" t="s">
        <v>231</v>
      </c>
      <c r="Y6" t="s">
        <v>232</v>
      </c>
      <c r="Z6" t="s">
        <v>233</v>
      </c>
      <c r="AA6" t="s">
        <v>234</v>
      </c>
      <c r="AB6" t="s">
        <v>235</v>
      </c>
      <c r="AC6" t="s">
        <v>236</v>
      </c>
      <c r="AE6" t="s">
        <v>169</v>
      </c>
      <c r="AF6" t="s">
        <v>170</v>
      </c>
      <c r="AG6" t="s">
        <v>171</v>
      </c>
      <c r="AH6" s="3">
        <v>351190</v>
      </c>
      <c r="AI6" s="3">
        <v>351190</v>
      </c>
      <c r="AJ6" s="1">
        <v>46198</v>
      </c>
      <c r="AN6" t="s">
        <v>172</v>
      </c>
      <c r="AT6" t="s">
        <v>196</v>
      </c>
      <c r="AU6" t="s">
        <v>197</v>
      </c>
      <c r="AW6">
        <v>0</v>
      </c>
      <c r="AX6" s="1">
        <v>46170</v>
      </c>
      <c r="AY6" s="2">
        <v>0.6103587962962963</v>
      </c>
      <c r="AZ6">
        <v>88219</v>
      </c>
      <c r="BA6" s="1">
        <v>45079</v>
      </c>
      <c r="BC6" t="s">
        <v>213</v>
      </c>
      <c r="BD6" s="1">
        <v>45079</v>
      </c>
      <c r="BE6" t="s">
        <v>237</v>
      </c>
      <c r="BL6" s="4">
        <v>0</v>
      </c>
      <c r="BM6" s="1">
        <v>46698</v>
      </c>
      <c r="BO6">
        <v>0</v>
      </c>
      <c r="BP6">
        <v>31691</v>
      </c>
      <c r="BQ6" t="s">
        <v>156</v>
      </c>
      <c r="BR6" s="3">
        <v>352995.45</v>
      </c>
      <c r="BS6">
        <v>0</v>
      </c>
      <c r="BT6">
        <v>0</v>
      </c>
      <c r="BU6" s="3">
        <v>352995.45</v>
      </c>
      <c r="BV6" s="3">
        <v>351190</v>
      </c>
      <c r="BX6">
        <v>0</v>
      </c>
      <c r="BZ6">
        <v>0</v>
      </c>
      <c r="CA6">
        <v>0</v>
      </c>
      <c r="CB6">
        <v>0</v>
      </c>
      <c r="CC6" s="3">
        <v>351190</v>
      </c>
      <c r="CD6" s="5">
        <v>0</v>
      </c>
      <c r="CF6" s="6">
        <v>46143</v>
      </c>
      <c r="CH6">
        <v>0</v>
      </c>
      <c r="CI6">
        <v>0</v>
      </c>
      <c r="CJ6">
        <v>0</v>
      </c>
      <c r="CK6">
        <v>0</v>
      </c>
      <c r="CL6">
        <v>0</v>
      </c>
      <c r="CM6">
        <v>0</v>
      </c>
      <c r="CN6">
        <v>0</v>
      </c>
      <c r="CO6">
        <v>0</v>
      </c>
      <c r="CP6">
        <v>0</v>
      </c>
      <c r="CQ6">
        <v>0</v>
      </c>
      <c r="CR6">
        <v>0</v>
      </c>
      <c r="CS6" t="s">
        <v>177</v>
      </c>
      <c r="CT6" t="s">
        <v>238</v>
      </c>
      <c r="CU6" t="s">
        <v>228</v>
      </c>
      <c r="CW6">
        <v>-60.758000000000003</v>
      </c>
      <c r="CX6" t="s">
        <v>170</v>
      </c>
      <c r="CZ6" s="1">
        <v>46170</v>
      </c>
      <c r="DA6" t="s">
        <v>172</v>
      </c>
      <c r="DB6" t="s">
        <v>172</v>
      </c>
      <c r="DC6" t="s">
        <v>172</v>
      </c>
      <c r="DD6" t="s">
        <v>172</v>
      </c>
      <c r="DG6" s="1">
        <v>46170</v>
      </c>
      <c r="DH6">
        <v>0</v>
      </c>
      <c r="DI6">
        <v>0</v>
      </c>
      <c r="DL6" t="s">
        <v>239</v>
      </c>
      <c r="DM6" t="s">
        <v>172</v>
      </c>
      <c r="DU6" t="s">
        <v>240</v>
      </c>
      <c r="DV6" s="3">
        <v>543744.13</v>
      </c>
      <c r="DW6">
        <v>-60.76</v>
      </c>
      <c r="DX6" s="3">
        <v>543744.13</v>
      </c>
      <c r="DY6">
        <v>-60.76</v>
      </c>
    </row>
    <row r="7" spans="1:156" x14ac:dyDescent="0.35">
      <c r="A7" t="str">
        <f>HYPERLINK("https://7lm.cvcrm.com.br/gestor/comercial/reservas/7154/administrar","7154")</f>
        <v>7154</v>
      </c>
      <c r="B7" t="s">
        <v>172</v>
      </c>
      <c r="C7" s="1">
        <v>46170</v>
      </c>
      <c r="D7" s="2">
        <v>0.54532407407407413</v>
      </c>
      <c r="E7" t="s">
        <v>157</v>
      </c>
      <c r="F7" t="s">
        <v>182</v>
      </c>
      <c r="G7" t="s">
        <v>159</v>
      </c>
      <c r="H7" t="s">
        <v>241</v>
      </c>
      <c r="I7" t="s">
        <v>242</v>
      </c>
      <c r="J7">
        <v>1</v>
      </c>
      <c r="L7">
        <v>30151</v>
      </c>
      <c r="M7" t="s">
        <v>243</v>
      </c>
      <c r="R7" t="str">
        <f>HYPERLINK("https://7lm.cvcrm.com.br/gestor/relatorios/associado/html?q[1|r.idreserva]=7154","ALDECI GONCALVES DA SILVA")</f>
        <v>ALDECI GONCALVES DA SILVA</v>
      </c>
      <c r="S7">
        <v>71063012139</v>
      </c>
      <c r="T7">
        <v>5561996717653</v>
      </c>
      <c r="U7">
        <v>5561996717653</v>
      </c>
      <c r="V7" t="s">
        <v>244</v>
      </c>
      <c r="W7" t="s">
        <v>163</v>
      </c>
      <c r="X7" t="s">
        <v>245</v>
      </c>
      <c r="Y7" t="s">
        <v>189</v>
      </c>
      <c r="Z7" t="s">
        <v>190</v>
      </c>
      <c r="AA7" t="s">
        <v>246</v>
      </c>
      <c r="AB7" t="s">
        <v>247</v>
      </c>
      <c r="AC7" t="s">
        <v>248</v>
      </c>
      <c r="AD7" t="s">
        <v>249</v>
      </c>
      <c r="AF7" t="s">
        <v>250</v>
      </c>
      <c r="AG7" t="s">
        <v>251</v>
      </c>
      <c r="AH7" s="3">
        <v>241000.6</v>
      </c>
      <c r="AI7" s="3">
        <v>241000.6</v>
      </c>
      <c r="AJ7" s="1">
        <v>46193</v>
      </c>
      <c r="AN7" t="s">
        <v>172</v>
      </c>
      <c r="AT7" t="s">
        <v>173</v>
      </c>
      <c r="AU7" t="s">
        <v>175</v>
      </c>
      <c r="AW7">
        <v>0</v>
      </c>
      <c r="AX7" s="1">
        <v>46170</v>
      </c>
      <c r="AY7" s="2">
        <v>0.54532407407407413</v>
      </c>
      <c r="AZ7">
        <v>215509</v>
      </c>
      <c r="BA7" s="1">
        <v>46165</v>
      </c>
      <c r="BC7" t="s">
        <v>213</v>
      </c>
      <c r="BD7" s="1">
        <v>46165</v>
      </c>
      <c r="BE7" t="s">
        <v>175</v>
      </c>
      <c r="BL7" s="4">
        <v>0</v>
      </c>
      <c r="BM7" s="1">
        <v>46899</v>
      </c>
      <c r="BO7">
        <v>0</v>
      </c>
      <c r="BP7">
        <v>32885</v>
      </c>
      <c r="BQ7" t="s">
        <v>156</v>
      </c>
      <c r="BR7" s="3">
        <v>131007.22</v>
      </c>
      <c r="BS7" s="3">
        <v>23725</v>
      </c>
      <c r="BT7">
        <v>0</v>
      </c>
      <c r="BU7" s="3">
        <v>154732.22</v>
      </c>
      <c r="BV7" s="3">
        <v>241000.6</v>
      </c>
      <c r="BX7">
        <v>0</v>
      </c>
      <c r="BZ7">
        <v>0</v>
      </c>
      <c r="CA7">
        <v>0</v>
      </c>
      <c r="CB7">
        <v>0</v>
      </c>
      <c r="CC7" s="3">
        <v>241000.6</v>
      </c>
      <c r="CD7" s="5">
        <v>0</v>
      </c>
      <c r="CF7" s="6">
        <v>46143</v>
      </c>
      <c r="CH7">
        <v>0</v>
      </c>
      <c r="CI7">
        <v>0</v>
      </c>
      <c r="CJ7">
        <v>0</v>
      </c>
      <c r="CK7">
        <v>0</v>
      </c>
      <c r="CL7">
        <v>0</v>
      </c>
      <c r="CM7">
        <v>0</v>
      </c>
      <c r="CN7">
        <v>0</v>
      </c>
      <c r="CO7">
        <v>0</v>
      </c>
      <c r="CP7">
        <v>0</v>
      </c>
      <c r="CQ7">
        <v>0</v>
      </c>
      <c r="CR7">
        <v>0</v>
      </c>
      <c r="CT7" t="s">
        <v>190</v>
      </c>
      <c r="CU7" t="s">
        <v>242</v>
      </c>
      <c r="CW7">
        <v>0</v>
      </c>
      <c r="CZ7" s="1">
        <v>46170</v>
      </c>
      <c r="DA7" t="s">
        <v>172</v>
      </c>
      <c r="DB7" t="s">
        <v>172</v>
      </c>
      <c r="DC7" t="s">
        <v>172</v>
      </c>
      <c r="DD7" t="s">
        <v>172</v>
      </c>
      <c r="DG7" s="1">
        <v>46170</v>
      </c>
      <c r="DH7">
        <v>0</v>
      </c>
      <c r="DI7">
        <v>0</v>
      </c>
      <c r="DK7" t="s">
        <v>179</v>
      </c>
      <c r="DL7" t="s">
        <v>200</v>
      </c>
      <c r="DM7" t="s">
        <v>172</v>
      </c>
      <c r="DN7" t="s">
        <v>201</v>
      </c>
      <c r="DV7" s="3">
        <v>241000.6</v>
      </c>
      <c r="DW7">
        <v>0</v>
      </c>
      <c r="DX7" s="3">
        <v>241000.6</v>
      </c>
      <c r="DY7">
        <v>0</v>
      </c>
    </row>
    <row r="8" spans="1:156" x14ac:dyDescent="0.35">
      <c r="A8" t="str">
        <f>HYPERLINK("https://7lm.cvcrm.com.br/gestor/comercial/reservas/7153/administrar","7153")</f>
        <v>7153</v>
      </c>
      <c r="B8" t="s">
        <v>156</v>
      </c>
      <c r="C8" s="1">
        <v>46170</v>
      </c>
      <c r="D8" s="2">
        <v>0.53074074074074074</v>
      </c>
      <c r="E8" t="s">
        <v>157</v>
      </c>
      <c r="F8" t="s">
        <v>226</v>
      </c>
      <c r="G8" t="s">
        <v>159</v>
      </c>
      <c r="H8" t="s">
        <v>252</v>
      </c>
      <c r="I8" t="s">
        <v>253</v>
      </c>
      <c r="J8">
        <v>1</v>
      </c>
      <c r="L8">
        <v>10031</v>
      </c>
      <c r="M8" t="s">
        <v>254</v>
      </c>
      <c r="N8" s="1">
        <v>46170</v>
      </c>
      <c r="O8" s="2">
        <v>0.59677083333333336</v>
      </c>
      <c r="R8" t="str">
        <f>HYPERLINK("https://7lm.cvcrm.com.br/gestor/relatorios/associado/html?q[1|r.idreserva]=7153","CRISTIAN DE OLIVEIRA LIMA")</f>
        <v>CRISTIAN DE OLIVEIRA LIMA</v>
      </c>
      <c r="S8">
        <v>5085301641</v>
      </c>
      <c r="T8">
        <v>5561981517164</v>
      </c>
      <c r="U8">
        <v>5561981517164</v>
      </c>
      <c r="V8" t="s">
        <v>255</v>
      </c>
      <c r="W8" t="s">
        <v>163</v>
      </c>
      <c r="X8" t="s">
        <v>256</v>
      </c>
      <c r="Y8" t="s">
        <v>165</v>
      </c>
      <c r="Z8" t="s">
        <v>257</v>
      </c>
      <c r="AA8" t="s">
        <v>258</v>
      </c>
      <c r="AB8" t="s">
        <v>259</v>
      </c>
      <c r="AC8" t="s">
        <v>260</v>
      </c>
      <c r="AE8" t="s">
        <v>169</v>
      </c>
      <c r="AF8" t="s">
        <v>170</v>
      </c>
      <c r="AG8" t="s">
        <v>171</v>
      </c>
      <c r="AH8" s="3">
        <v>410994.07</v>
      </c>
      <c r="AI8" s="3">
        <v>410994.07</v>
      </c>
      <c r="AJ8" s="1">
        <v>46170</v>
      </c>
      <c r="AN8" t="s">
        <v>172</v>
      </c>
      <c r="AT8" t="s">
        <v>261</v>
      </c>
      <c r="AU8" t="s">
        <v>262</v>
      </c>
      <c r="AW8">
        <v>0</v>
      </c>
      <c r="AX8" s="1">
        <v>46170</v>
      </c>
      <c r="AY8" s="2">
        <v>0.53074074074074074</v>
      </c>
      <c r="AZ8">
        <v>216454</v>
      </c>
      <c r="BA8" s="1">
        <v>46169</v>
      </c>
      <c r="BC8" t="s">
        <v>176</v>
      </c>
      <c r="BD8" s="1">
        <v>46169</v>
      </c>
      <c r="BE8" t="s">
        <v>262</v>
      </c>
      <c r="BL8" s="4">
        <v>0</v>
      </c>
      <c r="BM8" s="1">
        <v>46698</v>
      </c>
      <c r="BO8">
        <v>0</v>
      </c>
      <c r="BP8">
        <v>33040</v>
      </c>
      <c r="BQ8" t="s">
        <v>156</v>
      </c>
      <c r="BR8" s="3">
        <v>400000</v>
      </c>
      <c r="BS8">
        <v>0</v>
      </c>
      <c r="BT8">
        <v>0</v>
      </c>
      <c r="BU8" s="3">
        <v>400000</v>
      </c>
      <c r="BV8" s="3">
        <v>410994.07</v>
      </c>
      <c r="BX8">
        <v>0</v>
      </c>
      <c r="BZ8">
        <v>0</v>
      </c>
      <c r="CA8">
        <v>0</v>
      </c>
      <c r="CB8">
        <v>0</v>
      </c>
      <c r="CC8" s="3">
        <v>410994.07</v>
      </c>
      <c r="CD8" s="5">
        <v>0</v>
      </c>
      <c r="CF8" s="6">
        <v>46143</v>
      </c>
      <c r="CH8">
        <v>0</v>
      </c>
      <c r="CI8">
        <v>0</v>
      </c>
      <c r="CJ8">
        <v>0</v>
      </c>
      <c r="CK8">
        <v>0</v>
      </c>
      <c r="CL8">
        <v>0</v>
      </c>
      <c r="CM8">
        <v>0</v>
      </c>
      <c r="CN8">
        <v>0</v>
      </c>
      <c r="CO8">
        <v>0</v>
      </c>
      <c r="CP8">
        <v>0</v>
      </c>
      <c r="CQ8">
        <v>0</v>
      </c>
      <c r="CR8">
        <v>0</v>
      </c>
      <c r="CS8" t="s">
        <v>177</v>
      </c>
      <c r="CT8" t="s">
        <v>238</v>
      </c>
      <c r="CU8" t="s">
        <v>253</v>
      </c>
      <c r="CW8">
        <v>-57.672899999999998</v>
      </c>
      <c r="CX8" t="s">
        <v>170</v>
      </c>
      <c r="CZ8" s="1">
        <v>46170</v>
      </c>
      <c r="DA8" t="s">
        <v>172</v>
      </c>
      <c r="DB8" t="s">
        <v>172</v>
      </c>
      <c r="DC8" t="s">
        <v>172</v>
      </c>
      <c r="DD8" t="s">
        <v>172</v>
      </c>
      <c r="DG8" s="1">
        <v>46170</v>
      </c>
      <c r="DH8">
        <v>0</v>
      </c>
      <c r="DI8">
        <v>0</v>
      </c>
      <c r="DL8" t="s">
        <v>263</v>
      </c>
      <c r="DM8" t="s">
        <v>172</v>
      </c>
      <c r="DN8" t="s">
        <v>264</v>
      </c>
      <c r="DU8" t="s">
        <v>240</v>
      </c>
      <c r="DV8" s="3">
        <v>560000</v>
      </c>
      <c r="DW8">
        <v>-57.67</v>
      </c>
      <c r="DX8" s="3">
        <v>560000</v>
      </c>
      <c r="DY8">
        <v>-57.67</v>
      </c>
    </row>
    <row r="9" spans="1:156" x14ac:dyDescent="0.35">
      <c r="A9" t="str">
        <f>HYPERLINK("https://7lm.cvcrm.com.br/gestor/comercial/reservas/7152/administrar","7152")</f>
        <v>7152</v>
      </c>
      <c r="B9" t="s">
        <v>172</v>
      </c>
      <c r="C9" s="1">
        <v>46170</v>
      </c>
      <c r="D9" s="2">
        <v>0.47714120370370372</v>
      </c>
      <c r="E9" t="s">
        <v>157</v>
      </c>
      <c r="F9" t="s">
        <v>182</v>
      </c>
      <c r="G9" t="s">
        <v>159</v>
      </c>
      <c r="H9" t="s">
        <v>265</v>
      </c>
      <c r="I9" t="s">
        <v>266</v>
      </c>
      <c r="J9">
        <v>1</v>
      </c>
      <c r="L9">
        <v>30151</v>
      </c>
      <c r="M9" t="s">
        <v>267</v>
      </c>
      <c r="R9" t="str">
        <f>HYPERLINK("https://7lm.cvcrm.com.br/gestor/relatorios/associado/html?q[1|r.idreserva]=7152","EMERSON BAMBERG DE SOUZA")</f>
        <v>EMERSON BAMBERG DE SOUZA</v>
      </c>
      <c r="S9">
        <v>2000926690</v>
      </c>
      <c r="T9">
        <v>556191106525</v>
      </c>
      <c r="U9">
        <v>5561998560308</v>
      </c>
      <c r="V9" t="s">
        <v>268</v>
      </c>
      <c r="W9" t="s">
        <v>163</v>
      </c>
      <c r="X9" t="s">
        <v>269</v>
      </c>
      <c r="Y9" t="s">
        <v>189</v>
      </c>
      <c r="Z9" t="s">
        <v>190</v>
      </c>
      <c r="AA9" t="s">
        <v>270</v>
      </c>
      <c r="AB9" t="s">
        <v>271</v>
      </c>
      <c r="AC9" t="s">
        <v>272</v>
      </c>
      <c r="AF9" t="s">
        <v>273</v>
      </c>
      <c r="AG9" t="s">
        <v>195</v>
      </c>
      <c r="AH9" s="3">
        <v>241000</v>
      </c>
      <c r="AI9" s="3">
        <v>241000</v>
      </c>
      <c r="AJ9" s="1">
        <v>46188</v>
      </c>
      <c r="AN9" t="s">
        <v>172</v>
      </c>
      <c r="AT9" t="s">
        <v>196</v>
      </c>
      <c r="AU9" t="s">
        <v>274</v>
      </c>
      <c r="AW9">
        <v>0</v>
      </c>
      <c r="AX9" s="1">
        <v>46170</v>
      </c>
      <c r="AY9" s="2">
        <v>0.47714120370370372</v>
      </c>
      <c r="AZ9">
        <v>187602</v>
      </c>
      <c r="BA9" s="1">
        <v>46057</v>
      </c>
      <c r="BB9" s="1">
        <v>46135</v>
      </c>
      <c r="BC9" t="s">
        <v>275</v>
      </c>
      <c r="BD9" s="1">
        <v>46136</v>
      </c>
      <c r="BE9" t="s">
        <v>276</v>
      </c>
      <c r="BL9" s="4">
        <v>0</v>
      </c>
      <c r="BM9" s="1">
        <v>46899</v>
      </c>
      <c r="BO9">
        <v>0</v>
      </c>
      <c r="BP9">
        <v>33001</v>
      </c>
      <c r="BQ9" t="s">
        <v>156</v>
      </c>
      <c r="BR9" s="3">
        <v>137185.82999999999</v>
      </c>
      <c r="BS9" s="3">
        <v>18333</v>
      </c>
      <c r="BT9">
        <v>0</v>
      </c>
      <c r="BU9" s="3">
        <v>155518.82999999999</v>
      </c>
      <c r="BV9" s="3">
        <v>241000</v>
      </c>
      <c r="BX9">
        <v>0</v>
      </c>
      <c r="BZ9">
        <v>0</v>
      </c>
      <c r="CA9">
        <v>0</v>
      </c>
      <c r="CB9">
        <v>0</v>
      </c>
      <c r="CC9" s="3">
        <v>241000</v>
      </c>
      <c r="CD9" s="5">
        <v>0</v>
      </c>
      <c r="CF9" s="6">
        <v>46143</v>
      </c>
      <c r="CH9">
        <v>0</v>
      </c>
      <c r="CI9">
        <v>0</v>
      </c>
      <c r="CJ9">
        <v>0</v>
      </c>
      <c r="CK9">
        <v>0</v>
      </c>
      <c r="CL9">
        <v>0</v>
      </c>
      <c r="CM9">
        <v>0</v>
      </c>
      <c r="CN9">
        <v>0</v>
      </c>
      <c r="CO9">
        <v>0</v>
      </c>
      <c r="CP9">
        <v>0</v>
      </c>
      <c r="CQ9">
        <v>0</v>
      </c>
      <c r="CR9">
        <v>0</v>
      </c>
      <c r="CT9" t="s">
        <v>190</v>
      </c>
      <c r="CU9" t="s">
        <v>266</v>
      </c>
      <c r="CW9">
        <v>0</v>
      </c>
      <c r="CZ9" s="1">
        <v>46170</v>
      </c>
      <c r="DA9" t="s">
        <v>172</v>
      </c>
      <c r="DB9" t="s">
        <v>172</v>
      </c>
      <c r="DC9" t="s">
        <v>172</v>
      </c>
      <c r="DD9" t="s">
        <v>172</v>
      </c>
      <c r="DG9" s="1">
        <v>46170</v>
      </c>
      <c r="DH9">
        <v>0</v>
      </c>
      <c r="DI9">
        <v>0</v>
      </c>
      <c r="DK9" t="s">
        <v>179</v>
      </c>
      <c r="DL9" t="s">
        <v>200</v>
      </c>
      <c r="DM9" t="s">
        <v>172</v>
      </c>
      <c r="DN9" t="s">
        <v>201</v>
      </c>
      <c r="DV9" s="3">
        <v>241000</v>
      </c>
      <c r="DW9">
        <v>0</v>
      </c>
      <c r="DX9" s="3">
        <v>241000</v>
      </c>
      <c r="DY9">
        <v>0</v>
      </c>
    </row>
    <row r="10" spans="1:156" x14ac:dyDescent="0.35">
      <c r="A10" t="str">
        <f>HYPERLINK("https://7lm.cvcrm.com.br/gestor/comercial/reservas/7151/administrar","7151")</f>
        <v>7151</v>
      </c>
      <c r="B10" t="s">
        <v>172</v>
      </c>
      <c r="C10" s="1">
        <v>46170</v>
      </c>
      <c r="D10" s="2">
        <v>0.47596064814814815</v>
      </c>
      <c r="E10" t="s">
        <v>157</v>
      </c>
      <c r="F10" t="s">
        <v>202</v>
      </c>
      <c r="G10" t="s">
        <v>203</v>
      </c>
      <c r="H10" t="s">
        <v>277</v>
      </c>
      <c r="I10" t="s">
        <v>278</v>
      </c>
      <c r="J10">
        <v>1</v>
      </c>
      <c r="L10">
        <v>20031</v>
      </c>
      <c r="M10" t="s">
        <v>279</v>
      </c>
      <c r="R10" t="str">
        <f>HYPERLINK("https://7lm.cvcrm.com.br/gestor/relatorios/associado/html?q[1|r.idreserva]=7151","ISAIC ESPINEL MANRRIQUE")</f>
        <v>ISAIC ESPINEL MANRRIQUE</v>
      </c>
      <c r="S10">
        <v>70679751238</v>
      </c>
      <c r="T10">
        <v>556196580037</v>
      </c>
      <c r="U10">
        <v>556993348192</v>
      </c>
      <c r="V10" t="s">
        <v>280</v>
      </c>
      <c r="W10" t="s">
        <v>163</v>
      </c>
      <c r="Y10" t="s">
        <v>189</v>
      </c>
      <c r="Z10" t="s">
        <v>214</v>
      </c>
      <c r="AA10" t="s">
        <v>281</v>
      </c>
      <c r="AB10" t="s">
        <v>282</v>
      </c>
      <c r="AC10" t="s">
        <v>283</v>
      </c>
      <c r="AD10" t="s">
        <v>283</v>
      </c>
      <c r="AF10" t="s">
        <v>212</v>
      </c>
      <c r="AG10" t="s">
        <v>284</v>
      </c>
      <c r="AH10" s="3">
        <v>211000</v>
      </c>
      <c r="AI10" s="3">
        <v>211000</v>
      </c>
      <c r="AJ10" s="1">
        <v>46191</v>
      </c>
      <c r="AN10" t="s">
        <v>172</v>
      </c>
      <c r="AT10" t="s">
        <v>196</v>
      </c>
      <c r="AU10" t="s">
        <v>175</v>
      </c>
      <c r="AW10">
        <v>0</v>
      </c>
      <c r="AX10" s="1">
        <v>46170</v>
      </c>
      <c r="AY10" s="2">
        <v>0.47596064814814815</v>
      </c>
      <c r="AZ10">
        <v>216612</v>
      </c>
      <c r="BA10" s="1">
        <v>46170</v>
      </c>
      <c r="BC10" t="s">
        <v>213</v>
      </c>
      <c r="BD10" s="1">
        <v>46170</v>
      </c>
      <c r="BE10" t="s">
        <v>175</v>
      </c>
      <c r="BL10" s="4">
        <v>0</v>
      </c>
      <c r="BM10" s="1">
        <v>46808</v>
      </c>
      <c r="BO10">
        <v>0</v>
      </c>
      <c r="BP10">
        <v>33097</v>
      </c>
      <c r="BQ10" t="s">
        <v>156</v>
      </c>
      <c r="BR10" s="3">
        <v>99106.41</v>
      </c>
      <c r="BS10" s="3">
        <v>55000</v>
      </c>
      <c r="BT10">
        <v>0</v>
      </c>
      <c r="BU10" s="3">
        <v>154106.41</v>
      </c>
      <c r="BV10" s="3">
        <v>211000</v>
      </c>
      <c r="BX10">
        <v>0</v>
      </c>
      <c r="BZ10">
        <v>0</v>
      </c>
      <c r="CA10">
        <v>0</v>
      </c>
      <c r="CB10">
        <v>0</v>
      </c>
      <c r="CC10" s="3">
        <v>211000</v>
      </c>
      <c r="CD10" s="5">
        <v>0</v>
      </c>
      <c r="CF10" s="6">
        <v>46143</v>
      </c>
      <c r="CH10">
        <v>0</v>
      </c>
      <c r="CI10">
        <v>0</v>
      </c>
      <c r="CJ10">
        <v>0</v>
      </c>
      <c r="CK10">
        <v>0</v>
      </c>
      <c r="CL10">
        <v>0</v>
      </c>
      <c r="CM10">
        <v>0</v>
      </c>
      <c r="CN10">
        <v>0</v>
      </c>
      <c r="CO10">
        <v>0</v>
      </c>
      <c r="CP10">
        <v>0</v>
      </c>
      <c r="CQ10">
        <v>0</v>
      </c>
      <c r="CR10">
        <v>0</v>
      </c>
      <c r="CT10" t="s">
        <v>214</v>
      </c>
      <c r="CU10" t="s">
        <v>278</v>
      </c>
      <c r="CW10">
        <v>0</v>
      </c>
      <c r="CZ10" s="1">
        <v>46170</v>
      </c>
      <c r="DA10" t="s">
        <v>172</v>
      </c>
      <c r="DB10" t="s">
        <v>172</v>
      </c>
      <c r="DC10" t="s">
        <v>172</v>
      </c>
      <c r="DD10" t="s">
        <v>172</v>
      </c>
      <c r="DG10" s="1">
        <v>46170</v>
      </c>
      <c r="DH10">
        <v>0</v>
      </c>
      <c r="DI10">
        <v>0</v>
      </c>
      <c r="DL10" t="s">
        <v>215</v>
      </c>
      <c r="DM10" t="s">
        <v>172</v>
      </c>
      <c r="DN10" t="s">
        <v>201</v>
      </c>
      <c r="DV10" s="3">
        <v>211000</v>
      </c>
      <c r="DW10">
        <v>0</v>
      </c>
      <c r="DX10" s="3">
        <v>211000</v>
      </c>
      <c r="DY10">
        <v>0</v>
      </c>
      <c r="EN10" t="s">
        <v>172</v>
      </c>
      <c r="EU10" s="1">
        <v>46183</v>
      </c>
      <c r="EW10" s="1">
        <v>46170</v>
      </c>
    </row>
    <row r="11" spans="1:156" x14ac:dyDescent="0.35">
      <c r="A11" t="str">
        <f>HYPERLINK("https://7lm.cvcrm.com.br/gestor/comercial/reservas/7150/administrar","7150")</f>
        <v>7150</v>
      </c>
      <c r="B11" t="s">
        <v>172</v>
      </c>
      <c r="C11" s="1">
        <v>46169</v>
      </c>
      <c r="D11" s="2">
        <v>0.65938657407407408</v>
      </c>
      <c r="E11" t="s">
        <v>157</v>
      </c>
      <c r="F11" t="s">
        <v>182</v>
      </c>
      <c r="G11" t="s">
        <v>159</v>
      </c>
      <c r="H11" t="s">
        <v>241</v>
      </c>
      <c r="I11" t="s">
        <v>285</v>
      </c>
      <c r="J11">
        <v>1</v>
      </c>
      <c r="L11">
        <v>30151</v>
      </c>
      <c r="M11" t="s">
        <v>286</v>
      </c>
      <c r="R11" t="str">
        <f>HYPERLINK("https://7lm.cvcrm.com.br/gestor/relatorios/associado/html?q[1|r.idreserva]=7150","JOAO VICTOR FERNANDES DA SILVA")</f>
        <v>JOAO VICTOR FERNANDES DA SILVA</v>
      </c>
      <c r="S11">
        <v>5739612128</v>
      </c>
      <c r="T11">
        <v>5561999181974</v>
      </c>
      <c r="U11">
        <v>5561996458214</v>
      </c>
      <c r="V11" t="s">
        <v>287</v>
      </c>
      <c r="W11" t="s">
        <v>163</v>
      </c>
      <c r="X11" t="s">
        <v>288</v>
      </c>
      <c r="Y11" t="s">
        <v>189</v>
      </c>
      <c r="Z11" t="s">
        <v>190</v>
      </c>
      <c r="AA11" t="s">
        <v>289</v>
      </c>
      <c r="AB11" t="s">
        <v>290</v>
      </c>
      <c r="AC11" t="s">
        <v>291</v>
      </c>
      <c r="AF11" t="s">
        <v>273</v>
      </c>
      <c r="AG11" t="s">
        <v>251</v>
      </c>
      <c r="AH11" s="3">
        <v>241000.28</v>
      </c>
      <c r="AI11" s="3">
        <v>241000.28</v>
      </c>
      <c r="AJ11" s="1">
        <v>46218</v>
      </c>
      <c r="AN11" t="s">
        <v>172</v>
      </c>
      <c r="AT11" t="s">
        <v>196</v>
      </c>
      <c r="AU11" t="s">
        <v>292</v>
      </c>
      <c r="AW11">
        <v>0</v>
      </c>
      <c r="AX11" s="1">
        <v>46169</v>
      </c>
      <c r="AY11" s="2">
        <v>0.65938657407407408</v>
      </c>
      <c r="AZ11">
        <v>50530</v>
      </c>
      <c r="BA11" s="1">
        <v>44260</v>
      </c>
      <c r="BB11" s="1">
        <v>45594</v>
      </c>
      <c r="BC11" t="s">
        <v>0</v>
      </c>
      <c r="BD11" s="1">
        <v>46169</v>
      </c>
      <c r="BE11" t="s">
        <v>293</v>
      </c>
      <c r="BL11" s="4">
        <v>0</v>
      </c>
      <c r="BM11" s="1">
        <v>46899</v>
      </c>
      <c r="BO11">
        <v>0</v>
      </c>
      <c r="BP11">
        <v>32974</v>
      </c>
      <c r="BQ11" t="s">
        <v>156</v>
      </c>
      <c r="BR11" s="3">
        <v>117424.84</v>
      </c>
      <c r="BS11" s="3">
        <v>41678</v>
      </c>
      <c r="BT11">
        <v>0</v>
      </c>
      <c r="BU11" s="3">
        <v>159102.84</v>
      </c>
      <c r="BV11" s="3">
        <v>241000.28</v>
      </c>
      <c r="BX11">
        <v>0</v>
      </c>
      <c r="BZ11">
        <v>0</v>
      </c>
      <c r="CA11">
        <v>0</v>
      </c>
      <c r="CB11">
        <v>0</v>
      </c>
      <c r="CC11" s="3">
        <v>241000.28</v>
      </c>
      <c r="CD11" s="5">
        <v>0</v>
      </c>
      <c r="CF11" s="6">
        <v>46143</v>
      </c>
      <c r="CH11">
        <v>0</v>
      </c>
      <c r="CI11">
        <v>0</v>
      </c>
      <c r="CJ11">
        <v>0</v>
      </c>
      <c r="CK11">
        <v>0</v>
      </c>
      <c r="CL11">
        <v>0</v>
      </c>
      <c r="CM11">
        <v>0</v>
      </c>
      <c r="CN11">
        <v>0</v>
      </c>
      <c r="CO11">
        <v>0</v>
      </c>
      <c r="CP11">
        <v>0</v>
      </c>
      <c r="CQ11">
        <v>0</v>
      </c>
      <c r="CR11">
        <v>0</v>
      </c>
      <c r="CT11" t="s">
        <v>190</v>
      </c>
      <c r="CU11" t="s">
        <v>285</v>
      </c>
      <c r="CW11">
        <v>0</v>
      </c>
      <c r="CZ11" s="1">
        <v>46169</v>
      </c>
      <c r="DA11" t="s">
        <v>172</v>
      </c>
      <c r="DB11" t="s">
        <v>172</v>
      </c>
      <c r="DC11" t="s">
        <v>172</v>
      </c>
      <c r="DD11" t="s">
        <v>172</v>
      </c>
      <c r="DG11" s="1">
        <v>46169</v>
      </c>
      <c r="DH11">
        <v>0</v>
      </c>
      <c r="DI11">
        <v>0</v>
      </c>
      <c r="DK11" t="s">
        <v>179</v>
      </c>
      <c r="DL11" t="s">
        <v>200</v>
      </c>
      <c r="DM11" t="s">
        <v>172</v>
      </c>
      <c r="DN11" t="s">
        <v>201</v>
      </c>
      <c r="DV11" s="3">
        <v>241000.28</v>
      </c>
      <c r="DW11">
        <v>0</v>
      </c>
      <c r="DX11" s="3">
        <v>241000.28</v>
      </c>
      <c r="DY11">
        <v>0</v>
      </c>
    </row>
    <row r="12" spans="1:156" ht="43.5" x14ac:dyDescent="0.35">
      <c r="A12" t="str">
        <f>HYPERLINK("https://7lm.cvcrm.com.br/gestor/comercial/reservas/7149/administrar","7149")</f>
        <v>7149</v>
      </c>
      <c r="B12" t="s">
        <v>156</v>
      </c>
      <c r="C12" s="1">
        <v>46169</v>
      </c>
      <c r="D12" s="2">
        <v>0.44233796296296296</v>
      </c>
      <c r="E12" t="s">
        <v>294</v>
      </c>
      <c r="F12" t="s">
        <v>295</v>
      </c>
      <c r="G12" t="s">
        <v>203</v>
      </c>
      <c r="H12" t="s">
        <v>204</v>
      </c>
      <c r="I12" t="s">
        <v>296</v>
      </c>
      <c r="J12">
        <v>1</v>
      </c>
      <c r="K12">
        <v>8544</v>
      </c>
      <c r="L12">
        <v>30031</v>
      </c>
      <c r="M12" t="s">
        <v>297</v>
      </c>
      <c r="N12" s="1">
        <v>46169</v>
      </c>
      <c r="O12" s="2">
        <v>0.73039351851851853</v>
      </c>
      <c r="Q12">
        <v>10048</v>
      </c>
      <c r="R12" t="str">
        <f>HYPERLINK("https://7lm.cvcrm.com.br/gestor/relatorios/associado/html?q[1|r.idreserva]=7149","PATRICIA XAVIER DA CRUZ")</f>
        <v>PATRICIA XAVIER DA CRUZ</v>
      </c>
      <c r="S12">
        <v>73225762172</v>
      </c>
      <c r="T12">
        <v>5561993763837</v>
      </c>
      <c r="U12">
        <v>5561999550225</v>
      </c>
      <c r="V12" t="s">
        <v>298</v>
      </c>
      <c r="W12" t="s">
        <v>187</v>
      </c>
      <c r="X12" t="s">
        <v>299</v>
      </c>
      <c r="Y12" t="s">
        <v>189</v>
      </c>
      <c r="Z12" t="s">
        <v>190</v>
      </c>
      <c r="AA12" t="s">
        <v>300</v>
      </c>
      <c r="AB12" t="s">
        <v>301</v>
      </c>
      <c r="AC12" t="s">
        <v>302</v>
      </c>
      <c r="AD12" t="s">
        <v>302</v>
      </c>
      <c r="AF12" t="s">
        <v>303</v>
      </c>
      <c r="AG12" t="s">
        <v>251</v>
      </c>
      <c r="AH12" s="3">
        <v>247600.96</v>
      </c>
      <c r="AI12" s="3">
        <v>247600.96</v>
      </c>
      <c r="AJ12" s="1">
        <v>46188</v>
      </c>
      <c r="AN12" t="s">
        <v>172</v>
      </c>
      <c r="AR12" s="7" t="s">
        <v>304</v>
      </c>
      <c r="AT12" t="s">
        <v>196</v>
      </c>
      <c r="AU12" t="s">
        <v>292</v>
      </c>
      <c r="AW12">
        <v>0</v>
      </c>
      <c r="AX12" s="1">
        <v>46170</v>
      </c>
      <c r="AY12" s="2">
        <v>0.4987847222222222</v>
      </c>
      <c r="AZ12">
        <v>215873</v>
      </c>
      <c r="BA12" s="1">
        <v>46167</v>
      </c>
      <c r="BC12" t="s">
        <v>0</v>
      </c>
      <c r="BD12" s="1">
        <v>46169</v>
      </c>
      <c r="BE12" t="s">
        <v>176</v>
      </c>
      <c r="BL12" s="4">
        <v>0</v>
      </c>
      <c r="BM12" s="1">
        <v>46604</v>
      </c>
      <c r="BN12" s="1">
        <v>46170</v>
      </c>
      <c r="BO12">
        <v>0</v>
      </c>
      <c r="BP12">
        <v>32956</v>
      </c>
      <c r="BQ12" t="s">
        <v>156</v>
      </c>
      <c r="BR12" s="3">
        <v>120480.16</v>
      </c>
      <c r="BS12" s="3">
        <v>43595</v>
      </c>
      <c r="BT12">
        <v>0</v>
      </c>
      <c r="BU12" s="3">
        <v>164075.16</v>
      </c>
      <c r="BV12" s="3">
        <v>247600.96</v>
      </c>
      <c r="BX12">
        <v>0</v>
      </c>
      <c r="BZ12">
        <v>0</v>
      </c>
      <c r="CA12">
        <v>0</v>
      </c>
      <c r="CB12">
        <v>0</v>
      </c>
      <c r="CC12" s="3">
        <v>247600.96</v>
      </c>
      <c r="CD12" s="5">
        <v>0</v>
      </c>
      <c r="CF12" s="6">
        <v>46143</v>
      </c>
      <c r="CH12">
        <v>0</v>
      </c>
      <c r="CI12">
        <v>0</v>
      </c>
      <c r="CJ12">
        <v>0</v>
      </c>
      <c r="CK12">
        <v>0</v>
      </c>
      <c r="CL12">
        <v>0</v>
      </c>
      <c r="CM12">
        <v>0</v>
      </c>
      <c r="CN12">
        <v>0</v>
      </c>
      <c r="CO12">
        <v>0</v>
      </c>
      <c r="CP12">
        <v>0</v>
      </c>
      <c r="CQ12">
        <v>0</v>
      </c>
      <c r="CR12">
        <v>0</v>
      </c>
      <c r="CS12" t="s">
        <v>305</v>
      </c>
      <c r="CT12" t="s">
        <v>190</v>
      </c>
      <c r="CU12" t="s">
        <v>296</v>
      </c>
      <c r="CW12">
        <v>-51.526800000000001</v>
      </c>
      <c r="CZ12" s="1">
        <v>46169</v>
      </c>
      <c r="DA12" t="s">
        <v>172</v>
      </c>
      <c r="DB12" t="s">
        <v>172</v>
      </c>
      <c r="DC12" t="s">
        <v>172</v>
      </c>
      <c r="DD12" t="s">
        <v>172</v>
      </c>
      <c r="DG12" s="1">
        <v>46169</v>
      </c>
      <c r="DH12">
        <v>0</v>
      </c>
      <c r="DI12">
        <v>0</v>
      </c>
      <c r="DJ12" s="1">
        <v>46170</v>
      </c>
      <c r="DL12" t="s">
        <v>200</v>
      </c>
      <c r="DM12" t="s">
        <v>172</v>
      </c>
      <c r="DN12" t="s">
        <v>201</v>
      </c>
      <c r="DV12" s="3">
        <v>247600.96</v>
      </c>
      <c r="DW12">
        <v>0</v>
      </c>
      <c r="DX12" s="3">
        <v>247600.96</v>
      </c>
      <c r="DY12">
        <v>0</v>
      </c>
      <c r="EL12" s="1">
        <v>46169</v>
      </c>
      <c r="EU12" s="1">
        <v>46174</v>
      </c>
      <c r="EV12" s="1">
        <v>46169</v>
      </c>
      <c r="EW12" s="1">
        <v>46169</v>
      </c>
    </row>
    <row r="13" spans="1:156" x14ac:dyDescent="0.35">
      <c r="A13" t="str">
        <f>HYPERLINK("https://7lm.cvcrm.com.br/gestor/comercial/reservas/7148/administrar","7148")</f>
        <v>7148</v>
      </c>
      <c r="B13" t="s">
        <v>172</v>
      </c>
      <c r="C13" s="1">
        <v>46168</v>
      </c>
      <c r="D13" s="2">
        <v>0.80790509259259258</v>
      </c>
      <c r="E13" t="s">
        <v>157</v>
      </c>
      <c r="F13" t="s">
        <v>202</v>
      </c>
      <c r="G13" t="s">
        <v>203</v>
      </c>
      <c r="H13" t="s">
        <v>306</v>
      </c>
      <c r="I13" t="s">
        <v>307</v>
      </c>
      <c r="J13">
        <v>1</v>
      </c>
      <c r="L13">
        <v>20031</v>
      </c>
      <c r="M13" t="s">
        <v>308</v>
      </c>
      <c r="R13" t="str">
        <f>HYPERLINK("https://7lm.cvcrm.com.br/gestor/relatorios/associado/html?q[1|r.idreserva]=7148","BRUNO ALVES DE OLIVEIRA")</f>
        <v>BRUNO ALVES DE OLIVEIRA</v>
      </c>
      <c r="S13">
        <v>8630118105</v>
      </c>
      <c r="T13">
        <v>5561981684280</v>
      </c>
      <c r="U13">
        <v>5562996875524</v>
      </c>
      <c r="V13" t="s">
        <v>309</v>
      </c>
      <c r="W13" t="s">
        <v>163</v>
      </c>
      <c r="X13" t="s">
        <v>310</v>
      </c>
      <c r="Y13" t="s">
        <v>165</v>
      </c>
      <c r="Z13" t="s">
        <v>311</v>
      </c>
      <c r="AA13" t="s">
        <v>312</v>
      </c>
      <c r="AB13" t="s">
        <v>313</v>
      </c>
      <c r="AC13" t="s">
        <v>314</v>
      </c>
      <c r="AF13" t="s">
        <v>315</v>
      </c>
      <c r="AG13" t="s">
        <v>195</v>
      </c>
      <c r="AH13" s="3">
        <v>220036.62</v>
      </c>
      <c r="AI13" s="3">
        <v>220036.62</v>
      </c>
      <c r="AJ13" s="1">
        <v>46228</v>
      </c>
      <c r="AN13" t="s">
        <v>172</v>
      </c>
      <c r="AT13" t="s">
        <v>261</v>
      </c>
      <c r="AU13" t="s">
        <v>316</v>
      </c>
      <c r="AW13">
        <v>0</v>
      </c>
      <c r="AX13" s="1">
        <v>46168</v>
      </c>
      <c r="AY13" s="2">
        <v>0.80790509259259258</v>
      </c>
      <c r="AZ13">
        <v>214594</v>
      </c>
      <c r="BA13" s="1">
        <v>46162</v>
      </c>
      <c r="BC13" t="s">
        <v>0</v>
      </c>
      <c r="BD13" s="1">
        <v>46168</v>
      </c>
      <c r="BE13" t="s">
        <v>317</v>
      </c>
      <c r="BL13" s="4">
        <v>0</v>
      </c>
      <c r="BM13" s="1">
        <v>46808</v>
      </c>
      <c r="BO13">
        <v>0</v>
      </c>
      <c r="BP13">
        <v>32824</v>
      </c>
      <c r="BQ13" t="s">
        <v>156</v>
      </c>
      <c r="BR13" s="3">
        <v>109156.62</v>
      </c>
      <c r="BS13" s="3">
        <v>55000</v>
      </c>
      <c r="BT13">
        <v>0</v>
      </c>
      <c r="BU13" s="3">
        <v>164156.62</v>
      </c>
      <c r="BV13" s="3">
        <v>220036.62</v>
      </c>
      <c r="BX13">
        <v>0</v>
      </c>
      <c r="BZ13">
        <v>0</v>
      </c>
      <c r="CA13">
        <v>0</v>
      </c>
      <c r="CB13">
        <v>0</v>
      </c>
      <c r="CC13" s="3">
        <v>220036.62</v>
      </c>
      <c r="CD13" s="5">
        <v>0</v>
      </c>
      <c r="CF13" s="6">
        <v>46143</v>
      </c>
      <c r="CH13">
        <v>0</v>
      </c>
      <c r="CI13">
        <v>0</v>
      </c>
      <c r="CJ13">
        <v>0</v>
      </c>
      <c r="CK13">
        <v>0</v>
      </c>
      <c r="CL13">
        <v>0</v>
      </c>
      <c r="CM13">
        <v>0</v>
      </c>
      <c r="CN13">
        <v>0</v>
      </c>
      <c r="CO13">
        <v>0</v>
      </c>
      <c r="CP13">
        <v>0</v>
      </c>
      <c r="CQ13">
        <v>0</v>
      </c>
      <c r="CR13">
        <v>0</v>
      </c>
      <c r="CT13" t="s">
        <v>214</v>
      </c>
      <c r="CU13" t="s">
        <v>307</v>
      </c>
      <c r="CW13">
        <v>0</v>
      </c>
      <c r="CZ13" s="1">
        <v>46168</v>
      </c>
      <c r="DA13" t="s">
        <v>172</v>
      </c>
      <c r="DB13" t="s">
        <v>172</v>
      </c>
      <c r="DC13" t="s">
        <v>172</v>
      </c>
      <c r="DD13" t="s">
        <v>172</v>
      </c>
      <c r="DG13" s="1">
        <v>46168</v>
      </c>
      <c r="DH13">
        <v>0</v>
      </c>
      <c r="DI13">
        <v>0</v>
      </c>
      <c r="DL13" t="s">
        <v>215</v>
      </c>
      <c r="DM13" t="s">
        <v>172</v>
      </c>
      <c r="DN13" t="s">
        <v>201</v>
      </c>
      <c r="DU13" t="s">
        <v>318</v>
      </c>
      <c r="DV13" s="3">
        <v>255363.38</v>
      </c>
      <c r="DW13">
        <v>-53.72</v>
      </c>
      <c r="DX13" s="3">
        <v>255363.38</v>
      </c>
      <c r="DY13">
        <v>-53.72</v>
      </c>
      <c r="EN13" t="s">
        <v>172</v>
      </c>
      <c r="EW13" s="1">
        <v>46168</v>
      </c>
    </row>
    <row r="14" spans="1:156" x14ac:dyDescent="0.35">
      <c r="A14" t="str">
        <f>HYPERLINK("https://7lm.cvcrm.com.br/gestor/comercial/reservas/7147/administrar","7147")</f>
        <v>7147</v>
      </c>
      <c r="B14" t="s">
        <v>172</v>
      </c>
      <c r="C14" s="1">
        <v>46168</v>
      </c>
      <c r="D14" s="2">
        <v>0.69589120370370372</v>
      </c>
      <c r="E14" t="s">
        <v>157</v>
      </c>
      <c r="F14" t="s">
        <v>202</v>
      </c>
      <c r="G14" t="s">
        <v>203</v>
      </c>
      <c r="H14" t="s">
        <v>319</v>
      </c>
      <c r="I14" t="s">
        <v>320</v>
      </c>
      <c r="J14">
        <v>1</v>
      </c>
      <c r="L14">
        <v>20031</v>
      </c>
      <c r="M14" t="s">
        <v>321</v>
      </c>
      <c r="R14" t="str">
        <f>HYPERLINK("https://7lm.cvcrm.com.br/gestor/relatorios/associado/html?q[1|r.idreserva]=7147","CLAUDIANA VIANA SILVEIRA")</f>
        <v>CLAUDIANA VIANA SILVEIRA</v>
      </c>
      <c r="S14">
        <v>275098184</v>
      </c>
      <c r="T14">
        <v>5561991769917</v>
      </c>
      <c r="U14">
        <v>5561991769917</v>
      </c>
      <c r="V14" t="s">
        <v>322</v>
      </c>
      <c r="W14" t="s">
        <v>187</v>
      </c>
      <c r="Y14" t="s">
        <v>165</v>
      </c>
      <c r="Z14" t="s">
        <v>323</v>
      </c>
      <c r="AA14" t="s">
        <v>324</v>
      </c>
      <c r="AB14" t="s">
        <v>325</v>
      </c>
      <c r="AC14" t="s">
        <v>326</v>
      </c>
      <c r="AD14" t="s">
        <v>327</v>
      </c>
      <c r="AF14" t="s">
        <v>212</v>
      </c>
      <c r="AG14" t="s">
        <v>284</v>
      </c>
      <c r="AH14" s="3">
        <v>212455.07</v>
      </c>
      <c r="AI14" s="3">
        <v>212455.07</v>
      </c>
      <c r="AJ14" s="1">
        <v>46228</v>
      </c>
      <c r="AN14" t="s">
        <v>172</v>
      </c>
      <c r="AT14" t="s">
        <v>196</v>
      </c>
      <c r="AU14" t="s">
        <v>175</v>
      </c>
      <c r="AW14">
        <v>0</v>
      </c>
      <c r="AX14" s="1">
        <v>46168</v>
      </c>
      <c r="AY14" s="2">
        <v>0.69589120370370372</v>
      </c>
      <c r="AZ14">
        <v>216252</v>
      </c>
      <c r="BA14" s="1">
        <v>46168</v>
      </c>
      <c r="BC14" t="s">
        <v>0</v>
      </c>
      <c r="BD14" s="1">
        <v>46168</v>
      </c>
      <c r="BE14" t="s">
        <v>175</v>
      </c>
      <c r="BL14" s="4">
        <v>0</v>
      </c>
      <c r="BM14" s="1">
        <v>46808</v>
      </c>
      <c r="BO14">
        <v>0</v>
      </c>
      <c r="BP14">
        <v>32983</v>
      </c>
      <c r="BQ14" t="s">
        <v>156</v>
      </c>
      <c r="BR14" s="3">
        <v>101176.98</v>
      </c>
      <c r="BS14" s="3">
        <v>55000</v>
      </c>
      <c r="BT14">
        <v>0</v>
      </c>
      <c r="BU14" s="3">
        <v>156176.98000000001</v>
      </c>
      <c r="BV14" s="3">
        <v>212455.07</v>
      </c>
      <c r="BX14">
        <v>0</v>
      </c>
      <c r="BZ14">
        <v>0</v>
      </c>
      <c r="CA14">
        <v>0</v>
      </c>
      <c r="CB14">
        <v>0</v>
      </c>
      <c r="CC14" s="3">
        <v>212455.07</v>
      </c>
      <c r="CD14" s="5">
        <v>0</v>
      </c>
      <c r="CF14" s="6">
        <v>46143</v>
      </c>
      <c r="CH14">
        <v>0</v>
      </c>
      <c r="CI14">
        <v>0</v>
      </c>
      <c r="CJ14">
        <v>0</v>
      </c>
      <c r="CK14">
        <v>0</v>
      </c>
      <c r="CL14">
        <v>0</v>
      </c>
      <c r="CM14">
        <v>0</v>
      </c>
      <c r="CN14">
        <v>0</v>
      </c>
      <c r="CO14">
        <v>0</v>
      </c>
      <c r="CP14">
        <v>0</v>
      </c>
      <c r="CQ14">
        <v>0</v>
      </c>
      <c r="CR14">
        <v>0</v>
      </c>
      <c r="CT14" t="s">
        <v>214</v>
      </c>
      <c r="CU14" t="s">
        <v>320</v>
      </c>
      <c r="CW14">
        <v>0</v>
      </c>
      <c r="CZ14" s="1">
        <v>46168</v>
      </c>
      <c r="DA14" t="s">
        <v>172</v>
      </c>
      <c r="DB14" t="s">
        <v>172</v>
      </c>
      <c r="DC14" t="s">
        <v>172</v>
      </c>
      <c r="DD14" t="s">
        <v>172</v>
      </c>
      <c r="DG14" s="1">
        <v>46168</v>
      </c>
      <c r="DH14">
        <v>0</v>
      </c>
      <c r="DI14">
        <v>0</v>
      </c>
      <c r="DL14" t="s">
        <v>224</v>
      </c>
      <c r="DM14" t="s">
        <v>172</v>
      </c>
      <c r="DN14" t="s">
        <v>201</v>
      </c>
      <c r="DV14" s="3">
        <v>212455.07</v>
      </c>
      <c r="DW14">
        <v>0</v>
      </c>
      <c r="DX14" s="3">
        <v>212455.07</v>
      </c>
      <c r="DY14">
        <v>0</v>
      </c>
      <c r="EN14" t="s">
        <v>172</v>
      </c>
      <c r="EU14" s="1">
        <v>46177</v>
      </c>
      <c r="EW14" s="1">
        <v>46168</v>
      </c>
    </row>
    <row r="15" spans="1:156" x14ac:dyDescent="0.35">
      <c r="A15" t="str">
        <f>HYPERLINK("https://7lm.cvcrm.com.br/gestor/comercial/reservas/7146/administrar","7146")</f>
        <v>7146</v>
      </c>
      <c r="B15" t="s">
        <v>172</v>
      </c>
      <c r="C15" s="1">
        <v>46168</v>
      </c>
      <c r="D15" s="2">
        <v>0.57030092592592596</v>
      </c>
      <c r="E15" t="s">
        <v>157</v>
      </c>
      <c r="F15" t="s">
        <v>182</v>
      </c>
      <c r="G15" t="s">
        <v>159</v>
      </c>
      <c r="H15" t="s">
        <v>265</v>
      </c>
      <c r="I15" t="s">
        <v>328</v>
      </c>
      <c r="J15">
        <v>1</v>
      </c>
      <c r="L15">
        <v>30151</v>
      </c>
      <c r="M15" t="s">
        <v>329</v>
      </c>
      <c r="R15" t="str">
        <f>HYPERLINK("https://7lm.cvcrm.com.br/gestor/relatorios/associado/html?q[1|r.idreserva]=7146","BALTAZAR BARBOZA DOS SANTOS")</f>
        <v>BALTAZAR BARBOZA DOS SANTOS</v>
      </c>
      <c r="S15">
        <v>710728107</v>
      </c>
      <c r="T15">
        <v>556198512212</v>
      </c>
      <c r="U15">
        <v>5561998512212</v>
      </c>
      <c r="V15" t="s">
        <v>330</v>
      </c>
      <c r="W15" t="s">
        <v>163</v>
      </c>
      <c r="X15" t="s">
        <v>331</v>
      </c>
      <c r="Y15" t="s">
        <v>189</v>
      </c>
      <c r="Z15" t="s">
        <v>190</v>
      </c>
      <c r="AA15" t="s">
        <v>332</v>
      </c>
      <c r="AB15" t="s">
        <v>333</v>
      </c>
      <c r="AC15" t="s">
        <v>334</v>
      </c>
      <c r="AF15" t="s">
        <v>273</v>
      </c>
      <c r="AG15" t="s">
        <v>251</v>
      </c>
      <c r="AH15" s="3">
        <v>241001.04</v>
      </c>
      <c r="AI15" s="3">
        <v>241001.04</v>
      </c>
      <c r="AJ15" s="1">
        <v>46218</v>
      </c>
      <c r="AN15" t="s">
        <v>172</v>
      </c>
      <c r="AT15" t="s">
        <v>196</v>
      </c>
      <c r="AU15" t="s">
        <v>335</v>
      </c>
      <c r="AW15">
        <v>0</v>
      </c>
      <c r="AX15" s="1">
        <v>46168</v>
      </c>
      <c r="AY15" s="2">
        <v>0.57030092592592596</v>
      </c>
      <c r="AZ15">
        <v>176572</v>
      </c>
      <c r="BA15" s="1">
        <v>45979</v>
      </c>
      <c r="BB15" s="1">
        <v>46106</v>
      </c>
      <c r="BC15" t="s">
        <v>0</v>
      </c>
      <c r="BD15" s="1">
        <v>46168</v>
      </c>
      <c r="BE15" t="s">
        <v>198</v>
      </c>
      <c r="BL15" s="4">
        <v>0</v>
      </c>
      <c r="BM15" s="1">
        <v>46899</v>
      </c>
      <c r="BO15">
        <v>0</v>
      </c>
      <c r="BP15">
        <v>32238</v>
      </c>
      <c r="BQ15" t="s">
        <v>156</v>
      </c>
      <c r="BR15" s="3">
        <v>130217.14</v>
      </c>
      <c r="BS15" s="3">
        <v>21001</v>
      </c>
      <c r="BT15">
        <v>0</v>
      </c>
      <c r="BU15" s="3">
        <v>151218.14000000001</v>
      </c>
      <c r="BV15" s="3">
        <v>241001.04</v>
      </c>
      <c r="BX15">
        <v>0</v>
      </c>
      <c r="BZ15">
        <v>0</v>
      </c>
      <c r="CA15">
        <v>0</v>
      </c>
      <c r="CB15">
        <v>0</v>
      </c>
      <c r="CC15" s="3">
        <v>241001.04</v>
      </c>
      <c r="CD15" s="5">
        <v>0</v>
      </c>
      <c r="CF15" s="6">
        <v>46143</v>
      </c>
      <c r="CH15">
        <v>0</v>
      </c>
      <c r="CI15">
        <v>0</v>
      </c>
      <c r="CJ15">
        <v>0</v>
      </c>
      <c r="CK15">
        <v>0</v>
      </c>
      <c r="CL15">
        <v>0</v>
      </c>
      <c r="CM15">
        <v>0</v>
      </c>
      <c r="CN15">
        <v>0</v>
      </c>
      <c r="CO15">
        <v>0</v>
      </c>
      <c r="CP15">
        <v>0</v>
      </c>
      <c r="CQ15">
        <v>0</v>
      </c>
      <c r="CR15">
        <v>0</v>
      </c>
      <c r="CT15" t="s">
        <v>190</v>
      </c>
      <c r="CU15" t="s">
        <v>328</v>
      </c>
      <c r="CW15">
        <v>0</v>
      </c>
      <c r="CZ15" s="1">
        <v>46168</v>
      </c>
      <c r="DA15" t="s">
        <v>172</v>
      </c>
      <c r="DB15" t="s">
        <v>172</v>
      </c>
      <c r="DC15" t="s">
        <v>172</v>
      </c>
      <c r="DD15" t="s">
        <v>172</v>
      </c>
      <c r="DG15" s="1">
        <v>46168</v>
      </c>
      <c r="DH15">
        <v>0</v>
      </c>
      <c r="DI15">
        <v>0</v>
      </c>
      <c r="DK15" t="s">
        <v>179</v>
      </c>
      <c r="DL15" t="s">
        <v>200</v>
      </c>
      <c r="DM15" t="s">
        <v>172</v>
      </c>
      <c r="DN15" t="s">
        <v>201</v>
      </c>
      <c r="DV15" s="3">
        <v>241001.04</v>
      </c>
      <c r="DW15">
        <v>0</v>
      </c>
      <c r="DX15" s="3">
        <v>241001.04</v>
      </c>
      <c r="DY15">
        <v>0</v>
      </c>
      <c r="EN15" t="s">
        <v>172</v>
      </c>
      <c r="EU15" s="1">
        <v>46218</v>
      </c>
      <c r="EW15" s="1">
        <v>46168</v>
      </c>
    </row>
    <row r="16" spans="1:156" x14ac:dyDescent="0.35">
      <c r="A16" t="str">
        <f>HYPERLINK("https://7lm.cvcrm.com.br/gestor/comercial/reservas/7145/administrar","7145")</f>
        <v>7145</v>
      </c>
      <c r="B16" t="s">
        <v>156</v>
      </c>
      <c r="C16" s="1">
        <v>46168</v>
      </c>
      <c r="D16" s="2">
        <v>0.49282407407407408</v>
      </c>
      <c r="E16" t="s">
        <v>157</v>
      </c>
      <c r="F16" t="s">
        <v>295</v>
      </c>
      <c r="G16" t="s">
        <v>203</v>
      </c>
      <c r="H16" t="s">
        <v>336</v>
      </c>
      <c r="I16" t="s">
        <v>337</v>
      </c>
      <c r="J16">
        <v>1</v>
      </c>
      <c r="L16">
        <v>30031</v>
      </c>
      <c r="M16" t="s">
        <v>338</v>
      </c>
      <c r="N16" s="1">
        <v>46168</v>
      </c>
      <c r="O16" s="2">
        <v>0.49430555555555555</v>
      </c>
      <c r="R16" t="str">
        <f>HYPERLINK("https://7lm.cvcrm.com.br/gestor/relatorios/associado/html?q[1|r.idreserva]=7145","LEIDY DANIELA CISNERO VELASQUEZ")</f>
        <v>LEIDY DANIELA CISNERO VELASQUEZ</v>
      </c>
      <c r="S16">
        <v>11268691208</v>
      </c>
      <c r="T16">
        <v>5561996378912</v>
      </c>
      <c r="U16">
        <v>5561996396796</v>
      </c>
      <c r="V16" t="s">
        <v>339</v>
      </c>
      <c r="W16" t="s">
        <v>340</v>
      </c>
      <c r="X16" t="s">
        <v>341</v>
      </c>
      <c r="AA16" t="s">
        <v>342</v>
      </c>
      <c r="AB16" t="s">
        <v>343</v>
      </c>
      <c r="AC16" t="s">
        <v>193</v>
      </c>
      <c r="AF16" t="s">
        <v>194</v>
      </c>
      <c r="AG16" t="s">
        <v>195</v>
      </c>
      <c r="AH16" s="3">
        <v>246000.52</v>
      </c>
      <c r="AI16" s="3">
        <v>246000.52</v>
      </c>
      <c r="AJ16" s="1">
        <v>46228</v>
      </c>
      <c r="AN16" t="s">
        <v>172</v>
      </c>
      <c r="AT16" t="s">
        <v>196</v>
      </c>
      <c r="AU16" t="s">
        <v>197</v>
      </c>
      <c r="AW16">
        <v>0</v>
      </c>
      <c r="AX16" s="1">
        <v>46168</v>
      </c>
      <c r="AY16" s="2">
        <v>0.49282407407407408</v>
      </c>
      <c r="AZ16">
        <v>215888</v>
      </c>
      <c r="BA16" s="1">
        <v>46167</v>
      </c>
      <c r="BC16" t="s">
        <v>0</v>
      </c>
      <c r="BD16" s="1">
        <v>46168</v>
      </c>
      <c r="BE16" t="s">
        <v>276</v>
      </c>
      <c r="BL16" s="4">
        <v>0</v>
      </c>
      <c r="BM16" s="1">
        <v>46604</v>
      </c>
      <c r="BO16">
        <v>0</v>
      </c>
      <c r="BP16">
        <v>32907</v>
      </c>
      <c r="BQ16" t="s">
        <v>156</v>
      </c>
      <c r="BR16" s="3">
        <v>143878.1</v>
      </c>
      <c r="BS16" s="3">
        <v>20172</v>
      </c>
      <c r="BT16">
        <v>0</v>
      </c>
      <c r="BU16" s="3">
        <v>164050.1</v>
      </c>
      <c r="BV16" s="3">
        <v>246000.52</v>
      </c>
      <c r="BX16">
        <v>0</v>
      </c>
      <c r="BZ16">
        <v>0</v>
      </c>
      <c r="CA16">
        <v>0</v>
      </c>
      <c r="CB16">
        <v>0</v>
      </c>
      <c r="CC16" s="3">
        <v>246000.52</v>
      </c>
      <c r="CD16" s="5">
        <v>0</v>
      </c>
      <c r="CF16" s="6">
        <v>46143</v>
      </c>
      <c r="CH16">
        <v>0</v>
      </c>
      <c r="CI16">
        <v>0</v>
      </c>
      <c r="CJ16">
        <v>0</v>
      </c>
      <c r="CK16">
        <v>0</v>
      </c>
      <c r="CL16">
        <v>0</v>
      </c>
      <c r="CM16">
        <v>0</v>
      </c>
      <c r="CN16">
        <v>0</v>
      </c>
      <c r="CO16">
        <v>0</v>
      </c>
      <c r="CP16">
        <v>0</v>
      </c>
      <c r="CQ16">
        <v>0</v>
      </c>
      <c r="CR16">
        <v>0</v>
      </c>
      <c r="CS16" t="s">
        <v>199</v>
      </c>
      <c r="CT16" t="s">
        <v>190</v>
      </c>
      <c r="CU16" t="s">
        <v>337</v>
      </c>
      <c r="CW16">
        <v>-51.8401</v>
      </c>
      <c r="CZ16" s="1">
        <v>46168</v>
      </c>
      <c r="DA16" t="s">
        <v>172</v>
      </c>
      <c r="DB16" t="s">
        <v>172</v>
      </c>
      <c r="DC16" t="s">
        <v>172</v>
      </c>
      <c r="DD16" t="s">
        <v>172</v>
      </c>
      <c r="DG16" s="1">
        <v>46168</v>
      </c>
      <c r="DH16">
        <v>0</v>
      </c>
      <c r="DI16">
        <v>0</v>
      </c>
      <c r="DL16" t="s">
        <v>200</v>
      </c>
      <c r="DM16" t="s">
        <v>172</v>
      </c>
      <c r="DN16" t="s">
        <v>201</v>
      </c>
      <c r="DV16" s="3">
        <v>246000.52</v>
      </c>
      <c r="DW16">
        <v>0</v>
      </c>
      <c r="DX16" s="3">
        <v>246000.52</v>
      </c>
      <c r="DY16">
        <v>0</v>
      </c>
    </row>
    <row r="17" spans="1:153" ht="246.5" x14ac:dyDescent="0.35">
      <c r="A17" t="str">
        <f>HYPERLINK("https://7lm.cvcrm.com.br/gestor/comercial/reservas/7144/administrar","7144")</f>
        <v>7144</v>
      </c>
      <c r="B17" t="s">
        <v>156</v>
      </c>
      <c r="C17" s="1">
        <v>46167</v>
      </c>
      <c r="D17" s="2">
        <v>0.80459490740740736</v>
      </c>
      <c r="E17" t="s">
        <v>344</v>
      </c>
      <c r="F17" t="s">
        <v>182</v>
      </c>
      <c r="G17" t="s">
        <v>159</v>
      </c>
      <c r="H17" t="s">
        <v>345</v>
      </c>
      <c r="I17" t="s">
        <v>346</v>
      </c>
      <c r="J17">
        <v>1</v>
      </c>
      <c r="K17">
        <v>8546</v>
      </c>
      <c r="L17">
        <v>30151</v>
      </c>
      <c r="M17" t="s">
        <v>347</v>
      </c>
      <c r="N17" s="1">
        <v>46170</v>
      </c>
      <c r="O17" s="2">
        <v>0.6575347222222222</v>
      </c>
      <c r="R17" t="str">
        <f>HYPERLINK("https://7lm.cvcrm.com.br/gestor/relatorios/associado/html?q[1|r.idreserva]=7144","LUIZ HENRIQUE SOARES DE MELO")</f>
        <v>LUIZ HENRIQUE SOARES DE MELO</v>
      </c>
      <c r="S17">
        <v>71611124190</v>
      </c>
      <c r="T17">
        <v>556198168012</v>
      </c>
      <c r="U17">
        <v>556196992081</v>
      </c>
      <c r="V17" t="s">
        <v>348</v>
      </c>
      <c r="W17" t="s">
        <v>163</v>
      </c>
      <c r="X17" t="s">
        <v>299</v>
      </c>
      <c r="Y17" t="s">
        <v>189</v>
      </c>
      <c r="Z17" t="s">
        <v>190</v>
      </c>
      <c r="AA17" t="s">
        <v>349</v>
      </c>
      <c r="AB17" t="s">
        <v>350</v>
      </c>
      <c r="AC17" t="s">
        <v>351</v>
      </c>
      <c r="AD17" t="s">
        <v>351</v>
      </c>
      <c r="AF17" t="s">
        <v>352</v>
      </c>
      <c r="AG17" t="s">
        <v>251</v>
      </c>
      <c r="AH17" s="3">
        <v>240654.31</v>
      </c>
      <c r="AI17" s="3">
        <v>240654.31</v>
      </c>
      <c r="AJ17" s="1">
        <v>46228</v>
      </c>
      <c r="AN17" t="s">
        <v>172</v>
      </c>
      <c r="AR17" s="7" t="s">
        <v>353</v>
      </c>
      <c r="AT17" t="s">
        <v>261</v>
      </c>
      <c r="AU17" t="s">
        <v>197</v>
      </c>
      <c r="AW17">
        <v>0</v>
      </c>
      <c r="AX17" s="1">
        <v>46170</v>
      </c>
      <c r="AY17" s="2">
        <v>0.48079861111111111</v>
      </c>
      <c r="AZ17" t="s">
        <v>354</v>
      </c>
      <c r="BA17" t="s">
        <v>355</v>
      </c>
      <c r="BB17" t="s">
        <v>356</v>
      </c>
      <c r="BC17" t="s">
        <v>357</v>
      </c>
      <c r="BD17" t="s">
        <v>358</v>
      </c>
      <c r="BE17" t="s">
        <v>359</v>
      </c>
      <c r="BL17" s="4">
        <v>0</v>
      </c>
      <c r="BM17" s="1">
        <v>46899</v>
      </c>
      <c r="BO17">
        <v>0</v>
      </c>
      <c r="BP17">
        <v>32766</v>
      </c>
      <c r="BQ17" t="s">
        <v>156</v>
      </c>
      <c r="BR17" s="3">
        <v>141947.41</v>
      </c>
      <c r="BS17" s="3">
        <v>21340</v>
      </c>
      <c r="BT17">
        <v>0</v>
      </c>
      <c r="BU17" s="3">
        <v>163287.41</v>
      </c>
      <c r="BV17" s="3">
        <v>240654.31</v>
      </c>
      <c r="BX17">
        <v>0</v>
      </c>
      <c r="BZ17">
        <v>0</v>
      </c>
      <c r="CA17">
        <v>0</v>
      </c>
      <c r="CB17">
        <v>0</v>
      </c>
      <c r="CC17" s="3">
        <v>240654.31</v>
      </c>
      <c r="CD17" s="5">
        <v>0</v>
      </c>
      <c r="CF17" s="6">
        <v>46143</v>
      </c>
      <c r="CH17">
        <v>0</v>
      </c>
      <c r="CI17">
        <v>0</v>
      </c>
      <c r="CJ17">
        <v>0</v>
      </c>
      <c r="CK17">
        <v>0</v>
      </c>
      <c r="CL17">
        <v>0</v>
      </c>
      <c r="CM17">
        <v>0</v>
      </c>
      <c r="CN17">
        <v>0</v>
      </c>
      <c r="CO17">
        <v>0</v>
      </c>
      <c r="CP17">
        <v>0</v>
      </c>
      <c r="CQ17">
        <v>0</v>
      </c>
      <c r="CR17">
        <v>0</v>
      </c>
      <c r="CS17" t="s">
        <v>360</v>
      </c>
      <c r="CT17" t="s">
        <v>190</v>
      </c>
      <c r="CU17" t="s">
        <v>346</v>
      </c>
      <c r="CW17">
        <v>-51.73</v>
      </c>
      <c r="CZ17" s="1">
        <v>46167</v>
      </c>
      <c r="DA17" t="s">
        <v>172</v>
      </c>
      <c r="DB17" t="s">
        <v>172</v>
      </c>
      <c r="DC17" t="s">
        <v>172</v>
      </c>
      <c r="DD17" t="s">
        <v>172</v>
      </c>
      <c r="DG17" s="1">
        <v>46167</v>
      </c>
      <c r="DH17">
        <v>0</v>
      </c>
      <c r="DI17">
        <v>0</v>
      </c>
      <c r="DJ17" s="1">
        <v>46170</v>
      </c>
      <c r="DK17" t="s">
        <v>179</v>
      </c>
      <c r="DL17" t="s">
        <v>200</v>
      </c>
      <c r="DM17" t="s">
        <v>172</v>
      </c>
      <c r="DN17" t="s">
        <v>201</v>
      </c>
      <c r="DV17" s="3">
        <v>240654.31</v>
      </c>
      <c r="DW17">
        <v>0</v>
      </c>
      <c r="DX17" s="3">
        <v>240654.31</v>
      </c>
      <c r="DY17">
        <v>0</v>
      </c>
      <c r="EG17" s="1">
        <v>46169</v>
      </c>
      <c r="EM17" s="1">
        <v>46169</v>
      </c>
      <c r="EP17" s="1">
        <v>46168</v>
      </c>
      <c r="ER17" s="1">
        <v>46168</v>
      </c>
      <c r="ES17" t="s">
        <v>361</v>
      </c>
    </row>
    <row r="18" spans="1:153" x14ac:dyDescent="0.35">
      <c r="A18" t="str">
        <f>HYPERLINK("https://7lm.cvcrm.com.br/gestor/comercial/reservas/7143/administrar","7143")</f>
        <v>7143</v>
      </c>
      <c r="B18" t="s">
        <v>172</v>
      </c>
      <c r="C18" s="1">
        <v>46167</v>
      </c>
      <c r="D18" s="2">
        <v>0.71106481481481476</v>
      </c>
      <c r="E18" t="s">
        <v>157</v>
      </c>
      <c r="F18" t="s">
        <v>182</v>
      </c>
      <c r="G18" t="s">
        <v>159</v>
      </c>
      <c r="H18" t="s">
        <v>362</v>
      </c>
      <c r="I18" t="s">
        <v>363</v>
      </c>
      <c r="J18">
        <v>1</v>
      </c>
      <c r="K18">
        <v>8563</v>
      </c>
      <c r="L18">
        <v>30151</v>
      </c>
      <c r="M18" t="s">
        <v>364</v>
      </c>
      <c r="R18" t="str">
        <f>HYPERLINK("https://7lm.cvcrm.com.br/gestor/relatorios/associado/html?q[1|r.idreserva]=7143","PEDRO WILSON FERNANDES DE CAMPOS")</f>
        <v>PEDRO WILSON FERNANDES DE CAMPOS</v>
      </c>
      <c r="S18">
        <v>1453849181</v>
      </c>
      <c r="T18">
        <v>5561998381334</v>
      </c>
      <c r="U18">
        <v>5561998381334</v>
      </c>
      <c r="V18" t="s">
        <v>365</v>
      </c>
      <c r="W18" t="s">
        <v>163</v>
      </c>
      <c r="X18" t="s">
        <v>366</v>
      </c>
      <c r="Y18" t="s">
        <v>189</v>
      </c>
      <c r="Z18" t="s">
        <v>190</v>
      </c>
      <c r="AA18" t="s">
        <v>367</v>
      </c>
      <c r="AB18" t="s">
        <v>368</v>
      </c>
      <c r="AC18" t="s">
        <v>369</v>
      </c>
      <c r="AD18" t="s">
        <v>369</v>
      </c>
      <c r="AF18" t="s">
        <v>250</v>
      </c>
      <c r="AG18" t="s">
        <v>251</v>
      </c>
      <c r="AH18" s="3">
        <v>241000.33</v>
      </c>
      <c r="AI18" s="3">
        <v>241000.33</v>
      </c>
      <c r="AJ18" s="1">
        <v>46228</v>
      </c>
      <c r="AN18" t="s">
        <v>172</v>
      </c>
      <c r="AR18" t="s">
        <v>370</v>
      </c>
      <c r="AT18" t="s">
        <v>196</v>
      </c>
      <c r="AU18" t="s">
        <v>292</v>
      </c>
      <c r="AW18">
        <v>0</v>
      </c>
      <c r="AX18" s="1">
        <v>46167</v>
      </c>
      <c r="AY18" s="2">
        <v>0.71106481481481476</v>
      </c>
      <c r="AZ18">
        <v>215991</v>
      </c>
      <c r="BA18" s="1">
        <v>46167</v>
      </c>
      <c r="BC18" t="s">
        <v>213</v>
      </c>
      <c r="BD18" s="1">
        <v>46167</v>
      </c>
      <c r="BE18" t="s">
        <v>175</v>
      </c>
      <c r="BL18" s="4">
        <v>0</v>
      </c>
      <c r="BM18" s="1">
        <v>46899</v>
      </c>
      <c r="BO18">
        <v>0</v>
      </c>
      <c r="BP18">
        <v>32945</v>
      </c>
      <c r="BQ18" t="s">
        <v>156</v>
      </c>
      <c r="BR18">
        <v>0</v>
      </c>
      <c r="BS18">
        <v>0</v>
      </c>
      <c r="BT18">
        <v>0</v>
      </c>
      <c r="BU18">
        <v>0</v>
      </c>
      <c r="BV18" s="3">
        <v>241000.33</v>
      </c>
      <c r="BX18">
        <v>0</v>
      </c>
      <c r="BZ18">
        <v>0</v>
      </c>
      <c r="CA18">
        <v>0</v>
      </c>
      <c r="CB18">
        <v>0</v>
      </c>
      <c r="CC18" s="3">
        <v>241000.33</v>
      </c>
      <c r="CD18" s="5">
        <v>0</v>
      </c>
      <c r="CF18" s="6">
        <v>46143</v>
      </c>
      <c r="CH18">
        <v>0</v>
      </c>
      <c r="CI18">
        <v>0</v>
      </c>
      <c r="CJ18">
        <v>0</v>
      </c>
      <c r="CK18">
        <v>0</v>
      </c>
      <c r="CL18">
        <v>0</v>
      </c>
      <c r="CM18">
        <v>0</v>
      </c>
      <c r="CN18">
        <v>0</v>
      </c>
      <c r="CO18">
        <v>0</v>
      </c>
      <c r="CP18">
        <v>0</v>
      </c>
      <c r="CQ18">
        <v>0</v>
      </c>
      <c r="CR18">
        <v>0</v>
      </c>
      <c r="CT18" t="s">
        <v>190</v>
      </c>
      <c r="CU18" t="s">
        <v>363</v>
      </c>
      <c r="CW18">
        <v>0</v>
      </c>
      <c r="CZ18" s="1">
        <v>46167</v>
      </c>
      <c r="DA18" t="s">
        <v>172</v>
      </c>
      <c r="DB18" t="s">
        <v>172</v>
      </c>
      <c r="DC18" t="s">
        <v>172</v>
      </c>
      <c r="DD18" t="s">
        <v>172</v>
      </c>
      <c r="DG18" s="1">
        <v>46167</v>
      </c>
      <c r="DH18">
        <v>0</v>
      </c>
      <c r="DI18">
        <v>0</v>
      </c>
      <c r="DK18" t="s">
        <v>179</v>
      </c>
      <c r="DL18" t="s">
        <v>200</v>
      </c>
      <c r="DM18" t="s">
        <v>172</v>
      </c>
      <c r="DN18" t="s">
        <v>201</v>
      </c>
      <c r="DV18" s="3">
        <v>241000.33</v>
      </c>
      <c r="DW18">
        <v>0</v>
      </c>
      <c r="DX18" s="3">
        <v>241000.33</v>
      </c>
      <c r="DY18">
        <v>0</v>
      </c>
    </row>
    <row r="19" spans="1:153" ht="319" x14ac:dyDescent="0.35">
      <c r="A19" t="str">
        <f>HYPERLINK("https://7lm.cvcrm.com.br/gestor/comercial/reservas/7142/administrar","7142")</f>
        <v>7142</v>
      </c>
      <c r="B19" t="s">
        <v>156</v>
      </c>
      <c r="C19" s="1">
        <v>46167</v>
      </c>
      <c r="D19" s="2">
        <v>0.69212962962962965</v>
      </c>
      <c r="E19" t="s">
        <v>371</v>
      </c>
      <c r="F19" t="s">
        <v>182</v>
      </c>
      <c r="G19" t="s">
        <v>159</v>
      </c>
      <c r="H19" t="s">
        <v>372</v>
      </c>
      <c r="I19" t="s">
        <v>373</v>
      </c>
      <c r="J19">
        <v>1</v>
      </c>
      <c r="K19">
        <v>8457</v>
      </c>
      <c r="L19">
        <v>30151</v>
      </c>
      <c r="M19" t="s">
        <v>374</v>
      </c>
      <c r="N19" s="1">
        <v>46170</v>
      </c>
      <c r="O19" s="2">
        <v>0.50435185185185183</v>
      </c>
      <c r="R19" t="str">
        <f>HYPERLINK("https://7lm.cvcrm.com.br/gestor/relatorios/associado/html?q[1|r.idreserva]=7142","KATIA FRANCISCA DOS SANTOS")</f>
        <v>KATIA FRANCISCA DOS SANTOS</v>
      </c>
      <c r="S19">
        <v>2467034151</v>
      </c>
      <c r="T19">
        <v>5561996095336</v>
      </c>
      <c r="U19">
        <v>5561998646337</v>
      </c>
      <c r="V19" t="s">
        <v>375</v>
      </c>
      <c r="W19" t="s">
        <v>187</v>
      </c>
      <c r="X19" t="s">
        <v>376</v>
      </c>
      <c r="Y19" t="s">
        <v>189</v>
      </c>
      <c r="Z19" t="s">
        <v>190</v>
      </c>
      <c r="AA19" t="s">
        <v>377</v>
      </c>
      <c r="AB19" t="s">
        <v>378</v>
      </c>
      <c r="AC19" t="s">
        <v>379</v>
      </c>
      <c r="AD19" t="s">
        <v>379</v>
      </c>
      <c r="AF19" t="s">
        <v>352</v>
      </c>
      <c r="AG19" t="s">
        <v>251</v>
      </c>
      <c r="AH19" s="3">
        <v>240661.12</v>
      </c>
      <c r="AI19" s="3">
        <v>240661.12</v>
      </c>
      <c r="AJ19" s="1">
        <v>46228</v>
      </c>
      <c r="AN19" t="s">
        <v>172</v>
      </c>
      <c r="AR19" s="7" t="s">
        <v>380</v>
      </c>
      <c r="AT19" t="s">
        <v>261</v>
      </c>
      <c r="AU19" t="s">
        <v>197</v>
      </c>
      <c r="AW19">
        <v>0</v>
      </c>
      <c r="AX19" s="1">
        <v>46170</v>
      </c>
      <c r="AY19" s="2">
        <v>0.67282407407407407</v>
      </c>
      <c r="AZ19">
        <v>215154</v>
      </c>
      <c r="BA19" s="1">
        <v>46163</v>
      </c>
      <c r="BC19" t="s">
        <v>0</v>
      </c>
      <c r="BD19" s="1">
        <v>46167</v>
      </c>
      <c r="BE19" t="s">
        <v>176</v>
      </c>
      <c r="BL19" s="4">
        <v>0</v>
      </c>
      <c r="BM19" s="1">
        <v>46899</v>
      </c>
      <c r="BO19">
        <v>0</v>
      </c>
      <c r="BP19">
        <v>32783</v>
      </c>
      <c r="BQ19" t="s">
        <v>156</v>
      </c>
      <c r="BR19" s="3">
        <v>135626.56</v>
      </c>
      <c r="BS19" s="3">
        <v>21065</v>
      </c>
      <c r="BT19">
        <v>0</v>
      </c>
      <c r="BU19" s="3">
        <v>156691.56</v>
      </c>
      <c r="BV19" s="3">
        <v>240661.12</v>
      </c>
      <c r="BX19">
        <v>0</v>
      </c>
      <c r="BZ19">
        <v>0</v>
      </c>
      <c r="CA19">
        <v>0</v>
      </c>
      <c r="CB19">
        <v>0</v>
      </c>
      <c r="CC19" s="3">
        <v>240661.12</v>
      </c>
      <c r="CD19" s="5">
        <v>0</v>
      </c>
      <c r="CF19" s="6">
        <v>46143</v>
      </c>
      <c r="CH19">
        <v>0</v>
      </c>
      <c r="CI19">
        <v>0</v>
      </c>
      <c r="CJ19">
        <v>0</v>
      </c>
      <c r="CK19">
        <v>0</v>
      </c>
      <c r="CL19">
        <v>0</v>
      </c>
      <c r="CM19">
        <v>0</v>
      </c>
      <c r="CN19">
        <v>0</v>
      </c>
      <c r="CO19">
        <v>0</v>
      </c>
      <c r="CP19">
        <v>0</v>
      </c>
      <c r="CQ19">
        <v>0</v>
      </c>
      <c r="CR19">
        <v>0</v>
      </c>
      <c r="CS19" t="s">
        <v>360</v>
      </c>
      <c r="CT19" t="s">
        <v>190</v>
      </c>
      <c r="CU19" t="s">
        <v>373</v>
      </c>
      <c r="CW19">
        <v>-50.605899999999998</v>
      </c>
      <c r="CZ19" s="1">
        <v>46167</v>
      </c>
      <c r="DA19" t="s">
        <v>172</v>
      </c>
      <c r="DB19" t="s">
        <v>172</v>
      </c>
      <c r="DC19" t="s">
        <v>172</v>
      </c>
      <c r="DD19" t="s">
        <v>172</v>
      </c>
      <c r="DG19" s="1">
        <v>46167</v>
      </c>
      <c r="DH19">
        <v>0</v>
      </c>
      <c r="DI19">
        <v>0</v>
      </c>
      <c r="DK19" t="s">
        <v>179</v>
      </c>
      <c r="DL19" t="s">
        <v>200</v>
      </c>
      <c r="DM19" t="s">
        <v>172</v>
      </c>
      <c r="DN19" t="s">
        <v>201</v>
      </c>
      <c r="DV19" s="3">
        <v>240661.12</v>
      </c>
      <c r="DW19">
        <v>0</v>
      </c>
      <c r="DX19" s="3">
        <v>240661.12</v>
      </c>
      <c r="DY19">
        <v>0</v>
      </c>
      <c r="EF19" s="1">
        <v>46170</v>
      </c>
      <c r="EG19" s="1">
        <v>46169</v>
      </c>
      <c r="EK19" s="1">
        <v>46170</v>
      </c>
      <c r="EL19" s="1">
        <v>46170</v>
      </c>
      <c r="EM19" s="1">
        <v>46169</v>
      </c>
      <c r="EP19" s="1">
        <v>46168</v>
      </c>
      <c r="ER19" s="1">
        <v>46168</v>
      </c>
      <c r="ES19" t="s">
        <v>381</v>
      </c>
      <c r="EU19" s="1">
        <v>46169</v>
      </c>
      <c r="EV19" s="1">
        <v>46169</v>
      </c>
      <c r="EW19" s="1">
        <v>46167</v>
      </c>
    </row>
    <row r="20" spans="1:153" ht="304.5" x14ac:dyDescent="0.35">
      <c r="A20" t="str">
        <f>HYPERLINK("https://7lm.cvcrm.com.br/gestor/comercial/reservas/7141/administrar","7141")</f>
        <v>7141</v>
      </c>
      <c r="B20" t="s">
        <v>172</v>
      </c>
      <c r="C20" s="1">
        <v>46165</v>
      </c>
      <c r="D20" s="2">
        <v>0.59214120370370371</v>
      </c>
      <c r="E20" t="s">
        <v>157</v>
      </c>
      <c r="F20" t="s">
        <v>202</v>
      </c>
      <c r="G20" t="s">
        <v>203</v>
      </c>
      <c r="H20" t="s">
        <v>277</v>
      </c>
      <c r="I20" t="s">
        <v>382</v>
      </c>
      <c r="J20">
        <v>1</v>
      </c>
      <c r="L20">
        <v>20031</v>
      </c>
      <c r="M20" t="s">
        <v>383</v>
      </c>
      <c r="R20" t="str">
        <f>HYPERLINK("https://7lm.cvcrm.com.br/gestor/relatorios/associado/html?q[1|r.idreserva]=7141","CARLOS KEVIN ALVES DE LIMA")</f>
        <v>CARLOS KEVIN ALVES DE LIMA</v>
      </c>
      <c r="S20">
        <v>70813921139</v>
      </c>
      <c r="T20">
        <v>5561992282236</v>
      </c>
      <c r="U20">
        <v>5561985263125</v>
      </c>
      <c r="V20" t="s">
        <v>384</v>
      </c>
      <c r="W20" t="s">
        <v>163</v>
      </c>
      <c r="Y20" t="s">
        <v>165</v>
      </c>
      <c r="Z20" t="s">
        <v>385</v>
      </c>
      <c r="AA20" t="s">
        <v>386</v>
      </c>
      <c r="AB20" t="s">
        <v>387</v>
      </c>
      <c r="AC20" t="s">
        <v>388</v>
      </c>
      <c r="AF20" t="s">
        <v>389</v>
      </c>
      <c r="AG20" t="s">
        <v>195</v>
      </c>
      <c r="AH20" s="3">
        <v>220596.73</v>
      </c>
      <c r="AI20" s="3">
        <v>220596.73</v>
      </c>
      <c r="AJ20" s="1">
        <v>46522</v>
      </c>
      <c r="AN20" t="s">
        <v>172</v>
      </c>
      <c r="AR20" s="7" t="s">
        <v>390</v>
      </c>
      <c r="AT20" t="s">
        <v>196</v>
      </c>
      <c r="AU20" t="s">
        <v>316</v>
      </c>
      <c r="AW20">
        <v>0</v>
      </c>
      <c r="AX20" s="1">
        <v>46165</v>
      </c>
      <c r="AY20" s="2">
        <v>0.59214120370370371</v>
      </c>
      <c r="AZ20">
        <v>123268</v>
      </c>
      <c r="BA20" s="1">
        <v>45477</v>
      </c>
      <c r="BB20" s="1">
        <v>45962</v>
      </c>
      <c r="BC20" t="s">
        <v>275</v>
      </c>
      <c r="BD20" s="1">
        <v>46162</v>
      </c>
      <c r="BE20" t="s">
        <v>317</v>
      </c>
      <c r="BL20" s="4">
        <v>0</v>
      </c>
      <c r="BM20" s="1">
        <v>46808</v>
      </c>
      <c r="BO20">
        <v>0</v>
      </c>
      <c r="BP20">
        <v>32727</v>
      </c>
      <c r="BQ20" t="s">
        <v>156</v>
      </c>
      <c r="BR20" s="3">
        <v>161737.73000000001</v>
      </c>
      <c r="BS20" s="3">
        <v>13073</v>
      </c>
      <c r="BT20">
        <v>0</v>
      </c>
      <c r="BU20" s="3">
        <v>174810.73</v>
      </c>
      <c r="BV20" s="3">
        <v>220596.73</v>
      </c>
      <c r="BX20">
        <v>0</v>
      </c>
      <c r="BZ20">
        <v>0</v>
      </c>
      <c r="CA20">
        <v>0</v>
      </c>
      <c r="CB20">
        <v>0</v>
      </c>
      <c r="CC20" s="3">
        <v>220596.73</v>
      </c>
      <c r="CD20" s="5">
        <v>0</v>
      </c>
      <c r="CF20" s="6">
        <v>46143</v>
      </c>
      <c r="CH20">
        <v>0</v>
      </c>
      <c r="CI20">
        <v>0</v>
      </c>
      <c r="CJ20">
        <v>0</v>
      </c>
      <c r="CK20">
        <v>0</v>
      </c>
      <c r="CL20">
        <v>0</v>
      </c>
      <c r="CM20">
        <v>0</v>
      </c>
      <c r="CN20">
        <v>0</v>
      </c>
      <c r="CO20">
        <v>0</v>
      </c>
      <c r="CP20">
        <v>0</v>
      </c>
      <c r="CQ20">
        <v>0</v>
      </c>
      <c r="CR20">
        <v>0</v>
      </c>
      <c r="CT20" t="s">
        <v>214</v>
      </c>
      <c r="CU20" t="s">
        <v>382</v>
      </c>
      <c r="CW20">
        <v>0</v>
      </c>
      <c r="CZ20" s="1">
        <v>46165</v>
      </c>
      <c r="DA20" t="s">
        <v>172</v>
      </c>
      <c r="DB20" t="s">
        <v>172</v>
      </c>
      <c r="DC20" t="s">
        <v>172</v>
      </c>
      <c r="DD20" t="s">
        <v>172</v>
      </c>
      <c r="DG20" s="1">
        <v>46165</v>
      </c>
      <c r="DH20">
        <v>0</v>
      </c>
      <c r="DI20">
        <v>0</v>
      </c>
      <c r="DL20" t="s">
        <v>215</v>
      </c>
      <c r="DM20" t="s">
        <v>172</v>
      </c>
      <c r="DN20" t="s">
        <v>201</v>
      </c>
      <c r="DV20" s="3">
        <v>220596.73</v>
      </c>
      <c r="DW20">
        <v>0</v>
      </c>
      <c r="DX20" s="3">
        <v>220596.73</v>
      </c>
      <c r="DY20">
        <v>0</v>
      </c>
    </row>
    <row r="21" spans="1:153" ht="246.5" x14ac:dyDescent="0.35">
      <c r="A21" t="str">
        <f>HYPERLINK("https://7lm.cvcrm.com.br/gestor/comercial/reservas/7140/administrar","7140")</f>
        <v>7140</v>
      </c>
      <c r="B21" t="s">
        <v>156</v>
      </c>
      <c r="C21" s="1">
        <v>46165</v>
      </c>
      <c r="D21" s="2">
        <v>0.58270833333333338</v>
      </c>
      <c r="E21" t="s">
        <v>294</v>
      </c>
      <c r="F21" t="s">
        <v>202</v>
      </c>
      <c r="G21" t="s">
        <v>203</v>
      </c>
      <c r="H21" t="s">
        <v>391</v>
      </c>
      <c r="I21" t="s">
        <v>392</v>
      </c>
      <c r="J21">
        <v>1</v>
      </c>
      <c r="K21">
        <v>8512</v>
      </c>
      <c r="L21">
        <v>20031</v>
      </c>
      <c r="M21" t="s">
        <v>393</v>
      </c>
      <c r="N21" s="1">
        <v>46169</v>
      </c>
      <c r="O21" s="2">
        <v>0.52357638888888891</v>
      </c>
      <c r="Q21">
        <v>10029</v>
      </c>
      <c r="R21" t="str">
        <f>HYPERLINK("https://7lm.cvcrm.com.br/gestor/relatorios/associado/html?q[1|r.idreserva]=7140","JUCIELE MACIEL CARDOSO")</f>
        <v>JUCIELE MACIEL CARDOSO</v>
      </c>
      <c r="S21">
        <v>15068949680</v>
      </c>
      <c r="T21">
        <v>556198634919</v>
      </c>
      <c r="U21">
        <v>5561984502230</v>
      </c>
      <c r="V21" t="s">
        <v>394</v>
      </c>
      <c r="W21" t="s">
        <v>187</v>
      </c>
      <c r="X21" t="s">
        <v>395</v>
      </c>
      <c r="Y21" t="s">
        <v>165</v>
      </c>
      <c r="Z21" t="s">
        <v>257</v>
      </c>
      <c r="AA21" t="s">
        <v>396</v>
      </c>
      <c r="AB21" t="s">
        <v>397</v>
      </c>
      <c r="AC21" t="s">
        <v>398</v>
      </c>
      <c r="AF21" t="s">
        <v>399</v>
      </c>
      <c r="AG21" t="s">
        <v>195</v>
      </c>
      <c r="AH21" s="3">
        <v>225257.86</v>
      </c>
      <c r="AI21" s="3">
        <v>225257.86</v>
      </c>
      <c r="AJ21" s="1">
        <v>46165</v>
      </c>
      <c r="AN21" t="s">
        <v>172</v>
      </c>
      <c r="AR21" s="7" t="s">
        <v>353</v>
      </c>
      <c r="AT21" t="s">
        <v>400</v>
      </c>
      <c r="AU21" t="s">
        <v>292</v>
      </c>
      <c r="AW21">
        <v>0</v>
      </c>
      <c r="AX21" s="1">
        <v>46168</v>
      </c>
      <c r="AY21" s="2">
        <v>0.64285879629629628</v>
      </c>
      <c r="AZ21">
        <v>214331</v>
      </c>
      <c r="BA21" s="1">
        <v>46161</v>
      </c>
      <c r="BC21" t="s">
        <v>0</v>
      </c>
      <c r="BD21" s="1">
        <v>46165</v>
      </c>
      <c r="BE21" t="s">
        <v>401</v>
      </c>
      <c r="BL21" s="4">
        <v>0</v>
      </c>
      <c r="BM21" s="1">
        <v>46808</v>
      </c>
      <c r="BN21" s="1">
        <v>46168</v>
      </c>
      <c r="BO21">
        <v>0</v>
      </c>
      <c r="BP21">
        <v>32689</v>
      </c>
      <c r="BQ21" t="s">
        <v>156</v>
      </c>
      <c r="BR21" s="3">
        <v>130093.21</v>
      </c>
      <c r="BS21" s="3">
        <v>41872</v>
      </c>
      <c r="BT21">
        <v>0</v>
      </c>
      <c r="BU21" s="3">
        <v>171965.21</v>
      </c>
      <c r="BV21" s="3">
        <v>225257.86</v>
      </c>
      <c r="BX21">
        <v>0</v>
      </c>
      <c r="BZ21">
        <v>0</v>
      </c>
      <c r="CA21">
        <v>0</v>
      </c>
      <c r="CB21">
        <v>0</v>
      </c>
      <c r="CC21" s="3">
        <v>225257.86</v>
      </c>
      <c r="CD21" s="5">
        <v>0</v>
      </c>
      <c r="CF21" s="6">
        <v>46143</v>
      </c>
      <c r="CH21">
        <v>0</v>
      </c>
      <c r="CI21">
        <v>0</v>
      </c>
      <c r="CJ21">
        <v>0</v>
      </c>
      <c r="CK21">
        <v>0</v>
      </c>
      <c r="CL21">
        <v>0</v>
      </c>
      <c r="CM21">
        <v>0</v>
      </c>
      <c r="CN21">
        <v>0</v>
      </c>
      <c r="CO21">
        <v>0</v>
      </c>
      <c r="CP21">
        <v>0</v>
      </c>
      <c r="CQ21">
        <v>0</v>
      </c>
      <c r="CR21">
        <v>0</v>
      </c>
      <c r="CS21" t="s">
        <v>360</v>
      </c>
      <c r="CT21" t="s">
        <v>214</v>
      </c>
      <c r="CU21" t="s">
        <v>392</v>
      </c>
      <c r="CW21">
        <v>-52.087600000000002</v>
      </c>
      <c r="CZ21" s="1">
        <v>46165</v>
      </c>
      <c r="DA21" t="s">
        <v>172</v>
      </c>
      <c r="DB21" t="s">
        <v>172</v>
      </c>
      <c r="DC21" t="s">
        <v>172</v>
      </c>
      <c r="DD21" t="s">
        <v>172</v>
      </c>
      <c r="DG21" s="1">
        <v>46165</v>
      </c>
      <c r="DH21">
        <v>0</v>
      </c>
      <c r="DI21">
        <v>0</v>
      </c>
      <c r="DJ21" s="1">
        <v>46168</v>
      </c>
      <c r="DL21" t="s">
        <v>215</v>
      </c>
      <c r="DM21" t="s">
        <v>172</v>
      </c>
      <c r="DN21" t="s">
        <v>201</v>
      </c>
      <c r="DV21" s="3">
        <v>225257.86</v>
      </c>
      <c r="DW21">
        <v>0</v>
      </c>
      <c r="DX21" s="3">
        <v>225257.86</v>
      </c>
      <c r="DY21">
        <v>0</v>
      </c>
      <c r="EF21" s="1">
        <v>46169</v>
      </c>
      <c r="EG21" s="1">
        <v>46167</v>
      </c>
      <c r="EK21" s="1">
        <v>46169</v>
      </c>
      <c r="ER21" s="1">
        <v>46167</v>
      </c>
      <c r="ES21" t="s">
        <v>402</v>
      </c>
    </row>
    <row r="22" spans="1:153" ht="319" x14ac:dyDescent="0.35">
      <c r="A22" t="str">
        <f>HYPERLINK("https://7lm.cvcrm.com.br/gestor/comercial/reservas/7139/administrar","7139")</f>
        <v>7139</v>
      </c>
      <c r="B22" t="s">
        <v>156</v>
      </c>
      <c r="C22" s="1">
        <v>46164</v>
      </c>
      <c r="D22" s="2">
        <v>0.88991898148148152</v>
      </c>
      <c r="E22" t="s">
        <v>403</v>
      </c>
      <c r="F22" t="s">
        <v>202</v>
      </c>
      <c r="G22" t="s">
        <v>203</v>
      </c>
      <c r="H22" t="s">
        <v>404</v>
      </c>
      <c r="I22" t="s">
        <v>405</v>
      </c>
      <c r="J22">
        <v>1</v>
      </c>
      <c r="L22">
        <v>20031</v>
      </c>
      <c r="M22" t="s">
        <v>406</v>
      </c>
      <c r="N22" s="1">
        <v>46168</v>
      </c>
      <c r="O22" s="2">
        <v>0.65348379629629627</v>
      </c>
      <c r="R22" t="str">
        <f>HYPERLINK("https://7lm.cvcrm.com.br/gestor/relatorios/associado/html?q[1|r.idreserva]=7139","FRANCISCO DA SILVA MENDES")</f>
        <v>FRANCISCO DA SILVA MENDES</v>
      </c>
      <c r="S22">
        <v>1933148357</v>
      </c>
      <c r="T22">
        <v>5561999949373</v>
      </c>
      <c r="U22">
        <v>5561992251544</v>
      </c>
      <c r="V22" t="s">
        <v>407</v>
      </c>
      <c r="W22" t="s">
        <v>163</v>
      </c>
      <c r="X22" t="s">
        <v>408</v>
      </c>
      <c r="Y22" t="s">
        <v>189</v>
      </c>
      <c r="Z22" t="s">
        <v>214</v>
      </c>
      <c r="AA22" t="s">
        <v>409</v>
      </c>
      <c r="AB22" t="s">
        <v>410</v>
      </c>
      <c r="AC22" t="s">
        <v>411</v>
      </c>
      <c r="AD22" t="s">
        <v>412</v>
      </c>
      <c r="AF22" t="s">
        <v>413</v>
      </c>
      <c r="AG22" t="s">
        <v>195</v>
      </c>
      <c r="AH22" s="3">
        <v>224004.26</v>
      </c>
      <c r="AI22" s="3">
        <v>224004.26</v>
      </c>
      <c r="AJ22" s="1">
        <v>46218</v>
      </c>
      <c r="AN22" t="s">
        <v>172</v>
      </c>
      <c r="AR22" s="7" t="s">
        <v>380</v>
      </c>
      <c r="AT22" t="s">
        <v>196</v>
      </c>
      <c r="AV22" t="s">
        <v>414</v>
      </c>
      <c r="AW22">
        <v>0</v>
      </c>
      <c r="AX22" s="1">
        <v>46168</v>
      </c>
      <c r="AY22" s="2">
        <v>0.6955324074074074</v>
      </c>
      <c r="AZ22">
        <v>215413</v>
      </c>
      <c r="BA22" s="1">
        <v>46164</v>
      </c>
      <c r="BC22" t="s">
        <v>0</v>
      </c>
      <c r="BD22" s="1">
        <v>46164</v>
      </c>
      <c r="BE22" t="s">
        <v>213</v>
      </c>
      <c r="BL22" s="4">
        <v>0</v>
      </c>
      <c r="BM22" s="1">
        <v>46808</v>
      </c>
      <c r="BO22">
        <v>0</v>
      </c>
      <c r="BP22">
        <v>32809</v>
      </c>
      <c r="BQ22" t="s">
        <v>156</v>
      </c>
      <c r="BR22" s="3">
        <v>161045.26</v>
      </c>
      <c r="BS22" s="3">
        <v>2519</v>
      </c>
      <c r="BT22">
        <v>0</v>
      </c>
      <c r="BU22" s="3">
        <v>163564.26</v>
      </c>
      <c r="BV22" s="3">
        <v>224004.26</v>
      </c>
      <c r="BX22">
        <v>0</v>
      </c>
      <c r="BZ22">
        <v>0</v>
      </c>
      <c r="CA22">
        <v>0</v>
      </c>
      <c r="CB22">
        <v>0</v>
      </c>
      <c r="CC22" s="3">
        <v>224004.26</v>
      </c>
      <c r="CD22" s="5">
        <v>0</v>
      </c>
      <c r="CF22" s="6">
        <v>46143</v>
      </c>
      <c r="CH22">
        <v>0</v>
      </c>
      <c r="CI22">
        <v>0</v>
      </c>
      <c r="CJ22">
        <v>0</v>
      </c>
      <c r="CK22">
        <v>0</v>
      </c>
      <c r="CL22">
        <v>0</v>
      </c>
      <c r="CM22">
        <v>0</v>
      </c>
      <c r="CN22">
        <v>0</v>
      </c>
      <c r="CO22">
        <v>0</v>
      </c>
      <c r="CP22">
        <v>0</v>
      </c>
      <c r="CQ22">
        <v>0</v>
      </c>
      <c r="CR22">
        <v>0</v>
      </c>
      <c r="CS22" t="s">
        <v>415</v>
      </c>
      <c r="CT22" t="s">
        <v>214</v>
      </c>
      <c r="CU22" t="s">
        <v>405</v>
      </c>
      <c r="CW22">
        <v>-52.880899999999997</v>
      </c>
      <c r="CZ22" s="1">
        <v>46164</v>
      </c>
      <c r="DA22" t="s">
        <v>172</v>
      </c>
      <c r="DB22" t="s">
        <v>172</v>
      </c>
      <c r="DC22" t="s">
        <v>172</v>
      </c>
      <c r="DD22" t="s">
        <v>172</v>
      </c>
      <c r="DG22" s="1">
        <v>46164</v>
      </c>
      <c r="DH22">
        <v>0</v>
      </c>
      <c r="DI22">
        <v>0</v>
      </c>
      <c r="DL22" t="s">
        <v>215</v>
      </c>
      <c r="DM22" t="s">
        <v>172</v>
      </c>
      <c r="DN22" t="s">
        <v>201</v>
      </c>
      <c r="DV22" s="3">
        <v>224004.26</v>
      </c>
      <c r="DW22">
        <v>0</v>
      </c>
      <c r="DX22" s="3">
        <v>224004.26</v>
      </c>
      <c r="DY22">
        <v>0</v>
      </c>
      <c r="EF22" s="1">
        <v>46170</v>
      </c>
      <c r="EG22" s="1">
        <v>46168</v>
      </c>
      <c r="EK22" s="1">
        <v>46170</v>
      </c>
      <c r="EL22" s="1">
        <v>46170</v>
      </c>
      <c r="EM22" s="1">
        <v>46170</v>
      </c>
      <c r="EN22" t="s">
        <v>172</v>
      </c>
      <c r="EP22" s="1">
        <v>46168</v>
      </c>
      <c r="ER22" s="1">
        <v>46165</v>
      </c>
      <c r="ES22" t="s">
        <v>416</v>
      </c>
      <c r="ET22" t="s">
        <v>417</v>
      </c>
      <c r="EU22" s="1">
        <v>46168</v>
      </c>
      <c r="EW22" s="1">
        <v>46164</v>
      </c>
    </row>
    <row r="23" spans="1:153" x14ac:dyDescent="0.35">
      <c r="A23" t="str">
        <f>HYPERLINK("https://7lm.cvcrm.com.br/gestor/comercial/reservas/7138/administrar","7138")</f>
        <v>7138</v>
      </c>
      <c r="B23" t="s">
        <v>156</v>
      </c>
      <c r="C23" s="1">
        <v>46164</v>
      </c>
      <c r="D23" s="2">
        <v>0.6484375</v>
      </c>
      <c r="E23" t="s">
        <v>294</v>
      </c>
      <c r="F23" t="s">
        <v>182</v>
      </c>
      <c r="G23" t="s">
        <v>159</v>
      </c>
      <c r="H23" t="s">
        <v>418</v>
      </c>
      <c r="I23" t="s">
        <v>419</v>
      </c>
      <c r="J23">
        <v>1</v>
      </c>
      <c r="K23">
        <v>8547</v>
      </c>
      <c r="L23">
        <v>30151</v>
      </c>
      <c r="M23" t="s">
        <v>420</v>
      </c>
      <c r="N23" s="1">
        <v>46168</v>
      </c>
      <c r="O23" s="2">
        <v>0.86664351851851851</v>
      </c>
      <c r="Q23">
        <v>10049</v>
      </c>
      <c r="R23" t="str">
        <f>HYPERLINK("https://7lm.cvcrm.com.br/gestor/relatorios/associado/html?q[1|r.idreserva]=7138","ALESSANDRA MELGACO DA SILVA")</f>
        <v>ALESSANDRA MELGACO DA SILVA</v>
      </c>
      <c r="S23">
        <v>3496709197</v>
      </c>
      <c r="T23">
        <v>556199087560</v>
      </c>
      <c r="U23">
        <v>556199456231</v>
      </c>
      <c r="V23" t="s">
        <v>421</v>
      </c>
      <c r="W23" t="s">
        <v>187</v>
      </c>
      <c r="X23" t="s">
        <v>422</v>
      </c>
      <c r="Y23" t="s">
        <v>189</v>
      </c>
      <c r="Z23" t="s">
        <v>190</v>
      </c>
      <c r="AA23" t="s">
        <v>423</v>
      </c>
      <c r="AB23" t="s">
        <v>424</v>
      </c>
      <c r="AC23" t="s">
        <v>425</v>
      </c>
      <c r="AF23" t="s">
        <v>389</v>
      </c>
      <c r="AG23" t="s">
        <v>251</v>
      </c>
      <c r="AH23" s="3">
        <v>244994.88</v>
      </c>
      <c r="AI23" s="3">
        <v>244994.88</v>
      </c>
      <c r="AJ23" s="1">
        <v>46218</v>
      </c>
      <c r="AN23" t="s">
        <v>172</v>
      </c>
      <c r="AR23" t="s">
        <v>426</v>
      </c>
      <c r="AT23" t="s">
        <v>196</v>
      </c>
      <c r="AU23" t="s">
        <v>292</v>
      </c>
      <c r="AW23">
        <v>0</v>
      </c>
      <c r="AX23" s="1">
        <v>46170</v>
      </c>
      <c r="AY23" s="2">
        <v>0.50199074074074079</v>
      </c>
      <c r="AZ23">
        <v>214090</v>
      </c>
      <c r="BA23" s="1">
        <v>46160</v>
      </c>
      <c r="BC23" t="s">
        <v>0</v>
      </c>
      <c r="BD23" s="1">
        <v>46164</v>
      </c>
      <c r="BE23" t="s">
        <v>427</v>
      </c>
      <c r="BL23" s="4">
        <v>0</v>
      </c>
      <c r="BM23" s="1">
        <v>46899</v>
      </c>
      <c r="BN23" s="1">
        <v>46170</v>
      </c>
      <c r="BO23">
        <v>0</v>
      </c>
      <c r="BP23">
        <v>32635</v>
      </c>
      <c r="BQ23" t="s">
        <v>156</v>
      </c>
      <c r="BR23" s="3">
        <v>168950.48</v>
      </c>
      <c r="BS23" s="3">
        <v>4351</v>
      </c>
      <c r="BT23">
        <v>0</v>
      </c>
      <c r="BU23" s="3">
        <v>173301.48</v>
      </c>
      <c r="BV23" s="3">
        <v>244994.88</v>
      </c>
      <c r="BX23">
        <v>0</v>
      </c>
      <c r="BZ23">
        <v>0</v>
      </c>
      <c r="CA23">
        <v>0</v>
      </c>
      <c r="CB23">
        <v>0</v>
      </c>
      <c r="CC23" s="3">
        <v>244994.88</v>
      </c>
      <c r="CD23" s="5">
        <v>0</v>
      </c>
      <c r="CF23" s="6">
        <v>46143</v>
      </c>
      <c r="CH23">
        <v>0</v>
      </c>
      <c r="CI23">
        <v>0</v>
      </c>
      <c r="CJ23">
        <v>0</v>
      </c>
      <c r="CK23">
        <v>0</v>
      </c>
      <c r="CL23">
        <v>0</v>
      </c>
      <c r="CM23">
        <v>0</v>
      </c>
      <c r="CN23">
        <v>0</v>
      </c>
      <c r="CO23">
        <v>0</v>
      </c>
      <c r="CP23">
        <v>0</v>
      </c>
      <c r="CQ23">
        <v>0</v>
      </c>
      <c r="CR23">
        <v>0</v>
      </c>
      <c r="CS23" t="s">
        <v>428</v>
      </c>
      <c r="CT23" t="s">
        <v>190</v>
      </c>
      <c r="CU23" t="s">
        <v>419</v>
      </c>
      <c r="CW23">
        <v>-53.982900000000001</v>
      </c>
      <c r="CZ23" s="1">
        <v>46164</v>
      </c>
      <c r="DA23" t="s">
        <v>172</v>
      </c>
      <c r="DB23" t="s">
        <v>172</v>
      </c>
      <c r="DC23" t="s">
        <v>172</v>
      </c>
      <c r="DD23" t="s">
        <v>172</v>
      </c>
      <c r="DG23" s="1">
        <v>46164</v>
      </c>
      <c r="DH23">
        <v>0</v>
      </c>
      <c r="DI23">
        <v>0</v>
      </c>
      <c r="DJ23" s="1">
        <v>46170</v>
      </c>
      <c r="DK23" t="s">
        <v>179</v>
      </c>
      <c r="DL23" t="s">
        <v>200</v>
      </c>
      <c r="DM23" t="s">
        <v>172</v>
      </c>
      <c r="DN23" t="s">
        <v>201</v>
      </c>
      <c r="DV23" s="3">
        <v>244994.88</v>
      </c>
      <c r="DW23">
        <v>0</v>
      </c>
      <c r="DX23" s="3">
        <v>244994.88</v>
      </c>
      <c r="DY23">
        <v>0</v>
      </c>
      <c r="EG23" s="1">
        <v>46169</v>
      </c>
      <c r="EM23" s="1">
        <v>46168</v>
      </c>
      <c r="EP23" s="1">
        <v>46167</v>
      </c>
      <c r="ER23" s="1">
        <v>46165</v>
      </c>
      <c r="ES23" t="s">
        <v>429</v>
      </c>
    </row>
    <row r="24" spans="1:153" ht="246.5" x14ac:dyDescent="0.35">
      <c r="A24" t="str">
        <f>HYPERLINK("https://7lm.cvcrm.com.br/gestor/comercial/reservas/7137/administrar","7137")</f>
        <v>7137</v>
      </c>
      <c r="B24" t="s">
        <v>156</v>
      </c>
      <c r="C24" s="1">
        <v>46164</v>
      </c>
      <c r="D24" s="2">
        <v>0.57116898148148143</v>
      </c>
      <c r="E24" t="s">
        <v>294</v>
      </c>
      <c r="F24" t="s">
        <v>182</v>
      </c>
      <c r="G24" t="s">
        <v>159</v>
      </c>
      <c r="H24" t="s">
        <v>265</v>
      </c>
      <c r="I24" t="s">
        <v>430</v>
      </c>
      <c r="J24">
        <v>1</v>
      </c>
      <c r="K24">
        <v>8535</v>
      </c>
      <c r="L24">
        <v>30151</v>
      </c>
      <c r="M24" t="s">
        <v>431</v>
      </c>
      <c r="N24" s="1">
        <v>46168</v>
      </c>
      <c r="O24" s="2">
        <v>0.71052083333333338</v>
      </c>
      <c r="Q24">
        <v>10044</v>
      </c>
      <c r="R24" t="str">
        <f>HYPERLINK("https://7lm.cvcrm.com.br/gestor/relatorios/associado/html?q[1|r.idreserva]=7137","JUSSARA  DANTAS DE LIMA")</f>
        <v>JUSSARA  DANTAS DE LIMA</v>
      </c>
      <c r="S24">
        <v>3421156182</v>
      </c>
      <c r="T24">
        <v>5561998640626</v>
      </c>
      <c r="U24">
        <v>5561998471429</v>
      </c>
      <c r="V24" t="s">
        <v>432</v>
      </c>
      <c r="W24" t="s">
        <v>187</v>
      </c>
      <c r="X24" t="s">
        <v>376</v>
      </c>
      <c r="Y24" t="s">
        <v>189</v>
      </c>
      <c r="Z24" t="s">
        <v>190</v>
      </c>
      <c r="AA24" t="s">
        <v>433</v>
      </c>
      <c r="AB24" t="s">
        <v>434</v>
      </c>
      <c r="AC24" t="s">
        <v>435</v>
      </c>
      <c r="AD24" t="s">
        <v>435</v>
      </c>
      <c r="AF24" t="s">
        <v>352</v>
      </c>
      <c r="AG24" t="s">
        <v>251</v>
      </c>
      <c r="AH24" s="3">
        <v>246000.1</v>
      </c>
      <c r="AI24" s="3">
        <v>246000.1</v>
      </c>
      <c r="AJ24" s="1">
        <v>46228</v>
      </c>
      <c r="AN24" t="s">
        <v>172</v>
      </c>
      <c r="AR24" s="7" t="s">
        <v>353</v>
      </c>
      <c r="AT24" t="s">
        <v>261</v>
      </c>
      <c r="AU24" t="s">
        <v>316</v>
      </c>
      <c r="AW24">
        <v>0</v>
      </c>
      <c r="AX24" s="1">
        <v>46169</v>
      </c>
      <c r="AY24" s="2">
        <v>0.59799768518518515</v>
      </c>
      <c r="AZ24" t="s">
        <v>436</v>
      </c>
      <c r="BA24" t="s">
        <v>437</v>
      </c>
      <c r="BB24" t="s">
        <v>356</v>
      </c>
      <c r="BC24" t="s">
        <v>438</v>
      </c>
      <c r="BD24" t="s">
        <v>437</v>
      </c>
      <c r="BE24" t="s">
        <v>439</v>
      </c>
      <c r="BL24" s="4">
        <v>0</v>
      </c>
      <c r="BM24" s="1">
        <v>46899</v>
      </c>
      <c r="BN24" s="1">
        <v>46169</v>
      </c>
      <c r="BO24">
        <v>0</v>
      </c>
      <c r="BP24">
        <v>32733</v>
      </c>
      <c r="BQ24" t="s">
        <v>156</v>
      </c>
      <c r="BR24" s="3">
        <v>134470.68</v>
      </c>
      <c r="BS24" s="3">
        <v>23837</v>
      </c>
      <c r="BT24">
        <v>0</v>
      </c>
      <c r="BU24" s="3">
        <v>158307.68</v>
      </c>
      <c r="BV24" s="3">
        <v>246000.1</v>
      </c>
      <c r="BX24">
        <v>0</v>
      </c>
      <c r="BZ24">
        <v>0</v>
      </c>
      <c r="CA24">
        <v>0</v>
      </c>
      <c r="CB24">
        <v>0</v>
      </c>
      <c r="CC24" s="3">
        <v>246000.1</v>
      </c>
      <c r="CD24" s="5">
        <v>0</v>
      </c>
      <c r="CF24" s="6">
        <v>46143</v>
      </c>
      <c r="CH24">
        <v>0</v>
      </c>
      <c r="CI24">
        <v>0</v>
      </c>
      <c r="CJ24">
        <v>0</v>
      </c>
      <c r="CK24">
        <v>0</v>
      </c>
      <c r="CL24">
        <v>0</v>
      </c>
      <c r="CM24">
        <v>0</v>
      </c>
      <c r="CN24">
        <v>0</v>
      </c>
      <c r="CO24">
        <v>0</v>
      </c>
      <c r="CP24">
        <v>0</v>
      </c>
      <c r="CQ24">
        <v>0</v>
      </c>
      <c r="CR24">
        <v>0</v>
      </c>
      <c r="CS24" t="s">
        <v>199</v>
      </c>
      <c r="CT24" t="s">
        <v>190</v>
      </c>
      <c r="CU24" t="s">
        <v>430</v>
      </c>
      <c r="CW24">
        <v>-53.7941</v>
      </c>
      <c r="CZ24" s="1">
        <v>46164</v>
      </c>
      <c r="DA24" t="s">
        <v>172</v>
      </c>
      <c r="DB24" t="s">
        <v>172</v>
      </c>
      <c r="DC24" t="s">
        <v>172</v>
      </c>
      <c r="DD24" t="s">
        <v>172</v>
      </c>
      <c r="DG24" s="1">
        <v>46164</v>
      </c>
      <c r="DH24">
        <v>0</v>
      </c>
      <c r="DI24">
        <v>0</v>
      </c>
      <c r="DJ24" s="1">
        <v>46169</v>
      </c>
      <c r="DK24" t="s">
        <v>179</v>
      </c>
      <c r="DL24" t="s">
        <v>200</v>
      </c>
      <c r="DM24" t="s">
        <v>172</v>
      </c>
      <c r="DN24" t="s">
        <v>225</v>
      </c>
      <c r="DU24" t="s">
        <v>440</v>
      </c>
      <c r="DV24" s="3">
        <v>286399.90000000002</v>
      </c>
      <c r="DW24">
        <v>-53.79</v>
      </c>
      <c r="DX24" s="3">
        <v>286399.90000000002</v>
      </c>
      <c r="DY24">
        <v>-53.79</v>
      </c>
      <c r="EG24" s="1">
        <v>46168</v>
      </c>
      <c r="EP24" s="1">
        <v>46168</v>
      </c>
      <c r="ER24" s="1">
        <v>46168</v>
      </c>
      <c r="ES24" t="s">
        <v>441</v>
      </c>
      <c r="EU24" s="1">
        <v>46228</v>
      </c>
      <c r="EW24" s="1">
        <v>46164</v>
      </c>
    </row>
    <row r="25" spans="1:153" ht="406" x14ac:dyDescent="0.35">
      <c r="A25" t="str">
        <f>HYPERLINK("https://7lm.cvcrm.com.br/gestor/comercial/reservas/7136/administrar","7136")</f>
        <v>7136</v>
      </c>
      <c r="B25" t="s">
        <v>172</v>
      </c>
      <c r="C25" s="1">
        <v>46164</v>
      </c>
      <c r="D25" s="2">
        <v>0.55599537037037039</v>
      </c>
      <c r="E25" t="s">
        <v>157</v>
      </c>
      <c r="F25" t="s">
        <v>182</v>
      </c>
      <c r="G25" t="s">
        <v>159</v>
      </c>
      <c r="H25" t="s">
        <v>183</v>
      </c>
      <c r="I25" t="s">
        <v>442</v>
      </c>
      <c r="J25">
        <v>1</v>
      </c>
      <c r="L25">
        <v>30151</v>
      </c>
      <c r="M25" t="s">
        <v>443</v>
      </c>
      <c r="R25" t="str">
        <f>HYPERLINK("https://7lm.cvcrm.com.br/gestor/relatorios/associado/html?q[1|r.idreserva]=7136","RUAN ALESSANDRO MOTA FERREIRA")</f>
        <v>RUAN ALESSANDRO MOTA FERREIRA</v>
      </c>
      <c r="S25">
        <v>9888990195</v>
      </c>
      <c r="T25">
        <v>5561999250932</v>
      </c>
      <c r="U25">
        <v>5561999250932</v>
      </c>
      <c r="V25" t="s">
        <v>444</v>
      </c>
      <c r="W25" t="s">
        <v>163</v>
      </c>
      <c r="X25" t="s">
        <v>366</v>
      </c>
      <c r="Y25" t="s">
        <v>189</v>
      </c>
      <c r="Z25" t="s">
        <v>190</v>
      </c>
      <c r="AA25" t="s">
        <v>445</v>
      </c>
      <c r="AB25" t="s">
        <v>446</v>
      </c>
      <c r="AC25" t="s">
        <v>447</v>
      </c>
      <c r="AD25" t="s">
        <v>447</v>
      </c>
      <c r="AF25" t="s">
        <v>250</v>
      </c>
      <c r="AG25" t="s">
        <v>251</v>
      </c>
      <c r="AH25" s="3">
        <v>242050.5</v>
      </c>
      <c r="AI25" s="3">
        <v>242050.5</v>
      </c>
      <c r="AJ25" s="1">
        <v>46198</v>
      </c>
      <c r="AN25" t="s">
        <v>172</v>
      </c>
      <c r="AR25" s="7" t="s">
        <v>448</v>
      </c>
      <c r="AT25" t="s">
        <v>261</v>
      </c>
      <c r="AU25" t="s">
        <v>175</v>
      </c>
      <c r="AW25">
        <v>0</v>
      </c>
      <c r="AX25" s="1">
        <v>46164</v>
      </c>
      <c r="AY25" s="2">
        <v>0.55599537037037039</v>
      </c>
      <c r="AZ25">
        <v>165858</v>
      </c>
      <c r="BA25" s="1">
        <v>45861</v>
      </c>
      <c r="BB25" s="1">
        <v>46164</v>
      </c>
      <c r="BC25" t="s">
        <v>213</v>
      </c>
      <c r="BD25" s="1">
        <v>46164</v>
      </c>
      <c r="BE25" t="s">
        <v>198</v>
      </c>
      <c r="BL25" s="4">
        <v>0</v>
      </c>
      <c r="BM25" s="1">
        <v>46899</v>
      </c>
      <c r="BO25">
        <v>0</v>
      </c>
      <c r="BP25">
        <v>32838</v>
      </c>
      <c r="BQ25" t="s">
        <v>156</v>
      </c>
      <c r="BR25">
        <v>0</v>
      </c>
      <c r="BS25">
        <v>0</v>
      </c>
      <c r="BT25">
        <v>0</v>
      </c>
      <c r="BU25">
        <v>0</v>
      </c>
      <c r="BV25" s="3">
        <v>242050.5</v>
      </c>
      <c r="BX25">
        <v>0</v>
      </c>
      <c r="BZ25">
        <v>0</v>
      </c>
      <c r="CA25">
        <v>0</v>
      </c>
      <c r="CB25">
        <v>0</v>
      </c>
      <c r="CC25" s="3">
        <v>242050.5</v>
      </c>
      <c r="CD25" s="5">
        <v>0</v>
      </c>
      <c r="CF25" s="6">
        <v>46143</v>
      </c>
      <c r="CH25">
        <v>0</v>
      </c>
      <c r="CI25">
        <v>0</v>
      </c>
      <c r="CJ25">
        <v>0</v>
      </c>
      <c r="CK25">
        <v>0</v>
      </c>
      <c r="CL25">
        <v>0</v>
      </c>
      <c r="CM25">
        <v>0</v>
      </c>
      <c r="CN25">
        <v>0</v>
      </c>
      <c r="CO25">
        <v>0</v>
      </c>
      <c r="CP25">
        <v>0</v>
      </c>
      <c r="CQ25">
        <v>0</v>
      </c>
      <c r="CR25">
        <v>0</v>
      </c>
      <c r="CT25" t="s">
        <v>190</v>
      </c>
      <c r="CU25" t="s">
        <v>442</v>
      </c>
      <c r="CW25">
        <v>0</v>
      </c>
      <c r="CZ25" s="1">
        <v>46164</v>
      </c>
      <c r="DA25" t="s">
        <v>172</v>
      </c>
      <c r="DB25" t="s">
        <v>172</v>
      </c>
      <c r="DC25" t="s">
        <v>172</v>
      </c>
      <c r="DD25" t="s">
        <v>172</v>
      </c>
      <c r="DG25" s="1">
        <v>46164</v>
      </c>
      <c r="DH25">
        <v>0</v>
      </c>
      <c r="DI25">
        <v>0</v>
      </c>
      <c r="DK25" t="s">
        <v>179</v>
      </c>
      <c r="DL25" t="s">
        <v>200</v>
      </c>
      <c r="DM25" t="s">
        <v>172</v>
      </c>
      <c r="DN25" t="s">
        <v>201</v>
      </c>
      <c r="DV25" s="3">
        <v>242050.5</v>
      </c>
      <c r="DW25">
        <v>0</v>
      </c>
      <c r="DX25" s="3">
        <v>242050.5</v>
      </c>
      <c r="DY25">
        <v>0</v>
      </c>
    </row>
    <row r="26" spans="1:153" ht="174" x14ac:dyDescent="0.35">
      <c r="A26" t="str">
        <f>HYPERLINK("https://7lm.cvcrm.com.br/gestor/comercial/reservas/7135/administrar","7135")</f>
        <v>7135</v>
      </c>
      <c r="B26" t="s">
        <v>156</v>
      </c>
      <c r="C26" s="1">
        <v>46164</v>
      </c>
      <c r="D26" s="2">
        <v>0.50756944444444441</v>
      </c>
      <c r="E26" t="s">
        <v>403</v>
      </c>
      <c r="F26" t="s">
        <v>202</v>
      </c>
      <c r="G26" t="s">
        <v>203</v>
      </c>
      <c r="H26" t="s">
        <v>204</v>
      </c>
      <c r="I26" t="s">
        <v>449</v>
      </c>
      <c r="J26">
        <v>1</v>
      </c>
      <c r="L26">
        <v>20031</v>
      </c>
      <c r="M26" t="s">
        <v>450</v>
      </c>
      <c r="N26" s="1">
        <v>46167</v>
      </c>
      <c r="O26" s="2">
        <v>0.69152777777777774</v>
      </c>
      <c r="R26" t="str">
        <f>HYPERLINK("https://7lm.cvcrm.com.br/gestor/relatorios/associado/html?q[1|r.idreserva]=7135","DEBORA SOARES RAMOS DE SOUZA")</f>
        <v>DEBORA SOARES RAMOS DE SOUZA</v>
      </c>
      <c r="S26">
        <v>6848821160</v>
      </c>
      <c r="T26">
        <v>5561981041383</v>
      </c>
      <c r="U26">
        <v>5561986028260</v>
      </c>
      <c r="V26" t="s">
        <v>451</v>
      </c>
      <c r="W26" t="s">
        <v>187</v>
      </c>
      <c r="X26" t="s">
        <v>452</v>
      </c>
      <c r="Y26" t="s">
        <v>165</v>
      </c>
      <c r="AA26" t="s">
        <v>453</v>
      </c>
      <c r="AB26" t="s">
        <v>454</v>
      </c>
      <c r="AC26" t="s">
        <v>455</v>
      </c>
      <c r="AF26" t="s">
        <v>389</v>
      </c>
      <c r="AG26" t="s">
        <v>195</v>
      </c>
      <c r="AH26" s="3">
        <v>220500.34</v>
      </c>
      <c r="AI26" s="3">
        <v>220500.34</v>
      </c>
      <c r="AJ26" s="1">
        <v>46164</v>
      </c>
      <c r="AN26" t="s">
        <v>172</v>
      </c>
      <c r="AR26" s="7" t="s">
        <v>456</v>
      </c>
      <c r="AT26" t="s">
        <v>196</v>
      </c>
      <c r="AU26" t="s">
        <v>316</v>
      </c>
      <c r="AW26">
        <v>0</v>
      </c>
      <c r="AX26" s="1">
        <v>46168</v>
      </c>
      <c r="AY26" s="2">
        <v>0.59821759259259255</v>
      </c>
      <c r="AZ26">
        <v>113347</v>
      </c>
      <c r="BA26" s="1">
        <v>45385</v>
      </c>
      <c r="BC26" t="s">
        <v>0</v>
      </c>
      <c r="BD26" s="1">
        <v>46164</v>
      </c>
      <c r="BE26" t="s">
        <v>317</v>
      </c>
      <c r="BL26" s="4">
        <v>0</v>
      </c>
      <c r="BM26" s="1">
        <v>46808</v>
      </c>
      <c r="BO26">
        <v>0</v>
      </c>
      <c r="BP26">
        <v>32793</v>
      </c>
      <c r="BQ26" t="s">
        <v>156</v>
      </c>
      <c r="BR26" s="3">
        <v>99810.11</v>
      </c>
      <c r="BS26" s="3">
        <v>55000</v>
      </c>
      <c r="BT26">
        <v>0</v>
      </c>
      <c r="BU26" s="3">
        <v>154810.10999999999</v>
      </c>
      <c r="BV26" s="3">
        <v>220500.34</v>
      </c>
      <c r="BX26">
        <v>0</v>
      </c>
      <c r="BZ26">
        <v>0</v>
      </c>
      <c r="CA26">
        <v>0</v>
      </c>
      <c r="CB26">
        <v>0</v>
      </c>
      <c r="CC26" s="3">
        <v>220500.34</v>
      </c>
      <c r="CD26" s="5">
        <v>0</v>
      </c>
      <c r="CF26" s="6">
        <v>46143</v>
      </c>
      <c r="CH26">
        <v>0</v>
      </c>
      <c r="CI26">
        <v>0</v>
      </c>
      <c r="CJ26">
        <v>0</v>
      </c>
      <c r="CK26">
        <v>0</v>
      </c>
      <c r="CL26">
        <v>0</v>
      </c>
      <c r="CM26">
        <v>0</v>
      </c>
      <c r="CN26">
        <v>0</v>
      </c>
      <c r="CO26">
        <v>0</v>
      </c>
      <c r="CP26">
        <v>0</v>
      </c>
      <c r="CQ26">
        <v>0</v>
      </c>
      <c r="CR26">
        <v>0</v>
      </c>
      <c r="CS26" t="s">
        <v>428</v>
      </c>
      <c r="CT26" t="s">
        <v>214</v>
      </c>
      <c r="CU26" t="s">
        <v>449</v>
      </c>
      <c r="CW26">
        <v>-53.617899999999999</v>
      </c>
      <c r="CZ26" s="1">
        <v>46164</v>
      </c>
      <c r="DA26" t="s">
        <v>172</v>
      </c>
      <c r="DB26" t="s">
        <v>172</v>
      </c>
      <c r="DC26" t="s">
        <v>172</v>
      </c>
      <c r="DD26" t="s">
        <v>172</v>
      </c>
      <c r="DG26" s="1">
        <v>46164</v>
      </c>
      <c r="DH26">
        <v>0</v>
      </c>
      <c r="DI26">
        <v>0</v>
      </c>
      <c r="DL26" t="s">
        <v>215</v>
      </c>
      <c r="DM26" t="s">
        <v>172</v>
      </c>
      <c r="DN26" t="s">
        <v>201</v>
      </c>
      <c r="DV26" s="3">
        <v>220500.34</v>
      </c>
      <c r="DW26">
        <v>0</v>
      </c>
      <c r="DX26" s="3">
        <v>220500.34</v>
      </c>
      <c r="DY26">
        <v>0</v>
      </c>
      <c r="EG26" s="1">
        <v>46168</v>
      </c>
      <c r="EM26" s="1">
        <v>46169</v>
      </c>
      <c r="EP26" s="1">
        <v>46168</v>
      </c>
      <c r="ER26" s="1">
        <v>46168</v>
      </c>
      <c r="ES26" t="s">
        <v>457</v>
      </c>
    </row>
    <row r="27" spans="1:153" ht="246.5" x14ac:dyDescent="0.35">
      <c r="A27" t="str">
        <f>HYPERLINK("https://7lm.cvcrm.com.br/gestor/comercial/reservas/7134/administrar","7134")</f>
        <v>7134</v>
      </c>
      <c r="B27" t="s">
        <v>156</v>
      </c>
      <c r="C27" s="1">
        <v>46164</v>
      </c>
      <c r="D27" s="2">
        <v>0.45836805555555554</v>
      </c>
      <c r="E27" t="s">
        <v>294</v>
      </c>
      <c r="F27" t="s">
        <v>458</v>
      </c>
      <c r="G27" t="s">
        <v>203</v>
      </c>
      <c r="H27" t="s">
        <v>319</v>
      </c>
      <c r="I27" t="s">
        <v>459</v>
      </c>
      <c r="J27">
        <v>1</v>
      </c>
      <c r="K27">
        <v>8506</v>
      </c>
      <c r="L27">
        <v>20001</v>
      </c>
      <c r="M27" t="s">
        <v>460</v>
      </c>
      <c r="N27" s="1">
        <v>46169</v>
      </c>
      <c r="O27" s="2">
        <v>0.51428240740740738</v>
      </c>
      <c r="Q27">
        <v>10025</v>
      </c>
      <c r="R27" t="str">
        <f>HYPERLINK("https://7lm.cvcrm.com.br/gestor/relatorios/associado/html?q[1|r.idreserva]=7134","EDILSON CAVALCANTE DA SILVA")</f>
        <v>EDILSON CAVALCANTE DA SILVA</v>
      </c>
      <c r="S27">
        <v>4817815523</v>
      </c>
      <c r="T27">
        <v>5561992484617</v>
      </c>
      <c r="U27">
        <v>5561999694434</v>
      </c>
      <c r="V27" t="s">
        <v>461</v>
      </c>
      <c r="W27" t="s">
        <v>163</v>
      </c>
      <c r="X27" t="s">
        <v>462</v>
      </c>
      <c r="Y27" t="s">
        <v>189</v>
      </c>
      <c r="Z27" t="s">
        <v>214</v>
      </c>
      <c r="AA27" t="s">
        <v>463</v>
      </c>
      <c r="AB27" t="s">
        <v>464</v>
      </c>
      <c r="AC27" t="s">
        <v>465</v>
      </c>
      <c r="AF27" t="s">
        <v>413</v>
      </c>
      <c r="AG27" t="s">
        <v>195</v>
      </c>
      <c r="AH27" s="3">
        <v>230001.15</v>
      </c>
      <c r="AI27" s="3">
        <v>230001.15</v>
      </c>
      <c r="AJ27" s="1">
        <v>46218</v>
      </c>
      <c r="AN27" t="s">
        <v>172</v>
      </c>
      <c r="AR27" s="7" t="s">
        <v>353</v>
      </c>
      <c r="AT27" t="s">
        <v>196</v>
      </c>
      <c r="AU27" t="s">
        <v>174</v>
      </c>
      <c r="AW27">
        <v>0</v>
      </c>
      <c r="AX27" s="1">
        <v>46164</v>
      </c>
      <c r="AY27" s="2">
        <v>0.66276620370370365</v>
      </c>
      <c r="AZ27">
        <v>132726</v>
      </c>
      <c r="BA27" s="1">
        <v>45559</v>
      </c>
      <c r="BC27" t="s">
        <v>0</v>
      </c>
      <c r="BD27" s="1">
        <v>46164</v>
      </c>
      <c r="BE27" t="s">
        <v>466</v>
      </c>
      <c r="BL27" s="4">
        <v>0</v>
      </c>
      <c r="BM27" s="1">
        <v>46572</v>
      </c>
      <c r="BN27" s="1">
        <v>46164</v>
      </c>
      <c r="BO27">
        <v>0</v>
      </c>
      <c r="BP27">
        <v>32806</v>
      </c>
      <c r="BQ27" t="s">
        <v>156</v>
      </c>
      <c r="BR27" s="3">
        <v>150747.34</v>
      </c>
      <c r="BS27" s="3">
        <v>18324</v>
      </c>
      <c r="BT27">
        <v>0</v>
      </c>
      <c r="BU27" s="3">
        <v>169071.34</v>
      </c>
      <c r="BV27" s="3">
        <v>230001.15</v>
      </c>
      <c r="BX27">
        <v>0</v>
      </c>
      <c r="BZ27">
        <v>0</v>
      </c>
      <c r="CA27">
        <v>0</v>
      </c>
      <c r="CB27">
        <v>0</v>
      </c>
      <c r="CC27" s="3">
        <v>230001.15</v>
      </c>
      <c r="CD27" s="5">
        <v>0</v>
      </c>
      <c r="CE27" t="s">
        <v>467</v>
      </c>
      <c r="CF27" s="6">
        <v>46143</v>
      </c>
      <c r="CH27">
        <v>0</v>
      </c>
      <c r="CI27">
        <v>0</v>
      </c>
      <c r="CJ27">
        <v>0</v>
      </c>
      <c r="CK27">
        <v>0</v>
      </c>
      <c r="CL27">
        <v>0</v>
      </c>
      <c r="CM27">
        <v>0</v>
      </c>
      <c r="CN27">
        <v>0</v>
      </c>
      <c r="CO27">
        <v>0</v>
      </c>
      <c r="CP27">
        <v>0</v>
      </c>
      <c r="CQ27">
        <v>0</v>
      </c>
      <c r="CR27">
        <v>0</v>
      </c>
      <c r="CS27" t="s">
        <v>360</v>
      </c>
      <c r="CT27" t="s">
        <v>214</v>
      </c>
      <c r="CU27" t="s">
        <v>459</v>
      </c>
      <c r="CW27">
        <v>0</v>
      </c>
      <c r="CZ27" s="1">
        <v>46164</v>
      </c>
      <c r="DA27" t="s">
        <v>172</v>
      </c>
      <c r="DB27" t="s">
        <v>172</v>
      </c>
      <c r="DC27" t="s">
        <v>172</v>
      </c>
      <c r="DD27" t="s">
        <v>172</v>
      </c>
      <c r="DG27" s="1">
        <v>46164</v>
      </c>
      <c r="DH27">
        <v>0</v>
      </c>
      <c r="DI27">
        <v>0</v>
      </c>
      <c r="DJ27" s="1">
        <v>46164</v>
      </c>
      <c r="DL27" t="s">
        <v>200</v>
      </c>
      <c r="DM27" t="s">
        <v>172</v>
      </c>
      <c r="DN27" t="s">
        <v>201</v>
      </c>
      <c r="DV27" s="3">
        <v>230001.15</v>
      </c>
      <c r="DW27">
        <v>0</v>
      </c>
      <c r="DX27" s="3">
        <v>230001.15</v>
      </c>
      <c r="DY27">
        <v>0</v>
      </c>
      <c r="EF27" s="1">
        <v>46169</v>
      </c>
      <c r="EG27" s="1">
        <v>46167</v>
      </c>
      <c r="EK27" s="1">
        <v>46169</v>
      </c>
      <c r="EN27" t="s">
        <v>156</v>
      </c>
      <c r="EP27" s="1">
        <v>46164</v>
      </c>
      <c r="EU27" s="1">
        <v>46167</v>
      </c>
      <c r="EW27" s="1">
        <v>46164</v>
      </c>
    </row>
    <row r="28" spans="1:153" ht="246.5" x14ac:dyDescent="0.35">
      <c r="A28" t="str">
        <f>HYPERLINK("https://7lm.cvcrm.com.br/gestor/comercial/reservas/7133/administrar","7133")</f>
        <v>7133</v>
      </c>
      <c r="B28" t="s">
        <v>156</v>
      </c>
      <c r="C28" s="1">
        <v>46163</v>
      </c>
      <c r="D28" s="2">
        <v>0.52615740740740746</v>
      </c>
      <c r="E28" t="s">
        <v>294</v>
      </c>
      <c r="F28" t="s">
        <v>202</v>
      </c>
      <c r="G28" t="s">
        <v>203</v>
      </c>
      <c r="H28" t="s">
        <v>404</v>
      </c>
      <c r="I28" t="s">
        <v>468</v>
      </c>
      <c r="J28">
        <v>1</v>
      </c>
      <c r="K28">
        <v>8513</v>
      </c>
      <c r="L28">
        <v>20031</v>
      </c>
      <c r="M28" t="s">
        <v>469</v>
      </c>
      <c r="N28" s="1">
        <v>46167</v>
      </c>
      <c r="O28" s="2">
        <v>0.62563657407407403</v>
      </c>
      <c r="Q28">
        <v>10030</v>
      </c>
      <c r="R28" t="str">
        <f>HYPERLINK("https://7lm.cvcrm.com.br/gestor/relatorios/associado/html?q[1|r.idreserva]=7133","CRISTIANE DE OLIVEIRA COSTA LUZ")</f>
        <v>CRISTIANE DE OLIVEIRA COSTA LUZ</v>
      </c>
      <c r="S28">
        <v>93352832153</v>
      </c>
      <c r="T28">
        <v>556193102940</v>
      </c>
      <c r="U28">
        <v>556194631176</v>
      </c>
      <c r="V28" t="s">
        <v>470</v>
      </c>
      <c r="W28" t="s">
        <v>187</v>
      </c>
      <c r="X28" t="s">
        <v>331</v>
      </c>
      <c r="Y28" t="s">
        <v>189</v>
      </c>
      <c r="Z28" t="s">
        <v>214</v>
      </c>
      <c r="AA28" t="s">
        <v>471</v>
      </c>
      <c r="AB28" t="s">
        <v>472</v>
      </c>
      <c r="AC28" t="s">
        <v>473</v>
      </c>
      <c r="AF28" t="s">
        <v>399</v>
      </c>
      <c r="AG28" t="s">
        <v>195</v>
      </c>
      <c r="AH28" s="3">
        <v>219240.66</v>
      </c>
      <c r="AI28" s="3">
        <v>219240.66</v>
      </c>
      <c r="AJ28" s="1">
        <v>46163</v>
      </c>
      <c r="AN28" t="s">
        <v>172</v>
      </c>
      <c r="AR28" s="7" t="s">
        <v>353</v>
      </c>
      <c r="AT28" t="s">
        <v>196</v>
      </c>
      <c r="AU28" t="s">
        <v>316</v>
      </c>
      <c r="AW28">
        <v>0</v>
      </c>
      <c r="AX28" s="1">
        <v>46168</v>
      </c>
      <c r="AY28" s="2">
        <v>0.64427083333333335</v>
      </c>
      <c r="AZ28">
        <v>213967</v>
      </c>
      <c r="BA28" s="1">
        <v>46160</v>
      </c>
      <c r="BC28" t="s">
        <v>275</v>
      </c>
      <c r="BD28" s="1">
        <v>46161</v>
      </c>
      <c r="BE28" t="s">
        <v>317</v>
      </c>
      <c r="BL28" s="4">
        <v>0</v>
      </c>
      <c r="BM28" s="1">
        <v>46808</v>
      </c>
      <c r="BN28" s="1">
        <v>46168</v>
      </c>
      <c r="BO28">
        <v>0</v>
      </c>
      <c r="BP28">
        <v>32667</v>
      </c>
      <c r="BQ28" t="s">
        <v>156</v>
      </c>
      <c r="BR28" s="3">
        <v>173051.41</v>
      </c>
      <c r="BS28">
        <v>0</v>
      </c>
      <c r="BT28">
        <v>0</v>
      </c>
      <c r="BU28" s="3">
        <v>173051.41</v>
      </c>
      <c r="BV28" s="3">
        <v>219240.66</v>
      </c>
      <c r="BX28">
        <v>0</v>
      </c>
      <c r="BZ28">
        <v>0</v>
      </c>
      <c r="CA28">
        <v>0</v>
      </c>
      <c r="CB28">
        <v>0</v>
      </c>
      <c r="CC28" s="3">
        <v>219240.66</v>
      </c>
      <c r="CD28" s="5">
        <v>0</v>
      </c>
      <c r="CF28" s="6">
        <v>46143</v>
      </c>
      <c r="CH28">
        <v>0</v>
      </c>
      <c r="CI28">
        <v>0</v>
      </c>
      <c r="CJ28">
        <v>0</v>
      </c>
      <c r="CK28">
        <v>0</v>
      </c>
      <c r="CL28">
        <v>0</v>
      </c>
      <c r="CM28">
        <v>0</v>
      </c>
      <c r="CN28">
        <v>0</v>
      </c>
      <c r="CO28">
        <v>0</v>
      </c>
      <c r="CP28">
        <v>0</v>
      </c>
      <c r="CQ28">
        <v>0</v>
      </c>
      <c r="CR28">
        <v>0</v>
      </c>
      <c r="CS28" t="s">
        <v>428</v>
      </c>
      <c r="CT28" t="s">
        <v>214</v>
      </c>
      <c r="CU28" t="s">
        <v>468</v>
      </c>
      <c r="CW28">
        <v>-53.882899999999999</v>
      </c>
      <c r="CZ28" s="1">
        <v>46163</v>
      </c>
      <c r="DA28" t="s">
        <v>172</v>
      </c>
      <c r="DB28" t="s">
        <v>172</v>
      </c>
      <c r="DC28" t="s">
        <v>172</v>
      </c>
      <c r="DD28" t="s">
        <v>172</v>
      </c>
      <c r="DG28" s="1">
        <v>46163</v>
      </c>
      <c r="DH28">
        <v>0</v>
      </c>
      <c r="DI28">
        <v>0</v>
      </c>
      <c r="DJ28" s="1">
        <v>46168</v>
      </c>
      <c r="DL28" t="s">
        <v>215</v>
      </c>
      <c r="DM28" t="s">
        <v>172</v>
      </c>
      <c r="DN28" t="s">
        <v>201</v>
      </c>
      <c r="DV28" s="3">
        <v>219240.66</v>
      </c>
      <c r="DW28">
        <v>0</v>
      </c>
      <c r="DX28" s="3">
        <v>219240.66</v>
      </c>
      <c r="DY28">
        <v>0</v>
      </c>
      <c r="EF28" s="1">
        <v>46169</v>
      </c>
      <c r="EG28" s="1">
        <v>46167</v>
      </c>
      <c r="EK28" s="1">
        <v>46169</v>
      </c>
      <c r="EN28" t="s">
        <v>156</v>
      </c>
      <c r="EP28" s="1">
        <v>46167</v>
      </c>
      <c r="ER28" s="1">
        <v>46165</v>
      </c>
      <c r="ES28" t="s">
        <v>474</v>
      </c>
    </row>
    <row r="29" spans="1:153" ht="246.5" x14ac:dyDescent="0.35">
      <c r="A29" t="str">
        <f>HYPERLINK("https://7lm.cvcrm.com.br/gestor/comercial/reservas/7132/administrar","7132")</f>
        <v>7132</v>
      </c>
      <c r="B29" t="s">
        <v>156</v>
      </c>
      <c r="C29" s="1">
        <v>46163</v>
      </c>
      <c r="D29" s="2">
        <v>0.3865277777777778</v>
      </c>
      <c r="E29" t="s">
        <v>294</v>
      </c>
      <c r="F29" t="s">
        <v>182</v>
      </c>
      <c r="G29" t="s">
        <v>159</v>
      </c>
      <c r="H29" t="s">
        <v>475</v>
      </c>
      <c r="I29" t="s">
        <v>476</v>
      </c>
      <c r="J29">
        <v>1</v>
      </c>
      <c r="K29">
        <v>8549</v>
      </c>
      <c r="L29">
        <v>30151</v>
      </c>
      <c r="M29" t="s">
        <v>477</v>
      </c>
      <c r="N29" s="1">
        <v>46169</v>
      </c>
      <c r="O29" s="2">
        <v>0.53766203703703708</v>
      </c>
      <c r="Q29">
        <v>10050</v>
      </c>
      <c r="R29" t="str">
        <f>HYPERLINK("https://7lm.cvcrm.com.br/gestor/relatorios/associado/html?q[1|r.idreserva]=7132","MARIA JOSE CARNEIRO DA SILVA")</f>
        <v>MARIA JOSE CARNEIRO DA SILVA</v>
      </c>
      <c r="S29">
        <v>7511626122</v>
      </c>
      <c r="T29">
        <v>5599991932002</v>
      </c>
      <c r="U29">
        <v>5561996042100</v>
      </c>
      <c r="V29" t="s">
        <v>478</v>
      </c>
      <c r="W29" t="s">
        <v>187</v>
      </c>
      <c r="X29" t="s">
        <v>479</v>
      </c>
      <c r="Y29" t="s">
        <v>189</v>
      </c>
      <c r="Z29" t="s">
        <v>190</v>
      </c>
      <c r="AA29" t="s">
        <v>480</v>
      </c>
      <c r="AB29" t="s">
        <v>481</v>
      </c>
      <c r="AC29" t="s">
        <v>482</v>
      </c>
      <c r="AF29" t="s">
        <v>194</v>
      </c>
      <c r="AG29" t="s">
        <v>195</v>
      </c>
      <c r="AH29" s="3">
        <v>245644.91</v>
      </c>
      <c r="AI29" s="3">
        <v>245644.91</v>
      </c>
      <c r="AJ29" s="1">
        <v>46218</v>
      </c>
      <c r="AN29" t="s">
        <v>172</v>
      </c>
      <c r="AR29" s="7" t="s">
        <v>353</v>
      </c>
      <c r="AT29" t="s">
        <v>196</v>
      </c>
      <c r="AU29" t="s">
        <v>197</v>
      </c>
      <c r="AW29">
        <v>0</v>
      </c>
      <c r="AX29" s="1">
        <v>46170</v>
      </c>
      <c r="AY29" s="2">
        <v>0.50390046296296298</v>
      </c>
      <c r="AZ29" t="s">
        <v>483</v>
      </c>
      <c r="BA29" t="s">
        <v>484</v>
      </c>
      <c r="BB29" t="s">
        <v>356</v>
      </c>
      <c r="BC29" t="s">
        <v>485</v>
      </c>
      <c r="BD29" t="s">
        <v>486</v>
      </c>
      <c r="BE29" t="s">
        <v>487</v>
      </c>
      <c r="BL29" s="4">
        <v>0</v>
      </c>
      <c r="BM29" s="1">
        <v>46899</v>
      </c>
      <c r="BN29" s="1">
        <v>46170</v>
      </c>
      <c r="BO29">
        <v>0</v>
      </c>
      <c r="BP29">
        <v>32664</v>
      </c>
      <c r="BQ29" t="s">
        <v>156</v>
      </c>
      <c r="BR29" s="3">
        <v>124735.5</v>
      </c>
      <c r="BS29" s="3">
        <v>35685</v>
      </c>
      <c r="BT29">
        <v>0</v>
      </c>
      <c r="BU29" s="3">
        <v>160420.5</v>
      </c>
      <c r="BV29" s="3">
        <v>245644.91</v>
      </c>
      <c r="BX29">
        <v>0</v>
      </c>
      <c r="BZ29">
        <v>0</v>
      </c>
      <c r="CA29">
        <v>0</v>
      </c>
      <c r="CB29">
        <v>0</v>
      </c>
      <c r="CC29" s="3">
        <v>245644.91</v>
      </c>
      <c r="CD29" s="5">
        <v>0</v>
      </c>
      <c r="CF29" s="6">
        <v>46143</v>
      </c>
      <c r="CH29">
        <v>0</v>
      </c>
      <c r="CI29">
        <v>0</v>
      </c>
      <c r="CJ29">
        <v>0</v>
      </c>
      <c r="CK29">
        <v>0</v>
      </c>
      <c r="CL29">
        <v>0</v>
      </c>
      <c r="CM29">
        <v>0</v>
      </c>
      <c r="CN29">
        <v>0</v>
      </c>
      <c r="CO29">
        <v>0</v>
      </c>
      <c r="CP29">
        <v>0</v>
      </c>
      <c r="CQ29">
        <v>0</v>
      </c>
      <c r="CR29">
        <v>0</v>
      </c>
      <c r="CS29" t="s">
        <v>360</v>
      </c>
      <c r="CT29" t="s">
        <v>190</v>
      </c>
      <c r="CU29" t="s">
        <v>476</v>
      </c>
      <c r="CW29">
        <v>-50.4754</v>
      </c>
      <c r="CZ29" s="1">
        <v>46163</v>
      </c>
      <c r="DA29" t="s">
        <v>172</v>
      </c>
      <c r="DB29" t="s">
        <v>172</v>
      </c>
      <c r="DC29" t="s">
        <v>172</v>
      </c>
      <c r="DD29" t="s">
        <v>172</v>
      </c>
      <c r="DG29" s="1">
        <v>46163</v>
      </c>
      <c r="DH29">
        <v>0</v>
      </c>
      <c r="DI29">
        <v>0</v>
      </c>
      <c r="DJ29" s="1">
        <v>46170</v>
      </c>
      <c r="DK29" t="s">
        <v>179</v>
      </c>
      <c r="DL29" t="s">
        <v>200</v>
      </c>
      <c r="DM29" t="s">
        <v>172</v>
      </c>
      <c r="DN29" t="s">
        <v>201</v>
      </c>
      <c r="DV29" s="3">
        <v>245644.91</v>
      </c>
      <c r="DW29">
        <v>0</v>
      </c>
      <c r="DX29" s="3">
        <v>245644.91</v>
      </c>
      <c r="DY29">
        <v>0</v>
      </c>
      <c r="EF29" s="1">
        <v>46169</v>
      </c>
      <c r="EG29" s="1">
        <v>46167</v>
      </c>
      <c r="EK29" s="1">
        <v>46169</v>
      </c>
      <c r="EL29" s="1">
        <v>46169</v>
      </c>
      <c r="EP29" s="1">
        <v>46169</v>
      </c>
      <c r="ER29" s="1">
        <v>46168</v>
      </c>
      <c r="ES29" t="s">
        <v>488</v>
      </c>
    </row>
    <row r="30" spans="1:153" ht="409.5" x14ac:dyDescent="0.35">
      <c r="A30" t="str">
        <f>HYPERLINK("https://7lm.cvcrm.com.br/gestor/comercial/reservas/7131/administrar","7131")</f>
        <v>7131</v>
      </c>
      <c r="B30" t="s">
        <v>156</v>
      </c>
      <c r="C30" s="1">
        <v>46162</v>
      </c>
      <c r="D30" s="2">
        <v>0.73440972222222223</v>
      </c>
      <c r="E30" t="s">
        <v>294</v>
      </c>
      <c r="F30" t="s">
        <v>295</v>
      </c>
      <c r="G30" t="s">
        <v>203</v>
      </c>
      <c r="H30" t="s">
        <v>336</v>
      </c>
      <c r="I30" t="s">
        <v>489</v>
      </c>
      <c r="J30">
        <v>1</v>
      </c>
      <c r="K30">
        <v>8561</v>
      </c>
      <c r="L30">
        <v>30031</v>
      </c>
      <c r="M30" t="s">
        <v>490</v>
      </c>
      <c r="N30" s="1">
        <v>46169</v>
      </c>
      <c r="O30" s="2">
        <v>0.68770833333333337</v>
      </c>
      <c r="Q30">
        <v>10053</v>
      </c>
      <c r="R30" t="str">
        <f>HYPERLINK("https://7lm.cvcrm.com.br/gestor/relatorios/associado/html?q[1|r.idreserva]=7131","WILSON JOSE DE CAMPOS FILHO")</f>
        <v>WILSON JOSE DE CAMPOS FILHO</v>
      </c>
      <c r="S30">
        <v>5213238190</v>
      </c>
      <c r="T30">
        <v>5561996892040</v>
      </c>
      <c r="U30">
        <v>5561982710557</v>
      </c>
      <c r="V30" t="s">
        <v>491</v>
      </c>
      <c r="W30" t="s">
        <v>163</v>
      </c>
      <c r="X30" t="s">
        <v>492</v>
      </c>
      <c r="Y30" t="s">
        <v>189</v>
      </c>
      <c r="Z30" t="s">
        <v>190</v>
      </c>
      <c r="AA30" t="s">
        <v>367</v>
      </c>
      <c r="AB30" t="s">
        <v>493</v>
      </c>
      <c r="AC30" t="s">
        <v>369</v>
      </c>
      <c r="AD30" t="s">
        <v>369</v>
      </c>
      <c r="AF30" t="s">
        <v>250</v>
      </c>
      <c r="AG30" t="s">
        <v>251</v>
      </c>
      <c r="AH30" s="3">
        <v>246000</v>
      </c>
      <c r="AI30" s="3">
        <v>246000</v>
      </c>
      <c r="AJ30" s="1">
        <v>46162</v>
      </c>
      <c r="AN30" t="s">
        <v>172</v>
      </c>
      <c r="AR30" s="7" t="s">
        <v>494</v>
      </c>
      <c r="AU30" t="s">
        <v>175</v>
      </c>
      <c r="AW30">
        <v>0</v>
      </c>
      <c r="AX30" s="1">
        <v>46170</v>
      </c>
      <c r="AY30" s="2">
        <v>0.57178240740740738</v>
      </c>
      <c r="AZ30">
        <v>214561</v>
      </c>
      <c r="BA30" s="1">
        <v>46162</v>
      </c>
      <c r="BC30" t="s">
        <v>213</v>
      </c>
      <c r="BD30" s="1">
        <v>46162</v>
      </c>
      <c r="BE30" t="s">
        <v>175</v>
      </c>
      <c r="BL30" s="4">
        <v>0</v>
      </c>
      <c r="BM30" s="1">
        <v>46604</v>
      </c>
      <c r="BN30" s="1">
        <v>46170</v>
      </c>
      <c r="BO30">
        <v>0</v>
      </c>
      <c r="BP30">
        <v>32747</v>
      </c>
      <c r="BQ30" t="s">
        <v>156</v>
      </c>
      <c r="BR30">
        <v>0</v>
      </c>
      <c r="BS30">
        <v>0</v>
      </c>
      <c r="BT30">
        <v>0</v>
      </c>
      <c r="BU30">
        <v>0</v>
      </c>
      <c r="BV30" s="3">
        <v>246000</v>
      </c>
      <c r="BX30">
        <v>0</v>
      </c>
      <c r="BZ30">
        <v>0</v>
      </c>
      <c r="CA30">
        <v>0</v>
      </c>
      <c r="CB30">
        <v>0</v>
      </c>
      <c r="CC30" s="3">
        <v>246000</v>
      </c>
      <c r="CD30" s="5">
        <v>0</v>
      </c>
      <c r="CF30" s="6">
        <v>46143</v>
      </c>
      <c r="CH30">
        <v>0</v>
      </c>
      <c r="CI30">
        <v>0</v>
      </c>
      <c r="CJ30">
        <v>0</v>
      </c>
      <c r="CK30">
        <v>0</v>
      </c>
      <c r="CL30">
        <v>0</v>
      </c>
      <c r="CM30">
        <v>0</v>
      </c>
      <c r="CN30">
        <v>0</v>
      </c>
      <c r="CO30">
        <v>0</v>
      </c>
      <c r="CP30">
        <v>0</v>
      </c>
      <c r="CQ30">
        <v>0</v>
      </c>
      <c r="CR30">
        <v>0</v>
      </c>
      <c r="CS30" t="s">
        <v>199</v>
      </c>
      <c r="CT30" t="s">
        <v>190</v>
      </c>
      <c r="CU30" t="s">
        <v>489</v>
      </c>
      <c r="CW30">
        <v>-51.840299999999999</v>
      </c>
      <c r="CZ30" s="1">
        <v>46162</v>
      </c>
      <c r="DA30" t="s">
        <v>172</v>
      </c>
      <c r="DB30" t="s">
        <v>172</v>
      </c>
      <c r="DC30" t="s">
        <v>172</v>
      </c>
      <c r="DD30" t="s">
        <v>172</v>
      </c>
      <c r="DF30" t="s">
        <v>495</v>
      </c>
      <c r="DG30" s="1">
        <v>46162</v>
      </c>
      <c r="DH30">
        <v>0</v>
      </c>
      <c r="DI30">
        <v>0</v>
      </c>
      <c r="DJ30" s="1">
        <v>46170</v>
      </c>
      <c r="DL30" t="s">
        <v>200</v>
      </c>
      <c r="DM30" t="s">
        <v>172</v>
      </c>
      <c r="DN30" t="s">
        <v>201</v>
      </c>
      <c r="DV30" s="3">
        <v>246000</v>
      </c>
      <c r="DW30">
        <v>0</v>
      </c>
      <c r="DX30" s="3">
        <v>246000</v>
      </c>
      <c r="DY30">
        <v>0</v>
      </c>
      <c r="EG30" s="1">
        <v>46169</v>
      </c>
      <c r="EK30" s="1">
        <v>46169</v>
      </c>
      <c r="EL30" s="1">
        <v>46169</v>
      </c>
      <c r="EN30" t="s">
        <v>156</v>
      </c>
      <c r="EP30" s="1">
        <v>46169</v>
      </c>
      <c r="ER30" s="1">
        <v>46167</v>
      </c>
      <c r="ES30" t="s">
        <v>496</v>
      </c>
      <c r="EU30" s="1">
        <v>46165</v>
      </c>
    </row>
    <row r="31" spans="1:153" ht="246.5" x14ac:dyDescent="0.35">
      <c r="A31" t="str">
        <f>HYPERLINK("https://7lm.cvcrm.com.br/gestor/comercial/reservas/7130/administrar","7130")</f>
        <v>7130</v>
      </c>
      <c r="B31" t="s">
        <v>156</v>
      </c>
      <c r="C31" s="1">
        <v>46162</v>
      </c>
      <c r="D31" s="2">
        <v>0.70064814814814813</v>
      </c>
      <c r="E31" t="s">
        <v>294</v>
      </c>
      <c r="F31" t="s">
        <v>295</v>
      </c>
      <c r="G31" t="s">
        <v>203</v>
      </c>
      <c r="H31" t="s">
        <v>336</v>
      </c>
      <c r="I31" t="s">
        <v>497</v>
      </c>
      <c r="J31">
        <v>1</v>
      </c>
      <c r="K31">
        <v>8514</v>
      </c>
      <c r="L31">
        <v>30031</v>
      </c>
      <c r="M31" t="s">
        <v>498</v>
      </c>
      <c r="N31" s="1">
        <v>46168</v>
      </c>
      <c r="O31" s="2">
        <v>0.62091435185185184</v>
      </c>
      <c r="Q31">
        <v>10031</v>
      </c>
      <c r="R31" t="str">
        <f>HYPERLINK("https://7lm.cvcrm.com.br/gestor/relatorios/associado/html?q[1|r.idreserva]=7130","VITOR CAUA GEBRIM FREIRE")</f>
        <v>VITOR CAUA GEBRIM FREIRE</v>
      </c>
      <c r="S31">
        <v>9278477109</v>
      </c>
      <c r="T31">
        <v>5561981425853</v>
      </c>
      <c r="U31">
        <v>5561981372602</v>
      </c>
      <c r="V31" t="s">
        <v>499</v>
      </c>
      <c r="W31" t="s">
        <v>163</v>
      </c>
      <c r="X31" t="s">
        <v>376</v>
      </c>
      <c r="Y31" t="s">
        <v>189</v>
      </c>
      <c r="Z31" t="s">
        <v>190</v>
      </c>
      <c r="AA31" t="s">
        <v>500</v>
      </c>
      <c r="AB31" t="s">
        <v>501</v>
      </c>
      <c r="AC31" t="s">
        <v>302</v>
      </c>
      <c r="AD31" t="s">
        <v>302</v>
      </c>
      <c r="AF31" t="s">
        <v>303</v>
      </c>
      <c r="AG31" t="s">
        <v>195</v>
      </c>
      <c r="AH31" s="3">
        <v>247531.55</v>
      </c>
      <c r="AI31" s="3">
        <v>247531.55</v>
      </c>
      <c r="AJ31" s="1">
        <v>46188</v>
      </c>
      <c r="AN31" t="s">
        <v>172</v>
      </c>
      <c r="AR31" s="7" t="s">
        <v>353</v>
      </c>
      <c r="AT31" t="s">
        <v>196</v>
      </c>
      <c r="AU31" t="s">
        <v>292</v>
      </c>
      <c r="AW31">
        <v>0</v>
      </c>
      <c r="AX31" s="1">
        <v>46168</v>
      </c>
      <c r="AY31" s="2">
        <v>0.64679398148148148</v>
      </c>
      <c r="AZ31">
        <v>199819</v>
      </c>
      <c r="BA31" s="1">
        <v>46119</v>
      </c>
      <c r="BC31" t="s">
        <v>0</v>
      </c>
      <c r="BD31" s="1">
        <v>46162</v>
      </c>
      <c r="BE31" t="s">
        <v>176</v>
      </c>
      <c r="BL31" s="4">
        <v>0</v>
      </c>
      <c r="BM31" s="1">
        <v>46604</v>
      </c>
      <c r="BN31" s="1">
        <v>46168</v>
      </c>
      <c r="BO31">
        <v>0</v>
      </c>
      <c r="BP31">
        <v>30624</v>
      </c>
      <c r="BQ31" t="s">
        <v>156</v>
      </c>
      <c r="BR31" s="3">
        <v>141159.32999999999</v>
      </c>
      <c r="BS31" s="3">
        <v>21807</v>
      </c>
      <c r="BT31">
        <v>0</v>
      </c>
      <c r="BU31" s="3">
        <v>162966.32999999999</v>
      </c>
      <c r="BV31" s="3">
        <v>247531.55</v>
      </c>
      <c r="BX31">
        <v>0</v>
      </c>
      <c r="BZ31">
        <v>0</v>
      </c>
      <c r="CA31">
        <v>0</v>
      </c>
      <c r="CB31">
        <v>0</v>
      </c>
      <c r="CC31" s="3">
        <v>247531.55</v>
      </c>
      <c r="CD31" s="5">
        <v>0</v>
      </c>
      <c r="CF31" s="6">
        <v>46143</v>
      </c>
      <c r="CH31">
        <v>0</v>
      </c>
      <c r="CI31">
        <v>0</v>
      </c>
      <c r="CJ31">
        <v>0</v>
      </c>
      <c r="CK31">
        <v>0</v>
      </c>
      <c r="CL31">
        <v>0</v>
      </c>
      <c r="CM31">
        <v>0</v>
      </c>
      <c r="CN31">
        <v>0</v>
      </c>
      <c r="CO31">
        <v>0</v>
      </c>
      <c r="CP31">
        <v>0</v>
      </c>
      <c r="CQ31">
        <v>0</v>
      </c>
      <c r="CR31">
        <v>0</v>
      </c>
      <c r="CS31" t="s">
        <v>360</v>
      </c>
      <c r="CT31" t="s">
        <v>190</v>
      </c>
      <c r="CU31" t="s">
        <v>497</v>
      </c>
      <c r="CW31">
        <v>-47.048099999999998</v>
      </c>
      <c r="CZ31" s="1">
        <v>46162</v>
      </c>
      <c r="DA31" t="s">
        <v>172</v>
      </c>
      <c r="DB31" t="s">
        <v>172</v>
      </c>
      <c r="DC31" t="s">
        <v>172</v>
      </c>
      <c r="DD31" t="s">
        <v>172</v>
      </c>
      <c r="DG31" s="1">
        <v>46162</v>
      </c>
      <c r="DH31">
        <v>0</v>
      </c>
      <c r="DI31">
        <v>0</v>
      </c>
      <c r="DJ31" s="1">
        <v>46168</v>
      </c>
      <c r="DL31" t="s">
        <v>200</v>
      </c>
      <c r="DM31" t="s">
        <v>172</v>
      </c>
      <c r="DN31" t="s">
        <v>201</v>
      </c>
      <c r="DV31" s="3">
        <v>247531.55</v>
      </c>
      <c r="DW31">
        <v>0</v>
      </c>
      <c r="DX31" s="3">
        <v>247531.55</v>
      </c>
      <c r="DY31">
        <v>0</v>
      </c>
      <c r="EF31" s="1">
        <v>46168</v>
      </c>
      <c r="EG31" s="1">
        <v>46164</v>
      </c>
      <c r="EK31" s="1">
        <v>46168</v>
      </c>
      <c r="EM31" s="1">
        <v>46167</v>
      </c>
      <c r="EN31" t="s">
        <v>156</v>
      </c>
      <c r="EP31" s="1">
        <v>46167</v>
      </c>
      <c r="EQ31" s="1">
        <v>46163</v>
      </c>
      <c r="ER31" s="1">
        <v>46163</v>
      </c>
      <c r="ES31" t="s">
        <v>502</v>
      </c>
      <c r="EU31" s="1">
        <v>46164</v>
      </c>
      <c r="EV31" s="1">
        <v>46163</v>
      </c>
      <c r="EW31" s="1">
        <v>46162</v>
      </c>
    </row>
    <row r="32" spans="1:153" ht="188.5" x14ac:dyDescent="0.35">
      <c r="A32" t="str">
        <f>HYPERLINK("https://7lm.cvcrm.com.br/gestor/comercial/reservas/7129/administrar","7129")</f>
        <v>7129</v>
      </c>
      <c r="B32" t="s">
        <v>156</v>
      </c>
      <c r="C32" s="1">
        <v>46162</v>
      </c>
      <c r="D32" s="2">
        <v>0.60318287037037033</v>
      </c>
      <c r="E32" t="s">
        <v>294</v>
      </c>
      <c r="F32" t="s">
        <v>295</v>
      </c>
      <c r="G32" t="s">
        <v>203</v>
      </c>
      <c r="H32" t="s">
        <v>391</v>
      </c>
      <c r="I32" t="s">
        <v>503</v>
      </c>
      <c r="J32">
        <v>1</v>
      </c>
      <c r="K32">
        <v>8516</v>
      </c>
      <c r="L32">
        <v>30031</v>
      </c>
      <c r="M32" t="s">
        <v>504</v>
      </c>
      <c r="N32" s="1">
        <v>46167</v>
      </c>
      <c r="O32" s="2">
        <v>0.69365740740740744</v>
      </c>
      <c r="Q32">
        <v>10032</v>
      </c>
      <c r="R32" t="str">
        <f>HYPERLINK("https://7lm.cvcrm.com.br/gestor/relatorios/associado/html?q[1|r.idreserva]=7129","HANDRIELE SILVA TEODORO")</f>
        <v>HANDRIELE SILVA TEODORO</v>
      </c>
      <c r="S32">
        <v>70593287185</v>
      </c>
      <c r="T32">
        <v>5561996564881</v>
      </c>
      <c r="U32">
        <v>556199379371</v>
      </c>
      <c r="V32" t="s">
        <v>505</v>
      </c>
      <c r="W32" t="s">
        <v>187</v>
      </c>
      <c r="X32" t="s">
        <v>376</v>
      </c>
      <c r="Y32" t="s">
        <v>189</v>
      </c>
      <c r="Z32" t="s">
        <v>506</v>
      </c>
      <c r="AA32" t="s">
        <v>507</v>
      </c>
      <c r="AB32" t="s">
        <v>508</v>
      </c>
      <c r="AC32" t="s">
        <v>509</v>
      </c>
      <c r="AD32" t="s">
        <v>509</v>
      </c>
      <c r="AF32" t="s">
        <v>352</v>
      </c>
      <c r="AG32" t="s">
        <v>251</v>
      </c>
      <c r="AH32" s="3">
        <v>260468.28</v>
      </c>
      <c r="AI32" s="3">
        <v>260468.28</v>
      </c>
      <c r="AJ32" s="1">
        <v>46228</v>
      </c>
      <c r="AN32" t="s">
        <v>172</v>
      </c>
      <c r="AR32" s="7" t="s">
        <v>510</v>
      </c>
      <c r="AT32" t="s">
        <v>261</v>
      </c>
      <c r="AU32" t="s">
        <v>292</v>
      </c>
      <c r="AW32">
        <v>0</v>
      </c>
      <c r="AX32" s="1">
        <v>46168</v>
      </c>
      <c r="AY32" s="2">
        <v>0.64898148148148149</v>
      </c>
      <c r="AZ32">
        <v>213432</v>
      </c>
      <c r="BA32" s="1">
        <v>46157</v>
      </c>
      <c r="BC32" t="s">
        <v>0</v>
      </c>
      <c r="BD32" s="1">
        <v>46162</v>
      </c>
      <c r="BE32" t="s">
        <v>176</v>
      </c>
      <c r="BL32" s="4">
        <v>0</v>
      </c>
      <c r="BM32" s="1">
        <v>46604</v>
      </c>
      <c r="BN32" s="1">
        <v>46168</v>
      </c>
      <c r="BO32">
        <v>0</v>
      </c>
      <c r="BP32">
        <v>32514</v>
      </c>
      <c r="BQ32" t="s">
        <v>156</v>
      </c>
      <c r="BR32" s="3">
        <v>109209.84</v>
      </c>
      <c r="BS32" s="3">
        <v>55000</v>
      </c>
      <c r="BT32">
        <v>0</v>
      </c>
      <c r="BU32" s="3">
        <v>164209.84</v>
      </c>
      <c r="BV32" s="3">
        <v>260468.28</v>
      </c>
      <c r="BX32">
        <v>0</v>
      </c>
      <c r="BZ32">
        <v>0</v>
      </c>
      <c r="CA32">
        <v>0</v>
      </c>
      <c r="CB32">
        <v>0</v>
      </c>
      <c r="CC32" s="3">
        <v>260468.28</v>
      </c>
      <c r="CD32" s="5">
        <v>0</v>
      </c>
      <c r="CF32" s="6">
        <v>46143</v>
      </c>
      <c r="CH32">
        <v>0</v>
      </c>
      <c r="CI32">
        <v>0</v>
      </c>
      <c r="CJ32">
        <v>0</v>
      </c>
      <c r="CK32">
        <v>0</v>
      </c>
      <c r="CL32">
        <v>0</v>
      </c>
      <c r="CM32">
        <v>0</v>
      </c>
      <c r="CN32">
        <v>0</v>
      </c>
      <c r="CO32">
        <v>0</v>
      </c>
      <c r="CP32">
        <v>0</v>
      </c>
      <c r="CQ32">
        <v>0</v>
      </c>
      <c r="CR32">
        <v>0</v>
      </c>
      <c r="CS32" t="s">
        <v>360</v>
      </c>
      <c r="CT32" t="s">
        <v>190</v>
      </c>
      <c r="CU32" t="s">
        <v>503</v>
      </c>
      <c r="CW32">
        <v>-49.710099999999997</v>
      </c>
      <c r="CZ32" s="1">
        <v>46162</v>
      </c>
      <c r="DA32" t="s">
        <v>172</v>
      </c>
      <c r="DB32" t="s">
        <v>172</v>
      </c>
      <c r="DC32" t="s">
        <v>172</v>
      </c>
      <c r="DD32" t="s">
        <v>172</v>
      </c>
      <c r="DG32" s="1">
        <v>46162</v>
      </c>
      <c r="DH32">
        <v>0</v>
      </c>
      <c r="DI32">
        <v>0</v>
      </c>
      <c r="DJ32" s="1">
        <v>46168</v>
      </c>
      <c r="DL32" t="s">
        <v>200</v>
      </c>
      <c r="DM32" t="s">
        <v>172</v>
      </c>
      <c r="DN32" t="s">
        <v>511</v>
      </c>
      <c r="DP32" s="8">
        <v>0.01</v>
      </c>
      <c r="DV32" s="3">
        <v>260468.28</v>
      </c>
      <c r="DW32">
        <v>0</v>
      </c>
      <c r="DX32" s="3">
        <v>260468.28</v>
      </c>
      <c r="DY32">
        <v>0</v>
      </c>
      <c r="EF32" s="1">
        <v>46167</v>
      </c>
      <c r="EG32" s="1">
        <v>46163</v>
      </c>
      <c r="EK32" s="1">
        <v>46167</v>
      </c>
      <c r="EL32" s="1">
        <v>46167</v>
      </c>
      <c r="EN32" t="s">
        <v>156</v>
      </c>
      <c r="EP32" s="1">
        <v>46164</v>
      </c>
      <c r="EQ32" s="1">
        <v>46164</v>
      </c>
      <c r="ER32" s="1">
        <v>46164</v>
      </c>
      <c r="ES32" t="s">
        <v>512</v>
      </c>
      <c r="EU32" s="1">
        <v>46164</v>
      </c>
      <c r="EV32" s="1">
        <v>46164</v>
      </c>
      <c r="EW32" s="1">
        <v>46162</v>
      </c>
    </row>
    <row r="33" spans="1:153" ht="246.5" x14ac:dyDescent="0.35">
      <c r="A33" t="str">
        <f>HYPERLINK("https://7lm.cvcrm.com.br/gestor/comercial/reservas/7128/administrar","7128")</f>
        <v>7128</v>
      </c>
      <c r="B33" t="s">
        <v>156</v>
      </c>
      <c r="C33" s="1">
        <v>46162</v>
      </c>
      <c r="D33" s="2">
        <v>0.4425810185185185</v>
      </c>
      <c r="E33" t="s">
        <v>294</v>
      </c>
      <c r="F33" t="s">
        <v>202</v>
      </c>
      <c r="G33" t="s">
        <v>203</v>
      </c>
      <c r="H33" t="s">
        <v>513</v>
      </c>
      <c r="I33" t="s">
        <v>514</v>
      </c>
      <c r="J33">
        <v>1</v>
      </c>
      <c r="K33">
        <v>8496</v>
      </c>
      <c r="L33">
        <v>20031</v>
      </c>
      <c r="M33" t="s">
        <v>515</v>
      </c>
      <c r="N33" s="1">
        <v>46167</v>
      </c>
      <c r="O33" s="2">
        <v>0.60298611111111111</v>
      </c>
      <c r="Q33">
        <v>10013</v>
      </c>
      <c r="R33" t="str">
        <f>HYPERLINK("https://7lm.cvcrm.com.br/gestor/relatorios/associado/html?q[1|r.idreserva]=7128","JULIO CESAR JUSTINO DE SOUZA")</f>
        <v>JULIO CESAR JUSTINO DE SOUZA</v>
      </c>
      <c r="S33">
        <v>71296913104</v>
      </c>
      <c r="T33">
        <v>5561995139748</v>
      </c>
      <c r="U33">
        <v>5561982561320</v>
      </c>
      <c r="V33" t="s">
        <v>516</v>
      </c>
      <c r="W33" t="s">
        <v>163</v>
      </c>
      <c r="Y33" t="s">
        <v>165</v>
      </c>
      <c r="Z33" t="s">
        <v>385</v>
      </c>
      <c r="AA33" t="s">
        <v>453</v>
      </c>
      <c r="AB33" t="s">
        <v>387</v>
      </c>
      <c r="AC33" t="s">
        <v>388</v>
      </c>
      <c r="AF33" t="s">
        <v>389</v>
      </c>
      <c r="AG33" t="s">
        <v>195</v>
      </c>
      <c r="AH33" s="3">
        <v>217017.48</v>
      </c>
      <c r="AI33" s="3">
        <v>217017.48</v>
      </c>
      <c r="AJ33" s="1">
        <v>46228</v>
      </c>
      <c r="AN33" t="s">
        <v>172</v>
      </c>
      <c r="AR33" s="7" t="s">
        <v>353</v>
      </c>
      <c r="AT33" t="s">
        <v>196</v>
      </c>
      <c r="AU33" t="s">
        <v>262</v>
      </c>
      <c r="AW33">
        <v>0</v>
      </c>
      <c r="AX33" s="1">
        <v>46163</v>
      </c>
      <c r="AY33" s="2">
        <v>0.64892361111111108</v>
      </c>
      <c r="AZ33">
        <v>210977</v>
      </c>
      <c r="BA33" s="1">
        <v>46150</v>
      </c>
      <c r="BC33" t="s">
        <v>275</v>
      </c>
      <c r="BD33" s="1">
        <v>46160</v>
      </c>
      <c r="BE33" t="s">
        <v>317</v>
      </c>
      <c r="BL33" s="4">
        <v>0</v>
      </c>
      <c r="BM33" s="1">
        <v>46808</v>
      </c>
      <c r="BN33" s="1">
        <v>46163</v>
      </c>
      <c r="BO33">
        <v>0</v>
      </c>
      <c r="BP33">
        <v>32617</v>
      </c>
      <c r="BQ33" t="s">
        <v>156</v>
      </c>
      <c r="BR33" s="3">
        <v>114973.73</v>
      </c>
      <c r="BS33" s="3">
        <v>41233</v>
      </c>
      <c r="BT33">
        <v>0</v>
      </c>
      <c r="BU33" s="3">
        <v>156206.73000000001</v>
      </c>
      <c r="BV33" s="3">
        <v>217017.48</v>
      </c>
      <c r="BX33">
        <v>0</v>
      </c>
      <c r="BZ33">
        <v>0</v>
      </c>
      <c r="CA33">
        <v>0</v>
      </c>
      <c r="CB33">
        <v>0</v>
      </c>
      <c r="CC33" s="3">
        <v>217017.48</v>
      </c>
      <c r="CD33" s="5">
        <v>0</v>
      </c>
      <c r="CF33" s="6">
        <v>46143</v>
      </c>
      <c r="CH33">
        <v>0</v>
      </c>
      <c r="CI33">
        <v>0</v>
      </c>
      <c r="CJ33">
        <v>0</v>
      </c>
      <c r="CK33">
        <v>0</v>
      </c>
      <c r="CL33">
        <v>0</v>
      </c>
      <c r="CM33">
        <v>0</v>
      </c>
      <c r="CN33">
        <v>0</v>
      </c>
      <c r="CO33">
        <v>0</v>
      </c>
      <c r="CP33">
        <v>0</v>
      </c>
      <c r="CQ33">
        <v>0</v>
      </c>
      <c r="CR33">
        <v>0</v>
      </c>
      <c r="CS33" t="s">
        <v>360</v>
      </c>
      <c r="CT33" t="s">
        <v>214</v>
      </c>
      <c r="CU33" t="s">
        <v>514</v>
      </c>
      <c r="CW33">
        <v>-53.555399999999999</v>
      </c>
      <c r="CZ33" s="1">
        <v>46162</v>
      </c>
      <c r="DA33" t="s">
        <v>172</v>
      </c>
      <c r="DB33" t="s">
        <v>172</v>
      </c>
      <c r="DC33" t="s">
        <v>172</v>
      </c>
      <c r="DD33" t="s">
        <v>172</v>
      </c>
      <c r="DG33" s="1">
        <v>46162</v>
      </c>
      <c r="DH33">
        <v>0</v>
      </c>
      <c r="DI33">
        <v>0</v>
      </c>
      <c r="DJ33" s="1">
        <v>46163</v>
      </c>
      <c r="DL33" t="s">
        <v>215</v>
      </c>
      <c r="DM33" t="s">
        <v>172</v>
      </c>
      <c r="DN33" t="s">
        <v>201</v>
      </c>
      <c r="DV33" s="3">
        <v>217017.48</v>
      </c>
      <c r="DW33">
        <v>0</v>
      </c>
      <c r="DX33" s="3">
        <v>217017.48</v>
      </c>
      <c r="DY33">
        <v>0</v>
      </c>
      <c r="EG33" s="1">
        <v>46163</v>
      </c>
      <c r="EP33" s="1">
        <v>46163</v>
      </c>
      <c r="ER33" s="1">
        <v>46163</v>
      </c>
      <c r="ES33" t="s">
        <v>517</v>
      </c>
    </row>
    <row r="34" spans="1:153" ht="246.5" x14ac:dyDescent="0.35">
      <c r="A34" t="str">
        <f>HYPERLINK("https://7lm.cvcrm.com.br/gestor/comercial/reservas/7127/administrar","7127")</f>
        <v>7127</v>
      </c>
      <c r="B34" t="s">
        <v>156</v>
      </c>
      <c r="C34" s="1">
        <v>46161</v>
      </c>
      <c r="D34" s="2">
        <v>0.90803240740740743</v>
      </c>
      <c r="E34" t="s">
        <v>294</v>
      </c>
      <c r="F34" t="s">
        <v>216</v>
      </c>
      <c r="G34" t="s">
        <v>159</v>
      </c>
      <c r="H34" t="s">
        <v>306</v>
      </c>
      <c r="I34" t="s">
        <v>518</v>
      </c>
      <c r="J34">
        <v>1</v>
      </c>
      <c r="K34">
        <v>8521</v>
      </c>
      <c r="L34">
        <v>20061</v>
      </c>
      <c r="M34" t="s">
        <v>519</v>
      </c>
      <c r="N34" s="1">
        <v>46163</v>
      </c>
      <c r="O34" s="2">
        <v>0.67899305555555556</v>
      </c>
      <c r="R34" t="str">
        <f>HYPERLINK("https://7lm.cvcrm.com.br/gestor/relatorios/associado/html?q[1|r.idreserva]=7127","PATRICK ROGER AGUIAR ALMIRANTE")</f>
        <v>PATRICK ROGER AGUIAR ALMIRANTE</v>
      </c>
      <c r="S34">
        <v>6377158106</v>
      </c>
      <c r="T34">
        <v>5561990002005</v>
      </c>
      <c r="U34">
        <v>5561995571331</v>
      </c>
      <c r="V34" t="s">
        <v>520</v>
      </c>
      <c r="W34" t="s">
        <v>163</v>
      </c>
      <c r="X34" t="s">
        <v>521</v>
      </c>
      <c r="Y34" t="s">
        <v>165</v>
      </c>
      <c r="Z34" t="s">
        <v>522</v>
      </c>
      <c r="AA34" t="s">
        <v>523</v>
      </c>
      <c r="AB34" t="s">
        <v>524</v>
      </c>
      <c r="AC34" t="s">
        <v>398</v>
      </c>
      <c r="AF34" t="s">
        <v>399</v>
      </c>
      <c r="AG34" t="s">
        <v>195</v>
      </c>
      <c r="AH34" s="3">
        <v>238657.08</v>
      </c>
      <c r="AI34" s="3">
        <v>238657.08</v>
      </c>
      <c r="AJ34" s="1">
        <v>46162</v>
      </c>
      <c r="AN34" t="s">
        <v>172</v>
      </c>
      <c r="AR34" s="7" t="s">
        <v>353</v>
      </c>
      <c r="AT34" t="s">
        <v>196</v>
      </c>
      <c r="AU34" t="s">
        <v>197</v>
      </c>
      <c r="AW34">
        <v>0</v>
      </c>
      <c r="AX34" s="1">
        <v>46168</v>
      </c>
      <c r="AY34" s="2">
        <v>0.65680555555555553</v>
      </c>
      <c r="AZ34">
        <v>214077</v>
      </c>
      <c r="BA34" s="1">
        <v>46160</v>
      </c>
      <c r="BC34" t="s">
        <v>0</v>
      </c>
      <c r="BD34" s="1">
        <v>46161</v>
      </c>
      <c r="BE34" t="s">
        <v>276</v>
      </c>
      <c r="BL34" s="4">
        <v>0</v>
      </c>
      <c r="BM34" s="1">
        <v>46995</v>
      </c>
      <c r="BN34" s="1">
        <v>46168</v>
      </c>
      <c r="BO34">
        <v>0</v>
      </c>
      <c r="BP34">
        <v>32624</v>
      </c>
      <c r="BQ34" t="s">
        <v>156</v>
      </c>
      <c r="BR34" s="3">
        <v>162336.95999999999</v>
      </c>
      <c r="BS34" s="3">
        <v>8950</v>
      </c>
      <c r="BT34">
        <v>0</v>
      </c>
      <c r="BU34" s="3">
        <v>171286.96</v>
      </c>
      <c r="BV34" s="3">
        <v>238657.08</v>
      </c>
      <c r="BX34">
        <v>0</v>
      </c>
      <c r="BZ34">
        <v>0</v>
      </c>
      <c r="CA34">
        <v>0</v>
      </c>
      <c r="CB34">
        <v>0</v>
      </c>
      <c r="CC34" s="3">
        <v>238657.08</v>
      </c>
      <c r="CD34" s="5">
        <v>0</v>
      </c>
      <c r="CF34" s="6">
        <v>46143</v>
      </c>
      <c r="CH34">
        <v>0</v>
      </c>
      <c r="CI34">
        <v>0</v>
      </c>
      <c r="CJ34">
        <v>0</v>
      </c>
      <c r="CK34">
        <v>0</v>
      </c>
      <c r="CL34">
        <v>0</v>
      </c>
      <c r="CM34">
        <v>0</v>
      </c>
      <c r="CN34">
        <v>0</v>
      </c>
      <c r="CO34">
        <v>0</v>
      </c>
      <c r="CP34">
        <v>0</v>
      </c>
      <c r="CQ34">
        <v>0</v>
      </c>
      <c r="CR34">
        <v>0</v>
      </c>
      <c r="CS34" t="s">
        <v>428</v>
      </c>
      <c r="CT34" t="s">
        <v>214</v>
      </c>
      <c r="CU34" t="s">
        <v>518</v>
      </c>
      <c r="CW34">
        <v>-51.2348</v>
      </c>
      <c r="CZ34" s="1">
        <v>46161</v>
      </c>
      <c r="DA34" t="s">
        <v>172</v>
      </c>
      <c r="DB34" t="s">
        <v>172</v>
      </c>
      <c r="DC34" t="s">
        <v>172</v>
      </c>
      <c r="DD34" t="s">
        <v>172</v>
      </c>
      <c r="DG34" s="1">
        <v>46161</v>
      </c>
      <c r="DH34">
        <v>0</v>
      </c>
      <c r="DI34">
        <v>0</v>
      </c>
      <c r="DJ34" s="1">
        <v>46167</v>
      </c>
      <c r="DK34" t="s">
        <v>179</v>
      </c>
      <c r="DL34" t="s">
        <v>224</v>
      </c>
      <c r="DM34" t="s">
        <v>172</v>
      </c>
      <c r="DN34" t="s">
        <v>525</v>
      </c>
      <c r="DV34" s="3">
        <v>238657.08</v>
      </c>
      <c r="DW34">
        <v>0</v>
      </c>
      <c r="DX34" s="3">
        <v>238657.08</v>
      </c>
      <c r="DY34">
        <v>0</v>
      </c>
      <c r="EF34" s="1">
        <v>46168</v>
      </c>
      <c r="EG34" s="1">
        <v>46164</v>
      </c>
      <c r="EK34" s="1">
        <v>46168</v>
      </c>
      <c r="EN34" t="s">
        <v>156</v>
      </c>
      <c r="EP34" s="1">
        <v>46163</v>
      </c>
      <c r="ER34" s="1">
        <v>46163</v>
      </c>
      <c r="ES34" t="s">
        <v>526</v>
      </c>
    </row>
    <row r="35" spans="1:153" ht="246.5" x14ac:dyDescent="0.35">
      <c r="A35" t="str">
        <f>HYPERLINK("https://7lm.cvcrm.com.br/gestor/comercial/reservas/7126/administrar","7126")</f>
        <v>7126</v>
      </c>
      <c r="B35" t="s">
        <v>172</v>
      </c>
      <c r="C35" s="1">
        <v>46161</v>
      </c>
      <c r="D35" s="2">
        <v>0.78366898148148145</v>
      </c>
      <c r="E35" t="s">
        <v>527</v>
      </c>
      <c r="F35" t="s">
        <v>295</v>
      </c>
      <c r="G35" t="s">
        <v>203</v>
      </c>
      <c r="H35" t="s">
        <v>528</v>
      </c>
      <c r="I35" t="s">
        <v>228</v>
      </c>
      <c r="J35">
        <v>1</v>
      </c>
      <c r="L35">
        <v>30031</v>
      </c>
      <c r="M35" t="s">
        <v>529</v>
      </c>
      <c r="R35" t="str">
        <f>HYPERLINK("https://7lm.cvcrm.com.br/gestor/relatorios/associado/html?q[1|r.idreserva]=7126","KAIQUE TEIXEIRA DE SOUZA")</f>
        <v>KAIQUE TEIXEIRA DE SOUZA</v>
      </c>
      <c r="S35">
        <v>12796597695</v>
      </c>
      <c r="T35">
        <v>5538997241971</v>
      </c>
      <c r="U35">
        <v>5561998677659</v>
      </c>
      <c r="V35" t="s">
        <v>530</v>
      </c>
      <c r="W35" t="s">
        <v>163</v>
      </c>
      <c r="X35" t="s">
        <v>531</v>
      </c>
      <c r="Y35" t="s">
        <v>189</v>
      </c>
      <c r="Z35" t="s">
        <v>190</v>
      </c>
      <c r="AA35" t="s">
        <v>532</v>
      </c>
      <c r="AB35" t="s">
        <v>533</v>
      </c>
      <c r="AC35" t="s">
        <v>534</v>
      </c>
      <c r="AF35" t="s">
        <v>303</v>
      </c>
      <c r="AG35" t="s">
        <v>195</v>
      </c>
      <c r="AH35" s="3">
        <v>250000.28</v>
      </c>
      <c r="AI35" s="3">
        <v>250000.28</v>
      </c>
      <c r="AJ35" s="1">
        <v>46188</v>
      </c>
      <c r="AN35" t="s">
        <v>172</v>
      </c>
      <c r="AO35" t="s">
        <v>535</v>
      </c>
      <c r="AR35" s="7" t="s">
        <v>536</v>
      </c>
      <c r="AT35" t="s">
        <v>196</v>
      </c>
      <c r="AU35" t="s">
        <v>292</v>
      </c>
      <c r="AW35">
        <v>0</v>
      </c>
      <c r="AX35" s="1">
        <v>46164</v>
      </c>
      <c r="AY35" s="2">
        <v>0.60129629629629633</v>
      </c>
      <c r="AZ35">
        <v>211805</v>
      </c>
      <c r="BA35" s="1">
        <v>46154</v>
      </c>
      <c r="BC35" t="s">
        <v>0</v>
      </c>
      <c r="BD35" s="1">
        <v>46161</v>
      </c>
      <c r="BE35" t="s">
        <v>276</v>
      </c>
      <c r="BL35" s="4">
        <v>0</v>
      </c>
      <c r="BM35" s="1">
        <v>46604</v>
      </c>
      <c r="BO35">
        <v>0</v>
      </c>
      <c r="BP35">
        <v>32304</v>
      </c>
      <c r="BQ35" t="s">
        <v>156</v>
      </c>
      <c r="BR35" s="3">
        <v>180000</v>
      </c>
      <c r="BS35">
        <v>0</v>
      </c>
      <c r="BT35">
        <v>0</v>
      </c>
      <c r="BU35" s="3">
        <v>180000</v>
      </c>
      <c r="BV35" s="3">
        <v>250000.28</v>
      </c>
      <c r="BX35">
        <v>0</v>
      </c>
      <c r="BZ35">
        <v>0</v>
      </c>
      <c r="CA35">
        <v>0</v>
      </c>
      <c r="CB35">
        <v>0</v>
      </c>
      <c r="CC35" s="3">
        <v>250000.28</v>
      </c>
      <c r="CD35" s="5">
        <v>0</v>
      </c>
      <c r="CF35" s="6">
        <v>46143</v>
      </c>
      <c r="CH35">
        <v>0</v>
      </c>
      <c r="CI35">
        <v>0</v>
      </c>
      <c r="CJ35">
        <v>0</v>
      </c>
      <c r="CK35">
        <v>0</v>
      </c>
      <c r="CL35">
        <v>0</v>
      </c>
      <c r="CM35">
        <v>0</v>
      </c>
      <c r="CN35">
        <v>0</v>
      </c>
      <c r="CO35">
        <v>0</v>
      </c>
      <c r="CP35">
        <v>0</v>
      </c>
      <c r="CQ35">
        <v>0</v>
      </c>
      <c r="CR35">
        <v>0</v>
      </c>
      <c r="CT35" t="s">
        <v>190</v>
      </c>
      <c r="CU35" t="s">
        <v>228</v>
      </c>
      <c r="CW35">
        <v>0</v>
      </c>
      <c r="CZ35" s="1">
        <v>46161</v>
      </c>
      <c r="DA35" t="s">
        <v>172</v>
      </c>
      <c r="DB35" t="s">
        <v>172</v>
      </c>
      <c r="DC35" t="s">
        <v>172</v>
      </c>
      <c r="DD35" t="s">
        <v>172</v>
      </c>
      <c r="DG35" s="1">
        <v>46161</v>
      </c>
      <c r="DH35">
        <v>0</v>
      </c>
      <c r="DI35">
        <v>0</v>
      </c>
      <c r="DL35" t="s">
        <v>200</v>
      </c>
      <c r="DM35" t="s">
        <v>172</v>
      </c>
      <c r="DN35" t="s">
        <v>201</v>
      </c>
      <c r="DP35" s="4">
        <v>1.2E-2</v>
      </c>
      <c r="DV35" s="3">
        <v>250000.28</v>
      </c>
      <c r="DW35">
        <v>0</v>
      </c>
      <c r="DX35" s="3">
        <v>250000.28</v>
      </c>
      <c r="DY35">
        <v>0</v>
      </c>
      <c r="EN35" t="s">
        <v>537</v>
      </c>
      <c r="EU35" s="1">
        <v>46164</v>
      </c>
    </row>
    <row r="36" spans="1:153" ht="246.5" x14ac:dyDescent="0.35">
      <c r="A36" t="str">
        <f>HYPERLINK("https://7lm.cvcrm.com.br/gestor/comercial/reservas/7125/administrar","7125")</f>
        <v>7125</v>
      </c>
      <c r="B36" t="s">
        <v>156</v>
      </c>
      <c r="C36" s="1">
        <v>46161</v>
      </c>
      <c r="D36" s="2">
        <v>0.75280092592592596</v>
      </c>
      <c r="E36" t="s">
        <v>294</v>
      </c>
      <c r="F36" t="s">
        <v>182</v>
      </c>
      <c r="G36" t="s">
        <v>159</v>
      </c>
      <c r="H36" t="s">
        <v>538</v>
      </c>
      <c r="I36" t="s">
        <v>539</v>
      </c>
      <c r="J36">
        <v>1</v>
      </c>
      <c r="K36">
        <v>8499</v>
      </c>
      <c r="L36">
        <v>30151</v>
      </c>
      <c r="M36" t="s">
        <v>540</v>
      </c>
      <c r="N36" s="1">
        <v>46167</v>
      </c>
      <c r="O36" s="2">
        <v>0.59872685185185182</v>
      </c>
      <c r="Q36">
        <v>10021</v>
      </c>
      <c r="R36" t="str">
        <f>HYPERLINK("https://7lm.cvcrm.com.br/gestor/relatorios/associado/html?q[1|r.idreserva]=7125","LEO VINICIUS CREPALDI MIRANDA")</f>
        <v>LEO VINICIUS CREPALDI MIRANDA</v>
      </c>
      <c r="S36">
        <v>71237651174</v>
      </c>
      <c r="T36">
        <v>5561996764275</v>
      </c>
      <c r="U36">
        <v>5561999977570</v>
      </c>
      <c r="V36" t="s">
        <v>541</v>
      </c>
      <c r="W36" t="s">
        <v>163</v>
      </c>
      <c r="X36" t="s">
        <v>376</v>
      </c>
      <c r="Y36" t="s">
        <v>189</v>
      </c>
      <c r="Z36" t="s">
        <v>190</v>
      </c>
      <c r="AA36" t="s">
        <v>542</v>
      </c>
      <c r="AB36" t="s">
        <v>543</v>
      </c>
      <c r="AC36" t="s">
        <v>302</v>
      </c>
      <c r="AD36" t="s">
        <v>302</v>
      </c>
      <c r="AF36" t="s">
        <v>303</v>
      </c>
      <c r="AG36" t="s">
        <v>195</v>
      </c>
      <c r="AH36" s="3">
        <v>244656.04</v>
      </c>
      <c r="AI36" s="3">
        <v>244656.04</v>
      </c>
      <c r="AJ36" s="1">
        <v>46188</v>
      </c>
      <c r="AN36" t="s">
        <v>172</v>
      </c>
      <c r="AR36" s="7" t="s">
        <v>353</v>
      </c>
      <c r="AT36" t="s">
        <v>196</v>
      </c>
      <c r="AU36" t="s">
        <v>292</v>
      </c>
      <c r="AW36">
        <v>0</v>
      </c>
      <c r="AX36" s="1">
        <v>46164</v>
      </c>
      <c r="AY36" s="2">
        <v>0.58877314814814818</v>
      </c>
      <c r="AZ36">
        <v>213500</v>
      </c>
      <c r="BA36" s="1">
        <v>46157</v>
      </c>
      <c r="BC36" t="s">
        <v>0</v>
      </c>
      <c r="BD36" s="1">
        <v>46161</v>
      </c>
      <c r="BE36" t="s">
        <v>276</v>
      </c>
      <c r="BL36" s="4">
        <v>0</v>
      </c>
      <c r="BM36" s="1">
        <v>46899</v>
      </c>
      <c r="BN36" s="1">
        <v>46164</v>
      </c>
      <c r="BO36">
        <v>0</v>
      </c>
      <c r="BP36">
        <v>32558</v>
      </c>
      <c r="BQ36" t="s">
        <v>156</v>
      </c>
      <c r="BR36" s="3">
        <v>130290.85</v>
      </c>
      <c r="BS36" s="3">
        <v>28903</v>
      </c>
      <c r="BT36">
        <v>0</v>
      </c>
      <c r="BU36" s="3">
        <v>159193.85</v>
      </c>
      <c r="BV36" s="3">
        <v>244656.04</v>
      </c>
      <c r="BX36">
        <v>0</v>
      </c>
      <c r="BZ36">
        <v>0</v>
      </c>
      <c r="CA36">
        <v>0</v>
      </c>
      <c r="CB36">
        <v>0</v>
      </c>
      <c r="CC36" s="3">
        <v>244656.04</v>
      </c>
      <c r="CD36" s="5">
        <v>0</v>
      </c>
      <c r="CF36" s="6">
        <v>46143</v>
      </c>
      <c r="CH36">
        <v>0</v>
      </c>
      <c r="CI36">
        <v>0</v>
      </c>
      <c r="CJ36">
        <v>0</v>
      </c>
      <c r="CK36">
        <v>0</v>
      </c>
      <c r="CL36">
        <v>0</v>
      </c>
      <c r="CM36">
        <v>0</v>
      </c>
      <c r="CN36">
        <v>0</v>
      </c>
      <c r="CO36">
        <v>0</v>
      </c>
      <c r="CP36">
        <v>0</v>
      </c>
      <c r="CQ36">
        <v>0</v>
      </c>
      <c r="CR36">
        <v>0</v>
      </c>
      <c r="CS36" t="s">
        <v>360</v>
      </c>
      <c r="CT36" t="s">
        <v>190</v>
      </c>
      <c r="CU36" t="s">
        <v>539</v>
      </c>
      <c r="CW36">
        <v>-49.447200000000002</v>
      </c>
      <c r="CZ36" s="1">
        <v>46161</v>
      </c>
      <c r="DA36" t="s">
        <v>172</v>
      </c>
      <c r="DB36" t="s">
        <v>172</v>
      </c>
      <c r="DC36" t="s">
        <v>172</v>
      </c>
      <c r="DD36" t="s">
        <v>172</v>
      </c>
      <c r="DG36" s="1">
        <v>46161</v>
      </c>
      <c r="DH36">
        <v>0</v>
      </c>
      <c r="DI36">
        <v>0</v>
      </c>
      <c r="DJ36" s="1">
        <v>46164</v>
      </c>
      <c r="DK36" t="s">
        <v>179</v>
      </c>
      <c r="DL36" t="s">
        <v>200</v>
      </c>
      <c r="DM36" t="s">
        <v>172</v>
      </c>
      <c r="DN36" t="s">
        <v>201</v>
      </c>
      <c r="DV36" s="3">
        <v>244656.04</v>
      </c>
      <c r="DW36">
        <v>0</v>
      </c>
      <c r="DX36" s="3">
        <v>244656.04</v>
      </c>
      <c r="DY36">
        <v>0</v>
      </c>
      <c r="EG36" s="1">
        <v>46162</v>
      </c>
      <c r="EN36" t="s">
        <v>156</v>
      </c>
      <c r="EP36" s="1">
        <v>46163</v>
      </c>
      <c r="ER36" s="1">
        <v>46162</v>
      </c>
      <c r="ES36" t="s">
        <v>544</v>
      </c>
      <c r="EU36" s="1">
        <v>46164</v>
      </c>
      <c r="EW36" s="1">
        <v>46161</v>
      </c>
    </row>
    <row r="37" spans="1:153" x14ac:dyDescent="0.35">
      <c r="A37" t="str">
        <f>HYPERLINK("https://7lm.cvcrm.com.br/gestor/comercial/reservas/7124/administrar","7124")</f>
        <v>7124</v>
      </c>
      <c r="B37" t="s">
        <v>156</v>
      </c>
      <c r="C37" s="1">
        <v>46161</v>
      </c>
      <c r="D37" s="2">
        <v>0.73628472222222219</v>
      </c>
      <c r="E37" t="s">
        <v>294</v>
      </c>
      <c r="F37" t="s">
        <v>158</v>
      </c>
      <c r="G37" t="s">
        <v>159</v>
      </c>
      <c r="H37" t="s">
        <v>160</v>
      </c>
      <c r="I37">
        <v>208</v>
      </c>
      <c r="J37">
        <v>1</v>
      </c>
      <c r="K37">
        <v>8493</v>
      </c>
      <c r="L37">
        <v>10001</v>
      </c>
      <c r="M37" t="s">
        <v>545</v>
      </c>
      <c r="N37" s="1">
        <v>46161</v>
      </c>
      <c r="O37" s="2">
        <v>0.74267361111111108</v>
      </c>
      <c r="R37" t="str">
        <f>HYPERLINK("https://7lm.cvcrm.com.br/gestor/relatorios/associado/html?q[1|r.idreserva]=7124","FELIPE RIBEIRO ANDRADE")</f>
        <v>FELIPE RIBEIRO ANDRADE</v>
      </c>
      <c r="S37">
        <v>5826869119</v>
      </c>
      <c r="T37">
        <v>556198124390</v>
      </c>
      <c r="U37">
        <v>556198124390</v>
      </c>
      <c r="V37" t="s">
        <v>546</v>
      </c>
      <c r="W37" t="s">
        <v>163</v>
      </c>
      <c r="X37" t="s">
        <v>547</v>
      </c>
      <c r="Y37" t="s">
        <v>165</v>
      </c>
      <c r="Z37" t="s">
        <v>238</v>
      </c>
      <c r="AA37" t="s">
        <v>548</v>
      </c>
      <c r="AB37" t="s">
        <v>549</v>
      </c>
      <c r="AC37" t="s">
        <v>550</v>
      </c>
      <c r="AD37" t="s">
        <v>551</v>
      </c>
      <c r="AE37" t="s">
        <v>169</v>
      </c>
      <c r="AF37" t="s">
        <v>170</v>
      </c>
      <c r="AG37" t="s">
        <v>552</v>
      </c>
      <c r="AH37" s="3">
        <v>410152.8</v>
      </c>
      <c r="AI37" s="3">
        <v>410152.8</v>
      </c>
      <c r="AJ37" s="1">
        <v>46160</v>
      </c>
      <c r="AN37" t="s">
        <v>172</v>
      </c>
      <c r="AT37" t="s">
        <v>261</v>
      </c>
      <c r="AU37" t="s">
        <v>292</v>
      </c>
      <c r="AW37">
        <v>0</v>
      </c>
      <c r="AX37" s="1">
        <v>46163</v>
      </c>
      <c r="AY37" s="2">
        <v>0.63329861111111108</v>
      </c>
      <c r="AZ37">
        <v>213825</v>
      </c>
      <c r="BA37" s="1">
        <v>46159</v>
      </c>
      <c r="BC37" t="s">
        <v>176</v>
      </c>
      <c r="BD37" s="1">
        <v>46159</v>
      </c>
      <c r="BE37" t="s">
        <v>262</v>
      </c>
      <c r="BL37" s="4">
        <v>0</v>
      </c>
      <c r="BM37" s="1">
        <v>46387</v>
      </c>
      <c r="BN37" s="1">
        <v>46163</v>
      </c>
      <c r="BO37">
        <v>0</v>
      </c>
      <c r="BP37">
        <v>32586</v>
      </c>
      <c r="BQ37" t="s">
        <v>156</v>
      </c>
      <c r="BR37" s="3">
        <v>368834.74</v>
      </c>
      <c r="BS37">
        <v>0</v>
      </c>
      <c r="BT37" s="3">
        <v>18553.54</v>
      </c>
      <c r="BU37" s="3">
        <v>387388.28</v>
      </c>
      <c r="BV37" s="3">
        <v>410152.8</v>
      </c>
      <c r="BX37">
        <v>0</v>
      </c>
      <c r="BZ37">
        <v>0</v>
      </c>
      <c r="CA37">
        <v>0</v>
      </c>
      <c r="CB37">
        <v>0</v>
      </c>
      <c r="CC37" s="3">
        <v>410152.8</v>
      </c>
      <c r="CD37" s="5">
        <v>0</v>
      </c>
      <c r="CF37" s="6">
        <v>46143</v>
      </c>
      <c r="CH37">
        <v>0</v>
      </c>
      <c r="CI37">
        <v>0</v>
      </c>
      <c r="CJ37">
        <v>0</v>
      </c>
      <c r="CK37">
        <v>0</v>
      </c>
      <c r="CL37">
        <v>0</v>
      </c>
      <c r="CM37">
        <v>0</v>
      </c>
      <c r="CN37">
        <v>0</v>
      </c>
      <c r="CO37">
        <v>0</v>
      </c>
      <c r="CP37">
        <v>0</v>
      </c>
      <c r="CQ37">
        <v>0</v>
      </c>
      <c r="CR37">
        <v>0</v>
      </c>
      <c r="CS37" t="s">
        <v>177</v>
      </c>
      <c r="CT37" t="s">
        <v>178</v>
      </c>
      <c r="CU37">
        <v>208</v>
      </c>
      <c r="CW37">
        <v>-72.353499999999997</v>
      </c>
      <c r="CZ37" s="1">
        <v>46161</v>
      </c>
      <c r="DA37" t="s">
        <v>172</v>
      </c>
      <c r="DB37" t="s">
        <v>172</v>
      </c>
      <c r="DC37" t="s">
        <v>172</v>
      </c>
      <c r="DD37" t="s">
        <v>172</v>
      </c>
      <c r="DG37" s="1">
        <v>46161</v>
      </c>
      <c r="DH37">
        <v>0</v>
      </c>
      <c r="DI37">
        <v>0</v>
      </c>
      <c r="DJ37" s="1">
        <v>46163</v>
      </c>
      <c r="DK37" t="s">
        <v>179</v>
      </c>
      <c r="DM37" t="s">
        <v>172</v>
      </c>
      <c r="DN37" t="s">
        <v>553</v>
      </c>
      <c r="DU37" t="s">
        <v>181</v>
      </c>
      <c r="DV37" s="3">
        <v>1073410.1599999999</v>
      </c>
      <c r="DW37">
        <v>-72.349999999999994</v>
      </c>
      <c r="DX37" s="3">
        <v>1073410.1599999999</v>
      </c>
      <c r="DY37">
        <v>-72.349999999999994</v>
      </c>
    </row>
    <row r="38" spans="1:153" x14ac:dyDescent="0.35">
      <c r="A38" t="str">
        <f>HYPERLINK("https://7lm.cvcrm.com.br/gestor/comercial/reservas/7123/administrar","7123")</f>
        <v>7123</v>
      </c>
      <c r="B38" t="s">
        <v>172</v>
      </c>
      <c r="C38" s="1">
        <v>46161</v>
      </c>
      <c r="D38" s="2">
        <v>0.70090277777777776</v>
      </c>
      <c r="E38" t="s">
        <v>157</v>
      </c>
      <c r="F38" t="s">
        <v>295</v>
      </c>
      <c r="G38" t="s">
        <v>203</v>
      </c>
      <c r="H38" t="s">
        <v>319</v>
      </c>
      <c r="I38" t="s">
        <v>554</v>
      </c>
      <c r="J38">
        <v>1</v>
      </c>
      <c r="L38">
        <v>30031</v>
      </c>
      <c r="M38" t="s">
        <v>555</v>
      </c>
      <c r="R38" t="str">
        <f>HYPERLINK("https://7lm.cvcrm.com.br/gestor/relatorios/associado/html?q[1|r.idreserva]=7123","SARA INGRID CASTRO OLIVEIRA")</f>
        <v>SARA INGRID CASTRO OLIVEIRA</v>
      </c>
      <c r="S38">
        <v>9146348107</v>
      </c>
      <c r="T38">
        <v>5562998387284</v>
      </c>
      <c r="U38">
        <v>5562998387284</v>
      </c>
      <c r="V38" t="s">
        <v>556</v>
      </c>
      <c r="W38" t="s">
        <v>187</v>
      </c>
      <c r="X38" t="s">
        <v>557</v>
      </c>
      <c r="Y38" t="s">
        <v>189</v>
      </c>
      <c r="Z38" t="s">
        <v>190</v>
      </c>
      <c r="AA38" t="s">
        <v>558</v>
      </c>
      <c r="AB38" t="s">
        <v>559</v>
      </c>
      <c r="AC38" t="s">
        <v>447</v>
      </c>
      <c r="AD38" t="s">
        <v>447</v>
      </c>
      <c r="AF38" t="s">
        <v>250</v>
      </c>
      <c r="AG38" t="s">
        <v>251</v>
      </c>
      <c r="AH38" s="3">
        <v>246000.05</v>
      </c>
      <c r="AI38" s="3">
        <v>246000.05</v>
      </c>
      <c r="AJ38" s="1">
        <v>46198</v>
      </c>
      <c r="AN38" t="s">
        <v>172</v>
      </c>
      <c r="AR38" t="s">
        <v>560</v>
      </c>
      <c r="AT38" t="s">
        <v>261</v>
      </c>
      <c r="AU38" t="s">
        <v>175</v>
      </c>
      <c r="AW38">
        <v>0</v>
      </c>
      <c r="AX38" s="1">
        <v>46161</v>
      </c>
      <c r="AY38" s="2">
        <v>0.70090277777777776</v>
      </c>
      <c r="AZ38">
        <v>214366</v>
      </c>
      <c r="BA38" s="1">
        <v>46161</v>
      </c>
      <c r="BC38" t="s">
        <v>213</v>
      </c>
      <c r="BD38" s="1">
        <v>46161</v>
      </c>
      <c r="BE38" t="s">
        <v>175</v>
      </c>
      <c r="BL38" s="4">
        <v>0</v>
      </c>
      <c r="BM38" s="1">
        <v>46604</v>
      </c>
      <c r="BO38">
        <v>0</v>
      </c>
      <c r="BP38">
        <v>32699</v>
      </c>
      <c r="BQ38" t="s">
        <v>156</v>
      </c>
      <c r="BR38">
        <v>0</v>
      </c>
      <c r="BS38">
        <v>0</v>
      </c>
      <c r="BT38">
        <v>0</v>
      </c>
      <c r="BU38">
        <v>0</v>
      </c>
      <c r="BV38" s="3">
        <v>246000.05</v>
      </c>
      <c r="BX38">
        <v>0</v>
      </c>
      <c r="BZ38">
        <v>0</v>
      </c>
      <c r="CA38">
        <v>0</v>
      </c>
      <c r="CB38">
        <v>0</v>
      </c>
      <c r="CC38" s="3">
        <v>246000.05</v>
      </c>
      <c r="CD38" s="5">
        <v>0</v>
      </c>
      <c r="CF38" s="6">
        <v>46143</v>
      </c>
      <c r="CH38">
        <v>0</v>
      </c>
      <c r="CI38">
        <v>0</v>
      </c>
      <c r="CJ38">
        <v>0</v>
      </c>
      <c r="CK38">
        <v>0</v>
      </c>
      <c r="CL38">
        <v>0</v>
      </c>
      <c r="CM38">
        <v>0</v>
      </c>
      <c r="CN38">
        <v>0</v>
      </c>
      <c r="CO38">
        <v>0</v>
      </c>
      <c r="CP38">
        <v>0</v>
      </c>
      <c r="CQ38">
        <v>0</v>
      </c>
      <c r="CR38">
        <v>0</v>
      </c>
      <c r="CT38" t="s">
        <v>190</v>
      </c>
      <c r="CU38" t="s">
        <v>554</v>
      </c>
      <c r="CW38">
        <v>0</v>
      </c>
      <c r="CZ38" s="1">
        <v>46161</v>
      </c>
      <c r="DA38" t="s">
        <v>172</v>
      </c>
      <c r="DB38" t="s">
        <v>172</v>
      </c>
      <c r="DC38" t="s">
        <v>172</v>
      </c>
      <c r="DD38" t="s">
        <v>172</v>
      </c>
      <c r="DG38" s="1">
        <v>46161</v>
      </c>
      <c r="DH38">
        <v>0</v>
      </c>
      <c r="DI38">
        <v>0</v>
      </c>
      <c r="DL38" t="s">
        <v>200</v>
      </c>
      <c r="DM38" t="s">
        <v>172</v>
      </c>
      <c r="DN38" t="s">
        <v>201</v>
      </c>
      <c r="DV38" s="3">
        <v>246000.05</v>
      </c>
      <c r="DW38">
        <v>0</v>
      </c>
      <c r="DX38" s="3">
        <v>246000.05</v>
      </c>
      <c r="DY38">
        <v>0</v>
      </c>
      <c r="EN38" t="s">
        <v>537</v>
      </c>
      <c r="ET38" t="s">
        <v>561</v>
      </c>
      <c r="EW38" s="1">
        <v>46161</v>
      </c>
    </row>
    <row r="39" spans="1:153" x14ac:dyDescent="0.35">
      <c r="A39" t="str">
        <f>HYPERLINK("https://7lm.cvcrm.com.br/gestor/comercial/reservas/7122/administrar","7122")</f>
        <v>7122</v>
      </c>
      <c r="B39" t="s">
        <v>156</v>
      </c>
      <c r="C39" s="1">
        <v>46161</v>
      </c>
      <c r="D39" s="2">
        <v>0.50033564814814813</v>
      </c>
      <c r="E39" t="s">
        <v>294</v>
      </c>
      <c r="F39" t="s">
        <v>295</v>
      </c>
      <c r="G39" t="s">
        <v>203</v>
      </c>
      <c r="H39" t="s">
        <v>217</v>
      </c>
      <c r="I39" t="s">
        <v>562</v>
      </c>
      <c r="J39">
        <v>1</v>
      </c>
      <c r="K39">
        <v>8518</v>
      </c>
      <c r="L39">
        <v>30031</v>
      </c>
      <c r="M39" t="s">
        <v>563</v>
      </c>
      <c r="N39" s="1">
        <v>46169</v>
      </c>
      <c r="O39" s="2">
        <v>0.67962962962962958</v>
      </c>
      <c r="Q39">
        <v>10033</v>
      </c>
      <c r="R39" t="str">
        <f>HYPERLINK("https://7lm.cvcrm.com.br/gestor/relatorios/associado/html?q[1|r.idreserva]=7122","BRUNA PEREIRA MENDES")</f>
        <v>BRUNA PEREIRA MENDES</v>
      </c>
      <c r="S39">
        <v>5667357178</v>
      </c>
      <c r="T39">
        <v>5561996289298</v>
      </c>
      <c r="U39">
        <v>5561998821357</v>
      </c>
      <c r="V39" t="s">
        <v>564</v>
      </c>
      <c r="W39" t="s">
        <v>187</v>
      </c>
      <c r="Y39" t="s">
        <v>165</v>
      </c>
      <c r="Z39" t="s">
        <v>565</v>
      </c>
      <c r="AA39" t="s">
        <v>566</v>
      </c>
      <c r="AB39" t="s">
        <v>567</v>
      </c>
      <c r="AC39" t="s">
        <v>568</v>
      </c>
      <c r="AF39" t="s">
        <v>389</v>
      </c>
      <c r="AG39" t="s">
        <v>251</v>
      </c>
      <c r="AH39" s="3">
        <v>239964.65</v>
      </c>
      <c r="AI39" s="3">
        <v>239964.65</v>
      </c>
      <c r="AJ39" s="1">
        <v>46228</v>
      </c>
      <c r="AN39" t="s">
        <v>172</v>
      </c>
      <c r="AR39" t="s">
        <v>569</v>
      </c>
      <c r="AT39" t="s">
        <v>261</v>
      </c>
      <c r="AU39" t="s">
        <v>316</v>
      </c>
      <c r="AW39">
        <v>0</v>
      </c>
      <c r="AX39" s="1">
        <v>46168</v>
      </c>
      <c r="AY39" s="2">
        <v>0.6517708333333333</v>
      </c>
      <c r="AZ39">
        <v>212938</v>
      </c>
      <c r="BA39" s="1">
        <v>46155</v>
      </c>
      <c r="BC39" t="s">
        <v>0</v>
      </c>
      <c r="BD39" s="1">
        <v>46161</v>
      </c>
      <c r="BE39" t="s">
        <v>317</v>
      </c>
      <c r="BL39" s="4">
        <v>0</v>
      </c>
      <c r="BM39" s="1">
        <v>46604</v>
      </c>
      <c r="BN39" s="1">
        <v>46168</v>
      </c>
      <c r="BO39">
        <v>0</v>
      </c>
      <c r="BP39">
        <v>32515</v>
      </c>
      <c r="BQ39" t="s">
        <v>156</v>
      </c>
      <c r="BR39" s="3">
        <v>137185.82999999999</v>
      </c>
      <c r="BS39" s="3">
        <v>19490</v>
      </c>
      <c r="BT39">
        <v>0</v>
      </c>
      <c r="BU39" s="3">
        <v>156675.82999999999</v>
      </c>
      <c r="BV39" s="3">
        <v>239964.65</v>
      </c>
      <c r="BX39">
        <v>0</v>
      </c>
      <c r="BZ39">
        <v>0</v>
      </c>
      <c r="CA39">
        <v>0</v>
      </c>
      <c r="CB39">
        <v>0</v>
      </c>
      <c r="CC39" s="3">
        <v>239964.65</v>
      </c>
      <c r="CD39" s="5">
        <v>0</v>
      </c>
      <c r="CF39" s="6">
        <v>46143</v>
      </c>
      <c r="CH39">
        <v>0</v>
      </c>
      <c r="CI39">
        <v>0</v>
      </c>
      <c r="CJ39">
        <v>0</v>
      </c>
      <c r="CK39">
        <v>0</v>
      </c>
      <c r="CL39">
        <v>0</v>
      </c>
      <c r="CM39">
        <v>0</v>
      </c>
      <c r="CN39">
        <v>0</v>
      </c>
      <c r="CO39">
        <v>0</v>
      </c>
      <c r="CP39">
        <v>0</v>
      </c>
      <c r="CQ39">
        <v>0</v>
      </c>
      <c r="CR39">
        <v>0</v>
      </c>
      <c r="CS39" t="s">
        <v>360</v>
      </c>
      <c r="CT39" t="s">
        <v>190</v>
      </c>
      <c r="CU39" t="s">
        <v>562</v>
      </c>
      <c r="CW39">
        <v>-47.906799999999997</v>
      </c>
      <c r="CZ39" s="1">
        <v>46161</v>
      </c>
      <c r="DA39" t="s">
        <v>172</v>
      </c>
      <c r="DB39" t="s">
        <v>172</v>
      </c>
      <c r="DC39" t="s">
        <v>172</v>
      </c>
      <c r="DD39" t="s">
        <v>172</v>
      </c>
      <c r="DG39" s="1">
        <v>46161</v>
      </c>
      <c r="DH39">
        <v>0</v>
      </c>
      <c r="DI39">
        <v>0</v>
      </c>
      <c r="DJ39" s="1">
        <v>46168</v>
      </c>
      <c r="DL39" t="s">
        <v>200</v>
      </c>
      <c r="DM39" t="s">
        <v>172</v>
      </c>
      <c r="DN39" t="s">
        <v>201</v>
      </c>
      <c r="DV39" s="3">
        <v>239964.65</v>
      </c>
      <c r="DW39">
        <v>0</v>
      </c>
      <c r="DX39" s="3">
        <v>239964.65</v>
      </c>
      <c r="DY39">
        <v>0</v>
      </c>
      <c r="EG39" s="1">
        <v>46167</v>
      </c>
      <c r="EM39" s="1">
        <v>46167</v>
      </c>
      <c r="EN39" t="s">
        <v>156</v>
      </c>
      <c r="EP39" s="1">
        <v>46164</v>
      </c>
      <c r="ET39" t="s">
        <v>570</v>
      </c>
      <c r="EU39" s="1">
        <v>46164</v>
      </c>
      <c r="EW39" s="1">
        <v>46162</v>
      </c>
    </row>
    <row r="40" spans="1:153" x14ac:dyDescent="0.35">
      <c r="A40" t="str">
        <f>HYPERLINK("https://7lm.cvcrm.com.br/gestor/comercial/reservas/7121/administrar","7121")</f>
        <v>7121</v>
      </c>
      <c r="B40" t="s">
        <v>156</v>
      </c>
      <c r="C40" s="1">
        <v>46160</v>
      </c>
      <c r="D40" s="2">
        <v>0.75983796296296291</v>
      </c>
      <c r="E40" t="s">
        <v>294</v>
      </c>
      <c r="F40" t="s">
        <v>202</v>
      </c>
      <c r="G40" t="s">
        <v>203</v>
      </c>
      <c r="H40" t="s">
        <v>513</v>
      </c>
      <c r="I40" t="s">
        <v>571</v>
      </c>
      <c r="J40">
        <v>1</v>
      </c>
      <c r="K40">
        <v>8497</v>
      </c>
      <c r="L40">
        <v>20031</v>
      </c>
      <c r="M40" t="s">
        <v>572</v>
      </c>
      <c r="N40" s="1">
        <v>46164</v>
      </c>
      <c r="O40" s="2">
        <v>0.69679398148148153</v>
      </c>
      <c r="Q40">
        <v>10019</v>
      </c>
      <c r="R40" t="str">
        <f>HYPERLINK("https://7lm.cvcrm.com.br/gestor/relatorios/associado/html?q[1|r.idreserva]=7121","JOSEILDO MOREIRA SILVA")</f>
        <v>JOSEILDO MOREIRA SILVA</v>
      </c>
      <c r="S40">
        <v>85130133234</v>
      </c>
      <c r="T40">
        <v>5562995218065</v>
      </c>
      <c r="U40">
        <v>556195184010</v>
      </c>
      <c r="V40" t="s">
        <v>573</v>
      </c>
      <c r="W40" t="s">
        <v>163</v>
      </c>
      <c r="X40" t="s">
        <v>574</v>
      </c>
      <c r="Y40" t="s">
        <v>165</v>
      </c>
      <c r="Z40" t="s">
        <v>575</v>
      </c>
      <c r="AA40" t="s">
        <v>576</v>
      </c>
      <c r="AB40" t="s">
        <v>577</v>
      </c>
      <c r="AC40" t="s">
        <v>314</v>
      </c>
      <c r="AF40" t="s">
        <v>315</v>
      </c>
      <c r="AG40" t="s">
        <v>195</v>
      </c>
      <c r="AH40" s="3">
        <v>219980.3</v>
      </c>
      <c r="AI40" s="3">
        <v>219980.3</v>
      </c>
      <c r="AJ40" s="1">
        <v>46218</v>
      </c>
      <c r="AN40" t="s">
        <v>172</v>
      </c>
      <c r="AR40" t="s">
        <v>578</v>
      </c>
      <c r="AT40" t="s">
        <v>261</v>
      </c>
      <c r="AU40" t="s">
        <v>316</v>
      </c>
      <c r="AW40">
        <v>0</v>
      </c>
      <c r="AX40" s="1">
        <v>46164</v>
      </c>
      <c r="AY40" s="2">
        <v>0.58027777777777778</v>
      </c>
      <c r="AZ40" t="s">
        <v>579</v>
      </c>
      <c r="BA40" t="s">
        <v>580</v>
      </c>
      <c r="BB40" t="s">
        <v>356</v>
      </c>
      <c r="BC40" t="s">
        <v>485</v>
      </c>
      <c r="BD40" t="s">
        <v>580</v>
      </c>
      <c r="BE40" t="s">
        <v>581</v>
      </c>
      <c r="BL40" s="4">
        <v>0</v>
      </c>
      <c r="BM40" s="1">
        <v>46808</v>
      </c>
      <c r="BN40" s="1">
        <v>46164</v>
      </c>
      <c r="BO40">
        <v>0</v>
      </c>
      <c r="BP40">
        <v>32593</v>
      </c>
      <c r="BQ40" t="s">
        <v>156</v>
      </c>
      <c r="BR40" s="3">
        <v>145020.75</v>
      </c>
      <c r="BS40" s="3">
        <v>18419</v>
      </c>
      <c r="BT40">
        <v>0</v>
      </c>
      <c r="BU40" s="3">
        <v>163439.75</v>
      </c>
      <c r="BV40" s="3">
        <v>219980.3</v>
      </c>
      <c r="BX40">
        <v>0</v>
      </c>
      <c r="BZ40">
        <v>0</v>
      </c>
      <c r="CA40">
        <v>0</v>
      </c>
      <c r="CB40">
        <v>0</v>
      </c>
      <c r="CC40" s="3">
        <v>219980.3</v>
      </c>
      <c r="CD40" s="5">
        <v>0</v>
      </c>
      <c r="CF40" s="6">
        <v>46143</v>
      </c>
      <c r="CH40">
        <v>0</v>
      </c>
      <c r="CI40">
        <v>0</v>
      </c>
      <c r="CJ40">
        <v>0</v>
      </c>
      <c r="CK40">
        <v>0</v>
      </c>
      <c r="CL40">
        <v>0</v>
      </c>
      <c r="CM40">
        <v>0</v>
      </c>
      <c r="CN40">
        <v>0</v>
      </c>
      <c r="CO40">
        <v>0</v>
      </c>
      <c r="CP40">
        <v>0</v>
      </c>
      <c r="CQ40">
        <v>0</v>
      </c>
      <c r="CR40">
        <v>0</v>
      </c>
      <c r="CS40" t="s">
        <v>360</v>
      </c>
      <c r="CT40" t="s">
        <v>214</v>
      </c>
      <c r="CU40" t="s">
        <v>571</v>
      </c>
      <c r="CW40">
        <v>-52.658799999999999</v>
      </c>
      <c r="CZ40" s="1">
        <v>46160</v>
      </c>
      <c r="DA40" t="s">
        <v>172</v>
      </c>
      <c r="DB40" t="s">
        <v>172</v>
      </c>
      <c r="DC40" t="s">
        <v>172</v>
      </c>
      <c r="DD40" t="s">
        <v>172</v>
      </c>
      <c r="DG40" s="1">
        <v>46160</v>
      </c>
      <c r="DH40">
        <v>0</v>
      </c>
      <c r="DI40">
        <v>0</v>
      </c>
      <c r="DJ40" s="1">
        <v>46164</v>
      </c>
      <c r="DM40" t="s">
        <v>172</v>
      </c>
      <c r="DN40" t="s">
        <v>201</v>
      </c>
      <c r="DV40" s="3">
        <v>219980.3</v>
      </c>
      <c r="DW40">
        <v>0</v>
      </c>
      <c r="DX40" s="3">
        <v>219980.3</v>
      </c>
      <c r="DY40">
        <v>0</v>
      </c>
      <c r="EG40" s="1">
        <v>46162</v>
      </c>
      <c r="EN40" t="s">
        <v>156</v>
      </c>
      <c r="EP40" s="1">
        <v>46163</v>
      </c>
      <c r="ER40" s="1">
        <v>46163</v>
      </c>
      <c r="ES40" t="s">
        <v>582</v>
      </c>
      <c r="EW40" s="1">
        <v>46160</v>
      </c>
    </row>
    <row r="41" spans="1:153" ht="246.5" x14ac:dyDescent="0.35">
      <c r="A41" t="str">
        <f>HYPERLINK("https://7lm.cvcrm.com.br/gestor/comercial/reservas/7120/administrar","7120")</f>
        <v>7120</v>
      </c>
      <c r="B41" t="s">
        <v>156</v>
      </c>
      <c r="C41" s="1">
        <v>46160</v>
      </c>
      <c r="D41" s="2">
        <v>0.75112268518518521</v>
      </c>
      <c r="E41" t="s">
        <v>294</v>
      </c>
      <c r="F41" t="s">
        <v>182</v>
      </c>
      <c r="G41" t="s">
        <v>159</v>
      </c>
      <c r="H41" t="s">
        <v>345</v>
      </c>
      <c r="I41" t="s">
        <v>583</v>
      </c>
      <c r="J41">
        <v>1</v>
      </c>
      <c r="K41">
        <v>8519</v>
      </c>
      <c r="L41">
        <v>30151</v>
      </c>
      <c r="M41" t="s">
        <v>584</v>
      </c>
      <c r="N41" s="1">
        <v>46167</v>
      </c>
      <c r="O41" s="2">
        <v>0.67997685185185186</v>
      </c>
      <c r="Q41">
        <v>10034</v>
      </c>
      <c r="R41" t="str">
        <f>HYPERLINK("https://7lm.cvcrm.com.br/gestor/relatorios/associado/html?q[1|r.idreserva]=7120","ELY DOS REIS CAMPOS SANTOS")</f>
        <v>ELY DOS REIS CAMPOS SANTOS</v>
      </c>
      <c r="S41">
        <v>12397195666</v>
      </c>
      <c r="T41">
        <v>553899643884</v>
      </c>
      <c r="U41">
        <v>553899643948</v>
      </c>
      <c r="V41" t="s">
        <v>585</v>
      </c>
      <c r="W41" t="s">
        <v>163</v>
      </c>
      <c r="X41" t="s">
        <v>586</v>
      </c>
      <c r="Y41" t="s">
        <v>189</v>
      </c>
      <c r="Z41" t="s">
        <v>190</v>
      </c>
      <c r="AA41" t="s">
        <v>587</v>
      </c>
      <c r="AB41" t="s">
        <v>588</v>
      </c>
      <c r="AC41" t="s">
        <v>589</v>
      </c>
      <c r="AF41" t="s">
        <v>194</v>
      </c>
      <c r="AG41" t="s">
        <v>251</v>
      </c>
      <c r="AH41" s="3">
        <v>240658.08</v>
      </c>
      <c r="AI41" s="3">
        <v>240658.08</v>
      </c>
      <c r="AJ41" s="1">
        <v>46218</v>
      </c>
      <c r="AN41" t="s">
        <v>172</v>
      </c>
      <c r="AR41" s="7" t="s">
        <v>353</v>
      </c>
      <c r="AT41" t="s">
        <v>196</v>
      </c>
      <c r="AU41" t="s">
        <v>590</v>
      </c>
      <c r="AW41">
        <v>0</v>
      </c>
      <c r="AX41" s="1">
        <v>46168</v>
      </c>
      <c r="AY41" s="2">
        <v>0.65408564814814818</v>
      </c>
      <c r="AZ41">
        <v>174996</v>
      </c>
      <c r="BA41" s="1">
        <v>45968</v>
      </c>
      <c r="BC41" t="s">
        <v>0</v>
      </c>
      <c r="BD41" s="1">
        <v>45972</v>
      </c>
      <c r="BE41" t="s">
        <v>198</v>
      </c>
      <c r="BL41" s="4">
        <v>0</v>
      </c>
      <c r="BM41" s="1">
        <v>46899</v>
      </c>
      <c r="BN41" s="1">
        <v>46168</v>
      </c>
      <c r="BO41">
        <v>0</v>
      </c>
      <c r="BP41">
        <v>32599</v>
      </c>
      <c r="BQ41" t="s">
        <v>156</v>
      </c>
      <c r="BR41" s="3">
        <v>145303.34</v>
      </c>
      <c r="BS41" s="3">
        <v>18681</v>
      </c>
      <c r="BT41">
        <v>0</v>
      </c>
      <c r="BU41" s="3">
        <v>163984.34</v>
      </c>
      <c r="BV41" s="3">
        <v>240658.08</v>
      </c>
      <c r="BX41">
        <v>0</v>
      </c>
      <c r="BZ41">
        <v>0</v>
      </c>
      <c r="CA41">
        <v>0</v>
      </c>
      <c r="CB41">
        <v>0</v>
      </c>
      <c r="CC41" s="3">
        <v>240658.08</v>
      </c>
      <c r="CD41" s="5">
        <v>0</v>
      </c>
      <c r="CF41" s="6">
        <v>46143</v>
      </c>
      <c r="CH41">
        <v>0</v>
      </c>
      <c r="CI41">
        <v>0</v>
      </c>
      <c r="CJ41">
        <v>0</v>
      </c>
      <c r="CK41">
        <v>0</v>
      </c>
      <c r="CL41">
        <v>0</v>
      </c>
      <c r="CM41">
        <v>0</v>
      </c>
      <c r="CN41">
        <v>0</v>
      </c>
      <c r="CO41">
        <v>0</v>
      </c>
      <c r="CP41">
        <v>0</v>
      </c>
      <c r="CQ41">
        <v>0</v>
      </c>
      <c r="CR41">
        <v>0</v>
      </c>
      <c r="CS41" t="s">
        <v>360</v>
      </c>
      <c r="CT41" t="s">
        <v>190</v>
      </c>
      <c r="CU41" t="s">
        <v>583</v>
      </c>
      <c r="CW41">
        <v>-51.570700000000002</v>
      </c>
      <c r="CZ41" s="1">
        <v>46160</v>
      </c>
      <c r="DA41" t="s">
        <v>172</v>
      </c>
      <c r="DB41" t="s">
        <v>172</v>
      </c>
      <c r="DC41" t="s">
        <v>172</v>
      </c>
      <c r="DD41" t="s">
        <v>172</v>
      </c>
      <c r="DG41" s="1">
        <v>46160</v>
      </c>
      <c r="DH41">
        <v>0</v>
      </c>
      <c r="DI41">
        <v>0</v>
      </c>
      <c r="DJ41" s="1">
        <v>46168</v>
      </c>
      <c r="DK41" t="s">
        <v>179</v>
      </c>
      <c r="DL41" t="s">
        <v>200</v>
      </c>
      <c r="DM41" t="s">
        <v>172</v>
      </c>
      <c r="DN41" t="s">
        <v>201</v>
      </c>
      <c r="DV41" s="3">
        <v>240658.08</v>
      </c>
      <c r="DW41">
        <v>0</v>
      </c>
      <c r="DX41" s="3">
        <v>240658.08</v>
      </c>
      <c r="DY41">
        <v>0</v>
      </c>
      <c r="EF41" s="1">
        <v>46167</v>
      </c>
      <c r="EG41" s="1">
        <v>46163</v>
      </c>
      <c r="EK41" s="1">
        <v>46167</v>
      </c>
      <c r="EL41" s="1">
        <v>46167</v>
      </c>
      <c r="EN41" t="s">
        <v>156</v>
      </c>
      <c r="EP41" s="1">
        <v>46168</v>
      </c>
      <c r="ER41" s="1">
        <v>46167</v>
      </c>
      <c r="ES41" t="s">
        <v>591</v>
      </c>
    </row>
    <row r="42" spans="1:153" ht="246.5" x14ac:dyDescent="0.35">
      <c r="A42" t="str">
        <f>HYPERLINK("https://7lm.cvcrm.com.br/gestor/comercial/reservas/7119/administrar","7119")</f>
        <v>7119</v>
      </c>
      <c r="B42" t="s">
        <v>156</v>
      </c>
      <c r="C42" s="1">
        <v>46160</v>
      </c>
      <c r="D42" s="2">
        <v>0.71327546296296296</v>
      </c>
      <c r="E42" t="s">
        <v>294</v>
      </c>
      <c r="F42" t="s">
        <v>182</v>
      </c>
      <c r="G42" t="s">
        <v>159</v>
      </c>
      <c r="H42" t="s">
        <v>592</v>
      </c>
      <c r="I42" t="s">
        <v>593</v>
      </c>
      <c r="J42">
        <v>1</v>
      </c>
      <c r="K42">
        <v>8551</v>
      </c>
      <c r="L42">
        <v>30151</v>
      </c>
      <c r="M42" t="s">
        <v>594</v>
      </c>
      <c r="N42" s="1">
        <v>46167</v>
      </c>
      <c r="O42" s="2">
        <v>0.52413194444444444</v>
      </c>
      <c r="Q42">
        <v>10051</v>
      </c>
      <c r="R42" t="str">
        <f>HYPERLINK("https://7lm.cvcrm.com.br/gestor/relatorios/associado/html?q[1|r.idreserva]=7119","JOAO LUCAS NUNES DA SILVA")</f>
        <v>JOAO LUCAS NUNES DA SILVA</v>
      </c>
      <c r="S42">
        <v>7299899175</v>
      </c>
      <c r="T42">
        <v>5561998752614</v>
      </c>
      <c r="U42">
        <v>5561998335115</v>
      </c>
      <c r="V42" t="s">
        <v>595</v>
      </c>
      <c r="W42" t="s">
        <v>163</v>
      </c>
      <c r="X42" t="s">
        <v>366</v>
      </c>
      <c r="Y42" t="s">
        <v>189</v>
      </c>
      <c r="Z42" t="s">
        <v>190</v>
      </c>
      <c r="AA42" t="s">
        <v>596</v>
      </c>
      <c r="AB42" t="s">
        <v>597</v>
      </c>
      <c r="AC42" t="s">
        <v>598</v>
      </c>
      <c r="AD42" t="s">
        <v>598</v>
      </c>
      <c r="AF42" t="s">
        <v>250</v>
      </c>
      <c r="AG42" t="s">
        <v>251</v>
      </c>
      <c r="AH42" s="3">
        <v>246000.68</v>
      </c>
      <c r="AI42" s="3">
        <v>246000.68</v>
      </c>
      <c r="AJ42" s="1">
        <v>46188</v>
      </c>
      <c r="AN42" t="s">
        <v>172</v>
      </c>
      <c r="AR42" s="7" t="s">
        <v>353</v>
      </c>
      <c r="AT42" t="s">
        <v>173</v>
      </c>
      <c r="AU42" t="s">
        <v>175</v>
      </c>
      <c r="AW42">
        <v>0</v>
      </c>
      <c r="AX42" s="1">
        <v>46170</v>
      </c>
      <c r="AY42" s="2">
        <v>0.50667824074074075</v>
      </c>
      <c r="AZ42">
        <v>214074</v>
      </c>
      <c r="BA42" s="1">
        <v>46160</v>
      </c>
      <c r="BC42" t="s">
        <v>213</v>
      </c>
      <c r="BD42" s="1">
        <v>46160</v>
      </c>
      <c r="BE42" t="s">
        <v>175</v>
      </c>
      <c r="BL42" s="4">
        <v>0</v>
      </c>
      <c r="BM42" s="1">
        <v>46899</v>
      </c>
      <c r="BN42" s="1">
        <v>46170</v>
      </c>
      <c r="BO42">
        <v>0</v>
      </c>
      <c r="BP42">
        <v>32623</v>
      </c>
      <c r="BQ42" t="s">
        <v>156</v>
      </c>
      <c r="BR42">
        <v>0</v>
      </c>
      <c r="BS42">
        <v>0</v>
      </c>
      <c r="BT42">
        <v>0</v>
      </c>
      <c r="BU42">
        <v>0</v>
      </c>
      <c r="BV42" s="3">
        <v>246000.68</v>
      </c>
      <c r="BX42">
        <v>0</v>
      </c>
      <c r="BZ42">
        <v>0</v>
      </c>
      <c r="CA42">
        <v>0</v>
      </c>
      <c r="CB42">
        <v>0</v>
      </c>
      <c r="CC42" s="3">
        <v>246000.68</v>
      </c>
      <c r="CD42" s="5">
        <v>0</v>
      </c>
      <c r="CF42" s="6">
        <v>46143</v>
      </c>
      <c r="CH42">
        <v>0</v>
      </c>
      <c r="CI42">
        <v>0</v>
      </c>
      <c r="CJ42">
        <v>0</v>
      </c>
      <c r="CK42">
        <v>0</v>
      </c>
      <c r="CL42">
        <v>0</v>
      </c>
      <c r="CM42">
        <v>0</v>
      </c>
      <c r="CN42">
        <v>0</v>
      </c>
      <c r="CO42">
        <v>0</v>
      </c>
      <c r="CP42">
        <v>0</v>
      </c>
      <c r="CQ42">
        <v>0</v>
      </c>
      <c r="CR42">
        <v>0</v>
      </c>
      <c r="CS42" t="s">
        <v>599</v>
      </c>
      <c r="CT42" t="s">
        <v>190</v>
      </c>
      <c r="CU42" t="s">
        <v>593</v>
      </c>
      <c r="CW42">
        <v>-53.793999999999997</v>
      </c>
      <c r="CZ42" s="1">
        <v>46160</v>
      </c>
      <c r="DA42" t="s">
        <v>172</v>
      </c>
      <c r="DB42" t="s">
        <v>172</v>
      </c>
      <c r="DC42" t="s">
        <v>172</v>
      </c>
      <c r="DD42" t="s">
        <v>172</v>
      </c>
      <c r="DG42" s="1">
        <v>46160</v>
      </c>
      <c r="DH42">
        <v>0</v>
      </c>
      <c r="DI42">
        <v>0</v>
      </c>
      <c r="DJ42" s="1">
        <v>46170</v>
      </c>
      <c r="DK42" t="s">
        <v>179</v>
      </c>
      <c r="DL42" t="s">
        <v>200</v>
      </c>
      <c r="DM42" t="s">
        <v>172</v>
      </c>
      <c r="DN42" t="s">
        <v>225</v>
      </c>
      <c r="DV42" s="3">
        <v>246000.68</v>
      </c>
      <c r="DW42">
        <v>0</v>
      </c>
      <c r="DX42" s="3">
        <v>246000.68</v>
      </c>
      <c r="DY42">
        <v>0</v>
      </c>
      <c r="EG42" s="1">
        <v>46167</v>
      </c>
      <c r="EL42" s="1">
        <v>46169</v>
      </c>
      <c r="EN42" t="s">
        <v>156</v>
      </c>
      <c r="EP42" s="1">
        <v>46169</v>
      </c>
      <c r="ER42" s="1">
        <v>46168</v>
      </c>
      <c r="ES42" t="s">
        <v>600</v>
      </c>
      <c r="EU42" s="1">
        <v>46195</v>
      </c>
      <c r="EV42" s="1">
        <v>46169</v>
      </c>
    </row>
    <row r="43" spans="1:153" ht="246.5" x14ac:dyDescent="0.35">
      <c r="A43" t="str">
        <f>HYPERLINK("https://7lm.cvcrm.com.br/gestor/comercial/reservas/7118/administrar","7118")</f>
        <v>7118</v>
      </c>
      <c r="B43" t="s">
        <v>156</v>
      </c>
      <c r="C43" s="1">
        <v>46160</v>
      </c>
      <c r="D43" s="2">
        <v>0.68001157407407409</v>
      </c>
      <c r="E43" t="s">
        <v>294</v>
      </c>
      <c r="F43" t="s">
        <v>182</v>
      </c>
      <c r="G43" t="s">
        <v>159</v>
      </c>
      <c r="H43" t="s">
        <v>592</v>
      </c>
      <c r="I43" t="s">
        <v>601</v>
      </c>
      <c r="J43">
        <v>1</v>
      </c>
      <c r="K43">
        <v>8522</v>
      </c>
      <c r="L43">
        <v>30151</v>
      </c>
      <c r="M43" t="s">
        <v>602</v>
      </c>
      <c r="N43" s="1">
        <v>46167</v>
      </c>
      <c r="O43" s="2">
        <v>0.59349537037037037</v>
      </c>
      <c r="Q43">
        <v>10036</v>
      </c>
      <c r="R43" t="str">
        <f>HYPERLINK("https://7lm.cvcrm.com.br/gestor/relatorios/associado/html?q[1|r.idreserva]=7118","PABLO  DE OLIVEIRA SILVA")</f>
        <v>PABLO  DE OLIVEIRA SILVA</v>
      </c>
      <c r="S43">
        <v>3256787150</v>
      </c>
      <c r="T43">
        <v>556292768936</v>
      </c>
      <c r="U43">
        <v>5561999063522</v>
      </c>
      <c r="V43" t="s">
        <v>603</v>
      </c>
      <c r="W43" t="s">
        <v>163</v>
      </c>
      <c r="X43" t="s">
        <v>604</v>
      </c>
      <c r="Y43" t="s">
        <v>189</v>
      </c>
      <c r="Z43" t="s">
        <v>190</v>
      </c>
      <c r="AA43" t="s">
        <v>605</v>
      </c>
      <c r="AB43" t="s">
        <v>606</v>
      </c>
      <c r="AC43" t="s">
        <v>589</v>
      </c>
      <c r="AF43" t="s">
        <v>194</v>
      </c>
      <c r="AG43" t="s">
        <v>195</v>
      </c>
      <c r="AH43" s="3">
        <v>245999.82</v>
      </c>
      <c r="AI43" s="3">
        <v>245999.82</v>
      </c>
      <c r="AJ43" s="1">
        <v>46218</v>
      </c>
      <c r="AN43" t="s">
        <v>172</v>
      </c>
      <c r="AR43" s="7" t="s">
        <v>353</v>
      </c>
      <c r="AT43" t="s">
        <v>196</v>
      </c>
      <c r="AU43" t="s">
        <v>292</v>
      </c>
      <c r="AW43">
        <v>0</v>
      </c>
      <c r="AX43" s="1">
        <v>46169</v>
      </c>
      <c r="AY43" s="2">
        <v>0.42271990740740739</v>
      </c>
      <c r="AZ43">
        <v>214106</v>
      </c>
      <c r="BA43" s="1">
        <v>46160</v>
      </c>
      <c r="BC43" t="s">
        <v>0</v>
      </c>
      <c r="BD43" s="1">
        <v>46160</v>
      </c>
      <c r="BE43" t="s">
        <v>213</v>
      </c>
      <c r="BL43" s="4">
        <v>0</v>
      </c>
      <c r="BM43" s="1">
        <v>46899</v>
      </c>
      <c r="BN43" s="1">
        <v>46169</v>
      </c>
      <c r="BO43">
        <v>0</v>
      </c>
      <c r="BP43">
        <v>32530</v>
      </c>
      <c r="BQ43" t="s">
        <v>156</v>
      </c>
      <c r="BR43" s="3">
        <v>145860.35999999999</v>
      </c>
      <c r="BS43" s="3">
        <v>19109</v>
      </c>
      <c r="BT43">
        <v>0</v>
      </c>
      <c r="BU43" s="3">
        <v>164969.35999999999</v>
      </c>
      <c r="BV43" s="3">
        <v>245999.82</v>
      </c>
      <c r="BX43">
        <v>0</v>
      </c>
      <c r="BZ43">
        <v>0</v>
      </c>
      <c r="CA43">
        <v>0</v>
      </c>
      <c r="CB43">
        <v>0</v>
      </c>
      <c r="CC43" s="3">
        <v>245999.82</v>
      </c>
      <c r="CD43" s="5">
        <v>0</v>
      </c>
      <c r="CF43" s="6">
        <v>46143</v>
      </c>
      <c r="CH43">
        <v>0</v>
      </c>
      <c r="CI43">
        <v>0</v>
      </c>
      <c r="CJ43">
        <v>0</v>
      </c>
      <c r="CK43">
        <v>0</v>
      </c>
      <c r="CL43">
        <v>0</v>
      </c>
      <c r="CM43">
        <v>0</v>
      </c>
      <c r="CN43">
        <v>0</v>
      </c>
      <c r="CO43">
        <v>0</v>
      </c>
      <c r="CP43">
        <v>0</v>
      </c>
      <c r="CQ43">
        <v>0</v>
      </c>
      <c r="CR43">
        <v>0</v>
      </c>
      <c r="CS43" t="s">
        <v>199</v>
      </c>
      <c r="CT43" t="s">
        <v>190</v>
      </c>
      <c r="CU43" t="s">
        <v>601</v>
      </c>
      <c r="CW43">
        <v>-53.794199999999996</v>
      </c>
      <c r="CZ43" s="1">
        <v>46160</v>
      </c>
      <c r="DA43" t="s">
        <v>172</v>
      </c>
      <c r="DB43" t="s">
        <v>172</v>
      </c>
      <c r="DC43" t="s">
        <v>172</v>
      </c>
      <c r="DD43" t="s">
        <v>172</v>
      </c>
      <c r="DG43" s="1">
        <v>46160</v>
      </c>
      <c r="DH43">
        <v>0</v>
      </c>
      <c r="DI43">
        <v>0</v>
      </c>
      <c r="DJ43" s="1">
        <v>46169</v>
      </c>
      <c r="DK43" t="s">
        <v>179</v>
      </c>
      <c r="DL43" t="s">
        <v>200</v>
      </c>
      <c r="DM43" t="s">
        <v>172</v>
      </c>
      <c r="DN43" t="s">
        <v>225</v>
      </c>
      <c r="DV43" s="3">
        <v>245999.82</v>
      </c>
      <c r="DW43">
        <v>0</v>
      </c>
      <c r="DX43" s="3">
        <v>245999.82</v>
      </c>
      <c r="DY43">
        <v>0</v>
      </c>
      <c r="EF43" s="1">
        <v>46167</v>
      </c>
      <c r="EG43" s="1">
        <v>46163</v>
      </c>
      <c r="EK43" s="1">
        <v>46168</v>
      </c>
      <c r="EL43" s="1">
        <v>46168</v>
      </c>
      <c r="EM43" s="1">
        <v>46168</v>
      </c>
      <c r="EN43" t="s">
        <v>156</v>
      </c>
      <c r="EP43" s="1">
        <v>46168</v>
      </c>
      <c r="ER43" s="1">
        <v>46168</v>
      </c>
      <c r="ES43" t="s">
        <v>607</v>
      </c>
      <c r="EW43" s="1">
        <v>46160</v>
      </c>
    </row>
    <row r="44" spans="1:153" ht="377" x14ac:dyDescent="0.35">
      <c r="A44" t="str">
        <f>HYPERLINK("https://7lm.cvcrm.com.br/gestor/comercial/reservas/7117/administrar","7117")</f>
        <v>7117</v>
      </c>
      <c r="B44" t="s">
        <v>156</v>
      </c>
      <c r="C44" s="1">
        <v>46159</v>
      </c>
      <c r="D44" s="2">
        <v>0.71509259259259261</v>
      </c>
      <c r="E44" t="s">
        <v>403</v>
      </c>
      <c r="F44" t="s">
        <v>202</v>
      </c>
      <c r="G44" t="s">
        <v>203</v>
      </c>
      <c r="H44" t="s">
        <v>404</v>
      </c>
      <c r="I44" t="s">
        <v>608</v>
      </c>
      <c r="J44">
        <v>1</v>
      </c>
      <c r="L44">
        <v>20031</v>
      </c>
      <c r="M44" t="s">
        <v>609</v>
      </c>
      <c r="N44" s="1">
        <v>46169</v>
      </c>
      <c r="O44" s="2">
        <v>0.69442129629629634</v>
      </c>
      <c r="R44" t="str">
        <f>HYPERLINK("https://7lm.cvcrm.com.br/gestor/relatorios/associado/html?q[1|r.idreserva]=7117","PRISCYLLA GOMES DA SILVA")</f>
        <v>PRISCYLLA GOMES DA SILVA</v>
      </c>
      <c r="S44">
        <v>9220126109</v>
      </c>
      <c r="T44">
        <v>5561999065309</v>
      </c>
      <c r="U44">
        <v>55619984653</v>
      </c>
      <c r="V44" t="s">
        <v>610</v>
      </c>
      <c r="W44" t="s">
        <v>187</v>
      </c>
      <c r="X44" t="s">
        <v>521</v>
      </c>
      <c r="Y44" t="s">
        <v>189</v>
      </c>
      <c r="Z44" t="s">
        <v>214</v>
      </c>
      <c r="AA44" t="s">
        <v>611</v>
      </c>
      <c r="AB44" t="s">
        <v>612</v>
      </c>
      <c r="AC44" t="s">
        <v>613</v>
      </c>
      <c r="AF44" t="s">
        <v>399</v>
      </c>
      <c r="AG44" t="s">
        <v>195</v>
      </c>
      <c r="AH44" s="3">
        <v>216926.71</v>
      </c>
      <c r="AI44" s="3">
        <v>216926.71</v>
      </c>
      <c r="AJ44" s="1">
        <v>46159</v>
      </c>
      <c r="AN44" t="s">
        <v>172</v>
      </c>
      <c r="AR44" s="7" t="s">
        <v>614</v>
      </c>
      <c r="AU44" t="s">
        <v>316</v>
      </c>
      <c r="AW44">
        <v>0</v>
      </c>
      <c r="AX44" s="1">
        <v>46164</v>
      </c>
      <c r="AY44" s="2">
        <v>0.60414351851851855</v>
      </c>
      <c r="AZ44">
        <v>206781</v>
      </c>
      <c r="BA44" s="1">
        <v>46144</v>
      </c>
      <c r="BC44" t="s">
        <v>0</v>
      </c>
      <c r="BD44" s="1">
        <v>46159</v>
      </c>
      <c r="BE44" t="s">
        <v>615</v>
      </c>
      <c r="BL44" s="4">
        <v>0</v>
      </c>
      <c r="BM44" s="1">
        <v>46808</v>
      </c>
      <c r="BO44">
        <v>0</v>
      </c>
      <c r="BP44">
        <v>32013</v>
      </c>
      <c r="BQ44" t="s">
        <v>156</v>
      </c>
      <c r="BR44" s="3">
        <v>98627.03</v>
      </c>
      <c r="BS44" s="3">
        <v>55000</v>
      </c>
      <c r="BT44">
        <v>0</v>
      </c>
      <c r="BU44" s="3">
        <v>153627.03</v>
      </c>
      <c r="BV44" s="3">
        <v>216926.71</v>
      </c>
      <c r="BX44">
        <v>0</v>
      </c>
      <c r="BZ44">
        <v>0</v>
      </c>
      <c r="CA44">
        <v>0</v>
      </c>
      <c r="CB44">
        <v>0</v>
      </c>
      <c r="CC44" s="3">
        <v>216926.71</v>
      </c>
      <c r="CD44" s="5">
        <v>0</v>
      </c>
      <c r="CF44" s="6">
        <v>46143</v>
      </c>
      <c r="CH44">
        <v>0</v>
      </c>
      <c r="CI44">
        <v>0</v>
      </c>
      <c r="CJ44">
        <v>0</v>
      </c>
      <c r="CK44">
        <v>0</v>
      </c>
      <c r="CL44">
        <v>0</v>
      </c>
      <c r="CM44">
        <v>0</v>
      </c>
      <c r="CN44">
        <v>0</v>
      </c>
      <c r="CO44">
        <v>0</v>
      </c>
      <c r="CP44">
        <v>0</v>
      </c>
      <c r="CQ44">
        <v>0</v>
      </c>
      <c r="CR44">
        <v>0</v>
      </c>
      <c r="CS44" t="s">
        <v>360</v>
      </c>
      <c r="CT44" t="s">
        <v>214</v>
      </c>
      <c r="CU44" t="s">
        <v>608</v>
      </c>
      <c r="CW44">
        <v>-52.6616</v>
      </c>
      <c r="CZ44" s="1">
        <v>46159</v>
      </c>
      <c r="DA44" t="s">
        <v>172</v>
      </c>
      <c r="DB44" t="s">
        <v>172</v>
      </c>
      <c r="DC44" t="s">
        <v>172</v>
      </c>
      <c r="DD44" t="s">
        <v>172</v>
      </c>
      <c r="DF44" t="s">
        <v>427</v>
      </c>
      <c r="DG44" s="1">
        <v>46159</v>
      </c>
      <c r="DH44">
        <v>0</v>
      </c>
      <c r="DI44">
        <v>0</v>
      </c>
      <c r="DL44" t="s">
        <v>215</v>
      </c>
      <c r="DM44" t="s">
        <v>172</v>
      </c>
      <c r="DN44" t="s">
        <v>201</v>
      </c>
      <c r="DV44" s="3">
        <v>216926.71</v>
      </c>
      <c r="DW44">
        <v>0</v>
      </c>
      <c r="DX44" s="3">
        <v>216926.71</v>
      </c>
      <c r="DY44">
        <v>0</v>
      </c>
      <c r="EF44" s="1">
        <v>46169</v>
      </c>
      <c r="EG44" s="1">
        <v>46164</v>
      </c>
      <c r="EK44" s="1">
        <v>46169</v>
      </c>
      <c r="EL44" s="1">
        <v>46166</v>
      </c>
      <c r="EN44" t="s">
        <v>172</v>
      </c>
      <c r="EP44" s="1">
        <v>46163</v>
      </c>
      <c r="ER44" s="1">
        <v>46163</v>
      </c>
      <c r="ES44" t="s">
        <v>616</v>
      </c>
    </row>
    <row r="45" spans="1:153" x14ac:dyDescent="0.35">
      <c r="A45" t="str">
        <f>HYPERLINK("https://7lm.cvcrm.com.br/gestor/comercial/reservas/7116/administrar","7116")</f>
        <v>7116</v>
      </c>
      <c r="B45" t="s">
        <v>156</v>
      </c>
      <c r="C45" s="1">
        <v>46158</v>
      </c>
      <c r="D45" s="2">
        <v>0.82168981481481485</v>
      </c>
      <c r="E45" t="s">
        <v>294</v>
      </c>
      <c r="F45" t="s">
        <v>216</v>
      </c>
      <c r="G45" t="s">
        <v>159</v>
      </c>
      <c r="H45" t="s">
        <v>204</v>
      </c>
      <c r="I45" t="s">
        <v>617</v>
      </c>
      <c r="J45">
        <v>1</v>
      </c>
      <c r="K45">
        <v>8483</v>
      </c>
      <c r="L45">
        <v>20061</v>
      </c>
      <c r="M45" t="s">
        <v>618</v>
      </c>
      <c r="N45" s="1">
        <v>46164</v>
      </c>
      <c r="O45" s="2">
        <v>0.41265046296296298</v>
      </c>
      <c r="Q45">
        <v>10003</v>
      </c>
      <c r="R45" t="str">
        <f>HYPERLINK("https://7lm.cvcrm.com.br/gestor/relatorios/associado/html?q[1|r.idreserva]=7116","TAIS SOUZA SILVA")</f>
        <v>TAIS SOUZA SILVA</v>
      </c>
      <c r="S45">
        <v>86093633500</v>
      </c>
      <c r="T45">
        <v>5573981078663</v>
      </c>
      <c r="U45">
        <v>5561992695998</v>
      </c>
      <c r="V45" t="s">
        <v>619</v>
      </c>
      <c r="W45" t="s">
        <v>187</v>
      </c>
      <c r="X45" t="s">
        <v>620</v>
      </c>
      <c r="Y45" t="s">
        <v>189</v>
      </c>
      <c r="Z45" t="s">
        <v>214</v>
      </c>
      <c r="AA45" t="s">
        <v>621</v>
      </c>
      <c r="AB45" t="s">
        <v>622</v>
      </c>
      <c r="AC45" t="s">
        <v>314</v>
      </c>
      <c r="AF45" t="s">
        <v>315</v>
      </c>
      <c r="AG45" t="s">
        <v>195</v>
      </c>
      <c r="AH45" s="3">
        <v>235357.36</v>
      </c>
      <c r="AI45" s="3">
        <v>235357.36</v>
      </c>
      <c r="AJ45" s="1">
        <v>46218</v>
      </c>
      <c r="AN45" t="s">
        <v>172</v>
      </c>
      <c r="AR45" t="s">
        <v>623</v>
      </c>
      <c r="AT45" t="s">
        <v>173</v>
      </c>
      <c r="AU45" t="s">
        <v>624</v>
      </c>
      <c r="AW45">
        <v>0</v>
      </c>
      <c r="AX45" s="1">
        <v>46163</v>
      </c>
      <c r="AY45" s="2">
        <v>0.47979166666666667</v>
      </c>
      <c r="AZ45">
        <v>212940</v>
      </c>
      <c r="BA45" s="1">
        <v>46155</v>
      </c>
      <c r="BC45" t="s">
        <v>0</v>
      </c>
      <c r="BD45" s="1">
        <v>46158</v>
      </c>
      <c r="BE45" t="s">
        <v>625</v>
      </c>
      <c r="BL45" s="4">
        <v>0</v>
      </c>
      <c r="BM45" s="1">
        <v>46995</v>
      </c>
      <c r="BN45" s="1">
        <v>46163</v>
      </c>
      <c r="BO45">
        <v>0</v>
      </c>
      <c r="BP45">
        <v>32368</v>
      </c>
      <c r="BQ45" t="s">
        <v>156</v>
      </c>
      <c r="BR45">
        <v>0</v>
      </c>
      <c r="BS45">
        <v>0</v>
      </c>
      <c r="BT45">
        <v>0</v>
      </c>
      <c r="BU45">
        <v>0</v>
      </c>
      <c r="BV45" s="3">
        <v>235357.36</v>
      </c>
      <c r="BX45">
        <v>0</v>
      </c>
      <c r="BZ45">
        <v>0</v>
      </c>
      <c r="CA45">
        <v>0</v>
      </c>
      <c r="CB45">
        <v>0</v>
      </c>
      <c r="CC45" s="3">
        <v>235357.36</v>
      </c>
      <c r="CD45" s="5">
        <v>0</v>
      </c>
      <c r="CF45" s="6">
        <v>46143</v>
      </c>
      <c r="CH45">
        <v>0</v>
      </c>
      <c r="CI45">
        <v>0</v>
      </c>
      <c r="CJ45">
        <v>0</v>
      </c>
      <c r="CK45">
        <v>0</v>
      </c>
      <c r="CL45">
        <v>0</v>
      </c>
      <c r="CM45">
        <v>0</v>
      </c>
      <c r="CN45">
        <v>0</v>
      </c>
      <c r="CO45">
        <v>0</v>
      </c>
      <c r="CP45">
        <v>0</v>
      </c>
      <c r="CQ45">
        <v>0</v>
      </c>
      <c r="CR45">
        <v>0</v>
      </c>
      <c r="CS45" t="s">
        <v>360</v>
      </c>
      <c r="CT45" t="s">
        <v>214</v>
      </c>
      <c r="CU45" t="s">
        <v>617</v>
      </c>
      <c r="CW45">
        <v>-49.704799999999999</v>
      </c>
      <c r="CZ45" s="1">
        <v>46158</v>
      </c>
      <c r="DA45" t="s">
        <v>172</v>
      </c>
      <c r="DB45" t="s">
        <v>172</v>
      </c>
      <c r="DC45" t="s">
        <v>172</v>
      </c>
      <c r="DD45" t="s">
        <v>172</v>
      </c>
      <c r="DG45" s="1">
        <v>46158</v>
      </c>
      <c r="DH45">
        <v>0</v>
      </c>
      <c r="DI45">
        <v>0</v>
      </c>
      <c r="DJ45" s="1">
        <v>46163</v>
      </c>
      <c r="DL45" t="s">
        <v>224</v>
      </c>
      <c r="DM45" t="s">
        <v>172</v>
      </c>
      <c r="DN45" t="s">
        <v>225</v>
      </c>
      <c r="DV45" s="3">
        <v>235357.36</v>
      </c>
      <c r="DW45">
        <v>0</v>
      </c>
      <c r="DX45" s="3">
        <v>235357.36</v>
      </c>
      <c r="DY45">
        <v>0</v>
      </c>
      <c r="EG45" s="1">
        <v>46161</v>
      </c>
      <c r="EN45" t="s">
        <v>537</v>
      </c>
      <c r="EP45" s="1">
        <v>46163</v>
      </c>
      <c r="ER45" s="1">
        <v>46163</v>
      </c>
      <c r="ES45" t="s">
        <v>626</v>
      </c>
      <c r="EW45" s="1">
        <v>46158</v>
      </c>
    </row>
    <row r="46" spans="1:153" x14ac:dyDescent="0.35">
      <c r="A46" t="str">
        <f>HYPERLINK("https://7lm.cvcrm.com.br/gestor/comercial/reservas/7115/administrar","7115")</f>
        <v>7115</v>
      </c>
      <c r="B46" t="s">
        <v>172</v>
      </c>
      <c r="C46" s="1">
        <v>46158</v>
      </c>
      <c r="D46" s="2">
        <v>0.61310185185185184</v>
      </c>
      <c r="E46" t="s">
        <v>527</v>
      </c>
      <c r="F46" t="s">
        <v>202</v>
      </c>
      <c r="G46" t="s">
        <v>203</v>
      </c>
      <c r="H46" t="s">
        <v>277</v>
      </c>
      <c r="I46" t="s">
        <v>627</v>
      </c>
      <c r="J46">
        <v>1</v>
      </c>
      <c r="L46">
        <v>20031</v>
      </c>
      <c r="M46" t="s">
        <v>628</v>
      </c>
      <c r="R46" t="str">
        <f>HYPERLINK("https://7lm.cvcrm.com.br/gestor/relatorios/associado/html?q[1|r.idreserva]=7115","EDÍANARA MENDES DA SILVA")</f>
        <v>EDÍANARA MENDES DA SILVA</v>
      </c>
      <c r="S46">
        <v>62277747319</v>
      </c>
      <c r="T46">
        <v>5561998247517</v>
      </c>
      <c r="U46">
        <v>5561994147674</v>
      </c>
      <c r="V46" t="s">
        <v>629</v>
      </c>
      <c r="W46" t="s">
        <v>187</v>
      </c>
      <c r="X46" t="s">
        <v>630</v>
      </c>
      <c r="Y46" t="s">
        <v>165</v>
      </c>
      <c r="Z46" t="s">
        <v>257</v>
      </c>
      <c r="AA46" t="s">
        <v>631</v>
      </c>
      <c r="AB46" t="s">
        <v>632</v>
      </c>
      <c r="AC46" t="s">
        <v>633</v>
      </c>
      <c r="AF46" t="s">
        <v>634</v>
      </c>
      <c r="AG46" t="s">
        <v>195</v>
      </c>
      <c r="AH46" s="3">
        <v>214291</v>
      </c>
      <c r="AI46" s="3">
        <v>214291</v>
      </c>
      <c r="AJ46" s="1">
        <v>46188</v>
      </c>
      <c r="AN46" t="s">
        <v>172</v>
      </c>
      <c r="AO46" t="s">
        <v>261</v>
      </c>
      <c r="AR46" t="s">
        <v>635</v>
      </c>
      <c r="AT46" t="s">
        <v>196</v>
      </c>
      <c r="AU46" t="s">
        <v>316</v>
      </c>
      <c r="AW46">
        <v>0</v>
      </c>
      <c r="AX46" s="1">
        <v>46170</v>
      </c>
      <c r="AY46" s="2">
        <v>0.3296412037037037</v>
      </c>
      <c r="AZ46">
        <v>157779</v>
      </c>
      <c r="BA46" s="1">
        <v>45782</v>
      </c>
      <c r="BB46" s="1">
        <v>45783</v>
      </c>
      <c r="BC46" t="s">
        <v>213</v>
      </c>
      <c r="BD46" s="1">
        <v>45783</v>
      </c>
      <c r="BE46" t="s">
        <v>276</v>
      </c>
      <c r="BL46" s="4">
        <v>0</v>
      </c>
      <c r="BM46" s="1">
        <v>46808</v>
      </c>
      <c r="BO46">
        <v>0</v>
      </c>
      <c r="BP46">
        <v>32465</v>
      </c>
      <c r="BQ46" t="s">
        <v>156</v>
      </c>
      <c r="BR46" s="3">
        <v>125499.35</v>
      </c>
      <c r="BS46" s="3">
        <v>36388</v>
      </c>
      <c r="BT46">
        <v>0</v>
      </c>
      <c r="BU46" s="3">
        <v>161887.35</v>
      </c>
      <c r="BV46" s="3">
        <v>214291</v>
      </c>
      <c r="BX46">
        <v>0</v>
      </c>
      <c r="BZ46">
        <v>0</v>
      </c>
      <c r="CA46">
        <v>0</v>
      </c>
      <c r="CB46">
        <v>0</v>
      </c>
      <c r="CC46" s="3">
        <v>214291</v>
      </c>
      <c r="CD46" s="5">
        <v>0</v>
      </c>
      <c r="CF46" s="6">
        <v>46143</v>
      </c>
      <c r="CH46">
        <v>0</v>
      </c>
      <c r="CI46">
        <v>0</v>
      </c>
      <c r="CJ46">
        <v>0</v>
      </c>
      <c r="CK46">
        <v>0</v>
      </c>
      <c r="CL46">
        <v>0</v>
      </c>
      <c r="CM46">
        <v>0</v>
      </c>
      <c r="CN46">
        <v>0</v>
      </c>
      <c r="CO46">
        <v>0</v>
      </c>
      <c r="CP46">
        <v>0</v>
      </c>
      <c r="CQ46">
        <v>0</v>
      </c>
      <c r="CR46">
        <v>0</v>
      </c>
      <c r="CT46" t="s">
        <v>214</v>
      </c>
      <c r="CU46" t="s">
        <v>627</v>
      </c>
      <c r="CW46">
        <v>0</v>
      </c>
      <c r="CZ46" s="1">
        <v>46158</v>
      </c>
      <c r="DA46" t="s">
        <v>172</v>
      </c>
      <c r="DB46" t="s">
        <v>172</v>
      </c>
      <c r="DC46" t="s">
        <v>172</v>
      </c>
      <c r="DD46" t="s">
        <v>172</v>
      </c>
      <c r="DG46" s="1">
        <v>46158</v>
      </c>
      <c r="DH46">
        <v>0</v>
      </c>
      <c r="DI46">
        <v>0</v>
      </c>
      <c r="DL46" t="s">
        <v>215</v>
      </c>
      <c r="DM46" t="s">
        <v>172</v>
      </c>
      <c r="DN46" t="s">
        <v>201</v>
      </c>
      <c r="DV46" s="3">
        <v>214291</v>
      </c>
      <c r="DW46">
        <v>0</v>
      </c>
      <c r="DX46" s="3">
        <v>214291</v>
      </c>
      <c r="DY46">
        <v>0</v>
      </c>
      <c r="EN46" t="s">
        <v>537</v>
      </c>
      <c r="EW46" s="1">
        <v>46158</v>
      </c>
    </row>
    <row r="47" spans="1:153" ht="246.5" x14ac:dyDescent="0.35">
      <c r="A47" t="str">
        <f>HYPERLINK("https://7lm.cvcrm.com.br/gestor/comercial/reservas/7114/administrar","7114")</f>
        <v>7114</v>
      </c>
      <c r="B47" t="s">
        <v>156</v>
      </c>
      <c r="C47" s="1">
        <v>46158</v>
      </c>
      <c r="D47" s="2">
        <v>0.57980324074074074</v>
      </c>
      <c r="E47" t="s">
        <v>294</v>
      </c>
      <c r="F47" t="s">
        <v>182</v>
      </c>
      <c r="G47" t="s">
        <v>159</v>
      </c>
      <c r="H47" t="s">
        <v>636</v>
      </c>
      <c r="I47" t="s">
        <v>637</v>
      </c>
      <c r="J47">
        <v>1</v>
      </c>
      <c r="K47">
        <v>8494</v>
      </c>
      <c r="L47">
        <v>30151</v>
      </c>
      <c r="M47" t="s">
        <v>638</v>
      </c>
      <c r="N47" s="1">
        <v>46167</v>
      </c>
      <c r="O47" s="2">
        <v>0.59163194444444445</v>
      </c>
      <c r="Q47">
        <v>10010</v>
      </c>
      <c r="R47" t="str">
        <f>HYPERLINK("https://7lm.cvcrm.com.br/gestor/relatorios/associado/html?q[1|r.idreserva]=7114","LUCAS FERREIRA DOS SANTOS")</f>
        <v>LUCAS FERREIRA DOS SANTOS</v>
      </c>
      <c r="S47">
        <v>71370752156</v>
      </c>
      <c r="T47">
        <v>5561981941803</v>
      </c>
      <c r="U47">
        <v>5561984424506</v>
      </c>
      <c r="V47" t="s">
        <v>639</v>
      </c>
      <c r="W47" t="s">
        <v>163</v>
      </c>
      <c r="X47" t="s">
        <v>288</v>
      </c>
      <c r="Y47" t="s">
        <v>189</v>
      </c>
      <c r="Z47" t="s">
        <v>190</v>
      </c>
      <c r="AA47" t="s">
        <v>480</v>
      </c>
      <c r="AB47" t="s">
        <v>640</v>
      </c>
      <c r="AC47" t="s">
        <v>641</v>
      </c>
      <c r="AF47" t="s">
        <v>194</v>
      </c>
      <c r="AG47" t="s">
        <v>195</v>
      </c>
      <c r="AH47" s="3">
        <v>240655.87</v>
      </c>
      <c r="AI47" s="3">
        <v>240655.87</v>
      </c>
      <c r="AJ47" s="1">
        <v>46218</v>
      </c>
      <c r="AN47" t="s">
        <v>172</v>
      </c>
      <c r="AR47" s="7" t="s">
        <v>353</v>
      </c>
      <c r="AT47" t="s">
        <v>196</v>
      </c>
      <c r="AU47" t="s">
        <v>292</v>
      </c>
      <c r="AW47">
        <v>0</v>
      </c>
      <c r="AX47" s="1">
        <v>46163</v>
      </c>
      <c r="AY47" s="2">
        <v>0.62594907407407407</v>
      </c>
      <c r="AZ47">
        <v>208235</v>
      </c>
      <c r="BA47" s="1">
        <v>46147</v>
      </c>
      <c r="BC47" t="s">
        <v>176</v>
      </c>
      <c r="BD47" s="1">
        <v>46147</v>
      </c>
      <c r="BE47" t="s">
        <v>625</v>
      </c>
      <c r="BL47" s="4">
        <v>0</v>
      </c>
      <c r="BM47" s="1">
        <v>46899</v>
      </c>
      <c r="BN47" s="1">
        <v>46163</v>
      </c>
      <c r="BO47">
        <v>0</v>
      </c>
      <c r="BP47">
        <v>32306</v>
      </c>
      <c r="BQ47" t="s">
        <v>156</v>
      </c>
      <c r="BR47" s="3">
        <v>127056.22</v>
      </c>
      <c r="BS47" s="3">
        <v>31250</v>
      </c>
      <c r="BT47">
        <v>0</v>
      </c>
      <c r="BU47" s="3">
        <v>158306.22</v>
      </c>
      <c r="BV47" s="3">
        <v>240655.87</v>
      </c>
      <c r="BX47">
        <v>0</v>
      </c>
      <c r="BZ47">
        <v>0</v>
      </c>
      <c r="CA47">
        <v>0</v>
      </c>
      <c r="CB47">
        <v>0</v>
      </c>
      <c r="CC47" s="3">
        <v>240655.87</v>
      </c>
      <c r="CD47" s="5">
        <v>0</v>
      </c>
      <c r="CF47" s="6">
        <v>46143</v>
      </c>
      <c r="CH47">
        <v>0</v>
      </c>
      <c r="CI47">
        <v>0</v>
      </c>
      <c r="CJ47">
        <v>0</v>
      </c>
      <c r="CK47">
        <v>0</v>
      </c>
      <c r="CL47">
        <v>0</v>
      </c>
      <c r="CM47">
        <v>0</v>
      </c>
      <c r="CN47">
        <v>0</v>
      </c>
      <c r="CO47">
        <v>0</v>
      </c>
      <c r="CP47">
        <v>0</v>
      </c>
      <c r="CQ47">
        <v>0</v>
      </c>
      <c r="CR47">
        <v>0</v>
      </c>
      <c r="CS47" t="s">
        <v>360</v>
      </c>
      <c r="CT47" t="s">
        <v>190</v>
      </c>
      <c r="CU47" t="s">
        <v>637</v>
      </c>
      <c r="CW47">
        <v>-50.843699999999998</v>
      </c>
      <c r="CZ47" s="1">
        <v>46158</v>
      </c>
      <c r="DA47" t="s">
        <v>172</v>
      </c>
      <c r="DB47" t="s">
        <v>172</v>
      </c>
      <c r="DC47" t="s">
        <v>172</v>
      </c>
      <c r="DD47" t="s">
        <v>172</v>
      </c>
      <c r="DG47" s="1">
        <v>46158</v>
      </c>
      <c r="DH47">
        <v>0</v>
      </c>
      <c r="DI47">
        <v>0</v>
      </c>
      <c r="DJ47" s="1">
        <v>46163</v>
      </c>
      <c r="DK47" t="s">
        <v>179</v>
      </c>
      <c r="DL47" t="s">
        <v>200</v>
      </c>
      <c r="DM47" t="s">
        <v>172</v>
      </c>
      <c r="DN47" t="s">
        <v>201</v>
      </c>
      <c r="DV47" s="3">
        <v>240655.87</v>
      </c>
      <c r="DW47">
        <v>0</v>
      </c>
      <c r="DX47" s="3">
        <v>240655.87</v>
      </c>
      <c r="DY47">
        <v>0</v>
      </c>
      <c r="EG47" s="1">
        <v>46163</v>
      </c>
      <c r="EN47" t="s">
        <v>156</v>
      </c>
      <c r="EP47" s="1">
        <v>46162</v>
      </c>
      <c r="ER47" s="1">
        <v>46162</v>
      </c>
      <c r="ES47" t="s">
        <v>642</v>
      </c>
      <c r="EW47" s="1">
        <v>46158</v>
      </c>
    </row>
    <row r="48" spans="1:153" ht="377" x14ac:dyDescent="0.35">
      <c r="A48" t="str">
        <f>HYPERLINK("https://7lm.cvcrm.com.br/gestor/comercial/reservas/7113/administrar","7113")</f>
        <v>7113</v>
      </c>
      <c r="B48" t="s">
        <v>156</v>
      </c>
      <c r="C48" s="1">
        <v>46158</v>
      </c>
      <c r="D48" s="2">
        <v>0.52409722222222221</v>
      </c>
      <c r="E48" t="s">
        <v>294</v>
      </c>
      <c r="F48" t="s">
        <v>182</v>
      </c>
      <c r="G48" t="s">
        <v>159</v>
      </c>
      <c r="H48" t="s">
        <v>643</v>
      </c>
      <c r="I48" t="s">
        <v>644</v>
      </c>
      <c r="J48">
        <v>1</v>
      </c>
      <c r="K48">
        <v>8501</v>
      </c>
      <c r="L48">
        <v>30151</v>
      </c>
      <c r="M48" t="s">
        <v>645</v>
      </c>
      <c r="N48" s="1">
        <v>46169</v>
      </c>
      <c r="O48" s="2">
        <v>0.67954861111111109</v>
      </c>
      <c r="Q48">
        <v>10022</v>
      </c>
      <c r="R48" t="str">
        <f>HYPERLINK("https://7lm.cvcrm.com.br/gestor/relatorios/associado/html?q[1|r.idreserva]=7113","ANDELISIA DAS CHAGAS SILVA")</f>
        <v>ANDELISIA DAS CHAGAS SILVA</v>
      </c>
      <c r="S48">
        <v>2593391138</v>
      </c>
      <c r="T48">
        <v>556199818667</v>
      </c>
      <c r="U48">
        <v>556996145204</v>
      </c>
      <c r="V48" t="s">
        <v>646</v>
      </c>
      <c r="W48" t="s">
        <v>187</v>
      </c>
      <c r="X48" t="s">
        <v>299</v>
      </c>
      <c r="Y48" t="s">
        <v>189</v>
      </c>
      <c r="Z48" t="s">
        <v>190</v>
      </c>
      <c r="AA48" t="s">
        <v>532</v>
      </c>
      <c r="AB48" t="s">
        <v>647</v>
      </c>
      <c r="AC48" t="s">
        <v>509</v>
      </c>
      <c r="AD48" t="s">
        <v>509</v>
      </c>
      <c r="AF48" t="s">
        <v>352</v>
      </c>
      <c r="AG48" t="s">
        <v>251</v>
      </c>
      <c r="AH48" s="3">
        <v>240000.31</v>
      </c>
      <c r="AI48" s="3">
        <v>240000.31</v>
      </c>
      <c r="AJ48" s="1">
        <v>46172</v>
      </c>
      <c r="AN48" t="s">
        <v>172</v>
      </c>
      <c r="AR48" s="7" t="s">
        <v>648</v>
      </c>
      <c r="AT48" t="s">
        <v>261</v>
      </c>
      <c r="AU48" t="s">
        <v>292</v>
      </c>
      <c r="AW48">
        <v>0</v>
      </c>
      <c r="AX48" s="1">
        <v>46164</v>
      </c>
      <c r="AY48" s="2">
        <v>0.59370370370370373</v>
      </c>
      <c r="AZ48">
        <v>213023</v>
      </c>
      <c r="BA48" s="1">
        <v>46155</v>
      </c>
      <c r="BC48" t="s">
        <v>176</v>
      </c>
      <c r="BD48" s="1">
        <v>46155</v>
      </c>
      <c r="BE48" t="s">
        <v>175</v>
      </c>
      <c r="BL48" s="4">
        <v>0</v>
      </c>
      <c r="BM48" s="1">
        <v>46899</v>
      </c>
      <c r="BN48" s="1">
        <v>46164</v>
      </c>
      <c r="BO48">
        <v>0</v>
      </c>
      <c r="BP48">
        <v>32390</v>
      </c>
      <c r="BQ48" t="s">
        <v>156</v>
      </c>
      <c r="BR48" s="3">
        <v>132736.87</v>
      </c>
      <c r="BS48" s="3">
        <v>21306</v>
      </c>
      <c r="BT48">
        <v>0</v>
      </c>
      <c r="BU48" s="3">
        <v>154042.87</v>
      </c>
      <c r="BV48" s="3">
        <v>240000.31</v>
      </c>
      <c r="BX48">
        <v>0</v>
      </c>
      <c r="BZ48">
        <v>0</v>
      </c>
      <c r="CA48">
        <v>0</v>
      </c>
      <c r="CB48">
        <v>0</v>
      </c>
      <c r="CC48" s="3">
        <v>240000.31</v>
      </c>
      <c r="CD48" s="5">
        <v>0</v>
      </c>
      <c r="CF48" s="6">
        <v>46143</v>
      </c>
      <c r="CH48">
        <v>0</v>
      </c>
      <c r="CI48">
        <v>0</v>
      </c>
      <c r="CJ48">
        <v>0</v>
      </c>
      <c r="CK48">
        <v>0</v>
      </c>
      <c r="CL48">
        <v>0</v>
      </c>
      <c r="CM48">
        <v>0</v>
      </c>
      <c r="CN48">
        <v>0</v>
      </c>
      <c r="CO48">
        <v>0</v>
      </c>
      <c r="CP48">
        <v>0</v>
      </c>
      <c r="CQ48">
        <v>0</v>
      </c>
      <c r="CR48">
        <v>0</v>
      </c>
      <c r="CS48" t="s">
        <v>649</v>
      </c>
      <c r="CT48" t="s">
        <v>190</v>
      </c>
      <c r="CU48" t="s">
        <v>644</v>
      </c>
      <c r="CW48">
        <v>-51.023699999999998</v>
      </c>
      <c r="CZ48" s="1">
        <v>46158</v>
      </c>
      <c r="DA48" t="s">
        <v>172</v>
      </c>
      <c r="DB48" t="s">
        <v>172</v>
      </c>
      <c r="DC48" t="s">
        <v>172</v>
      </c>
      <c r="DD48" t="s">
        <v>172</v>
      </c>
      <c r="DG48" s="1">
        <v>46158</v>
      </c>
      <c r="DH48">
        <v>0</v>
      </c>
      <c r="DI48">
        <v>0</v>
      </c>
      <c r="DJ48" s="1">
        <v>46164</v>
      </c>
      <c r="DK48" t="s">
        <v>179</v>
      </c>
      <c r="DL48" t="s">
        <v>200</v>
      </c>
      <c r="DM48" t="s">
        <v>172</v>
      </c>
      <c r="DN48" t="s">
        <v>201</v>
      </c>
      <c r="DP48" s="8">
        <v>0.01</v>
      </c>
      <c r="DV48" s="3">
        <v>240000.31</v>
      </c>
      <c r="DW48">
        <v>0</v>
      </c>
      <c r="DX48" s="3">
        <v>240000.31</v>
      </c>
      <c r="DY48">
        <v>0</v>
      </c>
      <c r="EG48" s="1">
        <v>46163</v>
      </c>
      <c r="EN48" t="s">
        <v>156</v>
      </c>
      <c r="EP48" s="1">
        <v>46164</v>
      </c>
      <c r="ER48" s="1">
        <v>46163</v>
      </c>
      <c r="ES48" t="s">
        <v>650</v>
      </c>
      <c r="EW48" s="1">
        <v>46158</v>
      </c>
    </row>
    <row r="49" spans="1:153" x14ac:dyDescent="0.35">
      <c r="A49" t="str">
        <f>HYPERLINK("https://7lm.cvcrm.com.br/gestor/comercial/reservas/7112/administrar","7112")</f>
        <v>7112</v>
      </c>
      <c r="B49" t="s">
        <v>156</v>
      </c>
      <c r="C49" s="1">
        <v>46158</v>
      </c>
      <c r="D49" s="2">
        <v>0.5163078703703704</v>
      </c>
      <c r="E49" t="s">
        <v>527</v>
      </c>
      <c r="F49" t="s">
        <v>182</v>
      </c>
      <c r="G49" t="s">
        <v>159</v>
      </c>
      <c r="H49" t="s">
        <v>643</v>
      </c>
      <c r="I49" t="s">
        <v>651</v>
      </c>
      <c r="J49">
        <v>1</v>
      </c>
      <c r="L49">
        <v>30151</v>
      </c>
      <c r="M49" t="s">
        <v>652</v>
      </c>
      <c r="N49" s="1">
        <v>46160</v>
      </c>
      <c r="O49" s="2">
        <v>0.8415393518518518</v>
      </c>
      <c r="R49" t="str">
        <f>HYPERLINK("https://7lm.cvcrm.com.br/gestor/relatorios/associado/html?q[1|r.idreserva]=7112","LUDIMILA FERNANDES DA SILVA")</f>
        <v>LUDIMILA FERNANDES DA SILVA</v>
      </c>
      <c r="S49">
        <v>3215753189</v>
      </c>
      <c r="T49">
        <v>5561996128232</v>
      </c>
      <c r="U49">
        <v>5561996212823</v>
      </c>
      <c r="V49" t="s">
        <v>653</v>
      </c>
      <c r="W49" t="s">
        <v>187</v>
      </c>
      <c r="X49" t="s">
        <v>654</v>
      </c>
      <c r="Y49" t="s">
        <v>189</v>
      </c>
      <c r="Z49" t="s">
        <v>190</v>
      </c>
      <c r="AA49" t="s">
        <v>655</v>
      </c>
      <c r="AB49" t="s">
        <v>656</v>
      </c>
      <c r="AC49" t="s">
        <v>379</v>
      </c>
      <c r="AD49" t="s">
        <v>379</v>
      </c>
      <c r="AF49" t="s">
        <v>352</v>
      </c>
      <c r="AG49" t="s">
        <v>251</v>
      </c>
      <c r="AH49" s="3">
        <v>246000.44</v>
      </c>
      <c r="AI49" s="3">
        <v>246000.44</v>
      </c>
      <c r="AJ49" s="1">
        <v>46218</v>
      </c>
      <c r="AN49" t="s">
        <v>172</v>
      </c>
      <c r="AO49" t="s">
        <v>657</v>
      </c>
      <c r="AR49" t="s">
        <v>658</v>
      </c>
      <c r="AT49" t="s">
        <v>173</v>
      </c>
      <c r="AU49" t="s">
        <v>292</v>
      </c>
      <c r="AW49">
        <v>0</v>
      </c>
      <c r="AX49" s="1">
        <v>46164</v>
      </c>
      <c r="AY49" s="2">
        <v>0.60412037037037036</v>
      </c>
      <c r="AZ49">
        <v>209653</v>
      </c>
      <c r="BA49" s="1">
        <v>46149</v>
      </c>
      <c r="BC49" t="s">
        <v>0</v>
      </c>
      <c r="BD49" s="1">
        <v>46158</v>
      </c>
      <c r="BE49" t="s">
        <v>176</v>
      </c>
      <c r="BL49" s="4">
        <v>0</v>
      </c>
      <c r="BM49" s="1">
        <v>46899</v>
      </c>
      <c r="BO49">
        <v>0</v>
      </c>
      <c r="BP49">
        <v>32084</v>
      </c>
      <c r="BQ49" t="s">
        <v>156</v>
      </c>
      <c r="BR49" s="3">
        <v>100841.88</v>
      </c>
      <c r="BS49" s="3">
        <v>55000</v>
      </c>
      <c r="BT49">
        <v>0</v>
      </c>
      <c r="BU49" s="3">
        <v>155841.88</v>
      </c>
      <c r="BV49" s="3">
        <v>246000.44</v>
      </c>
      <c r="BX49">
        <v>0</v>
      </c>
      <c r="BZ49">
        <v>0</v>
      </c>
      <c r="CA49">
        <v>0</v>
      </c>
      <c r="CB49">
        <v>0</v>
      </c>
      <c r="CC49" s="3">
        <v>246000.44</v>
      </c>
      <c r="CD49" s="5">
        <v>0</v>
      </c>
      <c r="CF49" s="6">
        <v>46143</v>
      </c>
      <c r="CH49">
        <v>0</v>
      </c>
      <c r="CI49">
        <v>0</v>
      </c>
      <c r="CJ49">
        <v>0</v>
      </c>
      <c r="CK49">
        <v>0</v>
      </c>
      <c r="CL49">
        <v>0</v>
      </c>
      <c r="CM49">
        <v>0</v>
      </c>
      <c r="CN49">
        <v>0</v>
      </c>
      <c r="CO49">
        <v>0</v>
      </c>
      <c r="CP49">
        <v>0</v>
      </c>
      <c r="CQ49">
        <v>0</v>
      </c>
      <c r="CR49">
        <v>0</v>
      </c>
      <c r="CS49" t="s">
        <v>659</v>
      </c>
      <c r="CT49" t="s">
        <v>190</v>
      </c>
      <c r="CU49" t="s">
        <v>651</v>
      </c>
      <c r="CW49">
        <v>-53.7941</v>
      </c>
      <c r="CZ49" s="1">
        <v>46158</v>
      </c>
      <c r="DA49" t="s">
        <v>172</v>
      </c>
      <c r="DB49" t="s">
        <v>172</v>
      </c>
      <c r="DC49" t="s">
        <v>172</v>
      </c>
      <c r="DD49" t="s">
        <v>172</v>
      </c>
      <c r="DG49" s="1">
        <v>46158</v>
      </c>
      <c r="DH49">
        <v>0</v>
      </c>
      <c r="DI49">
        <v>0</v>
      </c>
      <c r="DK49" t="s">
        <v>179</v>
      </c>
      <c r="DL49" t="s">
        <v>200</v>
      </c>
      <c r="DM49" t="s">
        <v>172</v>
      </c>
      <c r="DN49" t="s">
        <v>225</v>
      </c>
      <c r="DU49" t="s">
        <v>440</v>
      </c>
      <c r="DV49" s="3">
        <v>286399.56</v>
      </c>
      <c r="DW49">
        <v>-53.79</v>
      </c>
      <c r="DX49" s="3">
        <v>286399.56</v>
      </c>
      <c r="DY49">
        <v>-53.79</v>
      </c>
      <c r="EG49" s="1">
        <v>46162</v>
      </c>
      <c r="EM49" s="1">
        <v>46163</v>
      </c>
      <c r="EN49" t="s">
        <v>156</v>
      </c>
      <c r="EP49" s="1">
        <v>46162</v>
      </c>
      <c r="EQ49" s="1">
        <v>46161</v>
      </c>
      <c r="ER49" s="1">
        <v>46161</v>
      </c>
      <c r="ES49" t="s">
        <v>660</v>
      </c>
      <c r="EV49" s="1">
        <v>46160</v>
      </c>
      <c r="EW49" s="1">
        <v>46158</v>
      </c>
    </row>
    <row r="50" spans="1:153" ht="246.5" x14ac:dyDescent="0.35">
      <c r="A50" t="str">
        <f>HYPERLINK("https://7lm.cvcrm.com.br/gestor/comercial/reservas/7111/administrar","7111")</f>
        <v>7111</v>
      </c>
      <c r="B50" t="s">
        <v>156</v>
      </c>
      <c r="C50" s="1">
        <v>46158</v>
      </c>
      <c r="D50" s="2">
        <v>0.51009259259259254</v>
      </c>
      <c r="E50" t="s">
        <v>294</v>
      </c>
      <c r="F50" t="s">
        <v>182</v>
      </c>
      <c r="G50" t="s">
        <v>159</v>
      </c>
      <c r="H50" t="s">
        <v>372</v>
      </c>
      <c r="I50" t="s">
        <v>661</v>
      </c>
      <c r="J50">
        <v>1</v>
      </c>
      <c r="K50">
        <v>8523</v>
      </c>
      <c r="L50">
        <v>30151</v>
      </c>
      <c r="M50" t="s">
        <v>662</v>
      </c>
      <c r="N50" s="1">
        <v>46163</v>
      </c>
      <c r="O50" s="2">
        <v>0.64336805555555554</v>
      </c>
      <c r="Q50">
        <v>10037</v>
      </c>
      <c r="R50" t="str">
        <f>HYPERLINK("https://7lm.cvcrm.com.br/gestor/relatorios/associado/html?q[1|r.idreserva]=7111","SARA CORDEIRO DOS SANTOS")</f>
        <v>SARA CORDEIRO DOS SANTOS</v>
      </c>
      <c r="S50">
        <v>71627968180</v>
      </c>
      <c r="T50">
        <v>5561998114158</v>
      </c>
      <c r="U50">
        <v>5561998532147</v>
      </c>
      <c r="V50" t="s">
        <v>663</v>
      </c>
      <c r="W50" t="s">
        <v>187</v>
      </c>
      <c r="X50" t="s">
        <v>376</v>
      </c>
      <c r="Y50" t="s">
        <v>189</v>
      </c>
      <c r="Z50" t="s">
        <v>190</v>
      </c>
      <c r="AA50" t="s">
        <v>423</v>
      </c>
      <c r="AB50" t="s">
        <v>664</v>
      </c>
      <c r="AC50" t="s">
        <v>665</v>
      </c>
      <c r="AD50" t="s">
        <v>665</v>
      </c>
      <c r="AF50" t="s">
        <v>250</v>
      </c>
      <c r="AG50" t="s">
        <v>251</v>
      </c>
      <c r="AH50" s="3">
        <v>251000.24</v>
      </c>
      <c r="AI50" s="3">
        <v>251000.24</v>
      </c>
      <c r="AJ50" s="1">
        <v>46218</v>
      </c>
      <c r="AN50" t="s">
        <v>172</v>
      </c>
      <c r="AR50" s="7" t="s">
        <v>353</v>
      </c>
      <c r="AT50" t="s">
        <v>196</v>
      </c>
      <c r="AU50" t="s">
        <v>292</v>
      </c>
      <c r="AW50">
        <v>0</v>
      </c>
      <c r="AX50" s="1">
        <v>46169</v>
      </c>
      <c r="AY50" s="2">
        <v>0.42453703703703705</v>
      </c>
      <c r="AZ50">
        <v>163977</v>
      </c>
      <c r="BA50" s="1">
        <v>45848</v>
      </c>
      <c r="BC50" t="s">
        <v>176</v>
      </c>
      <c r="BD50" s="1">
        <v>45848</v>
      </c>
      <c r="BE50" t="s">
        <v>176</v>
      </c>
      <c r="BL50" s="4">
        <v>0</v>
      </c>
      <c r="BM50" s="1">
        <v>46899</v>
      </c>
      <c r="BN50" s="1">
        <v>46169</v>
      </c>
      <c r="BO50">
        <v>0</v>
      </c>
      <c r="BP50">
        <v>32572</v>
      </c>
      <c r="BQ50" t="s">
        <v>156</v>
      </c>
      <c r="BR50">
        <v>0</v>
      </c>
      <c r="BS50">
        <v>0</v>
      </c>
      <c r="BT50">
        <v>0</v>
      </c>
      <c r="BU50">
        <v>0</v>
      </c>
      <c r="BV50" s="3">
        <v>251000.24</v>
      </c>
      <c r="BX50">
        <v>0</v>
      </c>
      <c r="BZ50">
        <v>0</v>
      </c>
      <c r="CA50">
        <v>0</v>
      </c>
      <c r="CB50">
        <v>0</v>
      </c>
      <c r="CC50" s="3">
        <v>251000.24</v>
      </c>
      <c r="CD50" s="5">
        <v>0</v>
      </c>
      <c r="CF50" s="6">
        <v>46143</v>
      </c>
      <c r="CH50">
        <v>0</v>
      </c>
      <c r="CI50">
        <v>0</v>
      </c>
      <c r="CJ50">
        <v>0</v>
      </c>
      <c r="CK50">
        <v>0</v>
      </c>
      <c r="CL50">
        <v>0</v>
      </c>
      <c r="CM50">
        <v>0</v>
      </c>
      <c r="CN50">
        <v>0</v>
      </c>
      <c r="CO50">
        <v>0</v>
      </c>
      <c r="CP50">
        <v>0</v>
      </c>
      <c r="CQ50">
        <v>0</v>
      </c>
      <c r="CR50">
        <v>0</v>
      </c>
      <c r="CS50" t="s">
        <v>599</v>
      </c>
      <c r="CT50" t="s">
        <v>190</v>
      </c>
      <c r="CU50" t="s">
        <v>661</v>
      </c>
      <c r="CW50">
        <v>-52.854999999999997</v>
      </c>
      <c r="CZ50" s="1">
        <v>46158</v>
      </c>
      <c r="DA50" t="s">
        <v>172</v>
      </c>
      <c r="DB50" t="s">
        <v>172</v>
      </c>
      <c r="DC50" t="s">
        <v>172</v>
      </c>
      <c r="DD50" t="s">
        <v>172</v>
      </c>
      <c r="DG50" s="1">
        <v>46158</v>
      </c>
      <c r="DH50">
        <v>0</v>
      </c>
      <c r="DI50">
        <v>0</v>
      </c>
      <c r="DJ50" s="1">
        <v>46169</v>
      </c>
      <c r="DK50" t="s">
        <v>179</v>
      </c>
      <c r="DL50" t="s">
        <v>200</v>
      </c>
      <c r="DM50" t="s">
        <v>172</v>
      </c>
      <c r="DN50" t="s">
        <v>225</v>
      </c>
      <c r="DV50" s="3">
        <v>251000.24</v>
      </c>
      <c r="DW50">
        <v>0</v>
      </c>
      <c r="DX50" s="3">
        <v>251000.24</v>
      </c>
      <c r="DY50">
        <v>0</v>
      </c>
      <c r="EG50" s="1">
        <v>46163</v>
      </c>
      <c r="EM50" s="1">
        <v>46167</v>
      </c>
      <c r="EN50" t="s">
        <v>156</v>
      </c>
      <c r="EP50" s="1">
        <v>46167</v>
      </c>
      <c r="EQ50" s="1">
        <v>46167</v>
      </c>
      <c r="EU50" s="1">
        <v>46163</v>
      </c>
      <c r="EV50" s="1">
        <v>46167</v>
      </c>
      <c r="EW50" s="1">
        <v>46158</v>
      </c>
    </row>
    <row r="51" spans="1:153" x14ac:dyDescent="0.35">
      <c r="A51" t="str">
        <f>HYPERLINK("https://7lm.cvcrm.com.br/gestor/comercial/reservas/7110/administrar","7110")</f>
        <v>7110</v>
      </c>
      <c r="B51" t="s">
        <v>172</v>
      </c>
      <c r="C51" s="1">
        <v>46158</v>
      </c>
      <c r="D51" s="2">
        <v>0.5098611111111111</v>
      </c>
      <c r="E51" t="s">
        <v>157</v>
      </c>
      <c r="F51" t="s">
        <v>202</v>
      </c>
      <c r="G51" t="s">
        <v>203</v>
      </c>
      <c r="H51" t="s">
        <v>319</v>
      </c>
      <c r="I51" t="s">
        <v>666</v>
      </c>
      <c r="J51">
        <v>1</v>
      </c>
      <c r="L51">
        <v>20031</v>
      </c>
      <c r="M51" t="s">
        <v>667</v>
      </c>
      <c r="R51" t="str">
        <f>HYPERLINK("https://7lm.cvcrm.com.br/gestor/relatorios/associado/html?q[1|r.idreserva]=7110","PAULO HENRIQUE FERREIRA DE SOUSA")</f>
        <v>PAULO HENRIQUE FERREIRA DE SOUSA</v>
      </c>
      <c r="S51">
        <v>10202385183</v>
      </c>
      <c r="T51">
        <v>5561994650761</v>
      </c>
      <c r="U51">
        <v>5561991180191</v>
      </c>
      <c r="V51" t="s">
        <v>668</v>
      </c>
      <c r="W51" t="s">
        <v>163</v>
      </c>
      <c r="Y51" t="s">
        <v>189</v>
      </c>
      <c r="Z51" t="s">
        <v>214</v>
      </c>
      <c r="AA51" t="s">
        <v>669</v>
      </c>
      <c r="AB51" t="s">
        <v>670</v>
      </c>
      <c r="AC51" t="s">
        <v>671</v>
      </c>
      <c r="AD51" t="s">
        <v>671</v>
      </c>
      <c r="AF51" t="s">
        <v>212</v>
      </c>
      <c r="AG51" t="s">
        <v>284</v>
      </c>
      <c r="AH51" s="3">
        <v>213019.41</v>
      </c>
      <c r="AI51" s="3">
        <v>213019.41</v>
      </c>
      <c r="AJ51" s="1">
        <v>46218</v>
      </c>
      <c r="AN51" t="s">
        <v>172</v>
      </c>
      <c r="AT51" t="s">
        <v>196</v>
      </c>
      <c r="AU51" t="s">
        <v>175</v>
      </c>
      <c r="AW51">
        <v>0</v>
      </c>
      <c r="AX51" s="1">
        <v>46158</v>
      </c>
      <c r="AY51" s="2">
        <v>0.5098611111111111</v>
      </c>
      <c r="AZ51">
        <v>77170</v>
      </c>
      <c r="BA51" s="1">
        <v>44790</v>
      </c>
      <c r="BB51" s="1">
        <v>46158</v>
      </c>
      <c r="BC51" t="s">
        <v>213</v>
      </c>
      <c r="BD51" s="1">
        <v>46158</v>
      </c>
      <c r="BE51" t="s">
        <v>401</v>
      </c>
      <c r="BL51" s="4">
        <v>0</v>
      </c>
      <c r="BM51" s="1">
        <v>46808</v>
      </c>
      <c r="BO51">
        <v>0</v>
      </c>
      <c r="BP51">
        <v>32573</v>
      </c>
      <c r="BQ51" t="s">
        <v>156</v>
      </c>
      <c r="BR51" s="3">
        <v>126969.89</v>
      </c>
      <c r="BS51" s="3">
        <v>38162</v>
      </c>
      <c r="BT51">
        <v>0</v>
      </c>
      <c r="BU51" s="3">
        <v>165131.89000000001</v>
      </c>
      <c r="BV51" s="3">
        <v>213019.41</v>
      </c>
      <c r="BX51">
        <v>0</v>
      </c>
      <c r="BZ51">
        <v>0</v>
      </c>
      <c r="CA51">
        <v>0</v>
      </c>
      <c r="CB51">
        <v>0</v>
      </c>
      <c r="CC51" s="3">
        <v>213019.41</v>
      </c>
      <c r="CD51" s="5">
        <v>0</v>
      </c>
      <c r="CF51" s="6">
        <v>46143</v>
      </c>
      <c r="CH51">
        <v>0</v>
      </c>
      <c r="CI51">
        <v>0</v>
      </c>
      <c r="CJ51">
        <v>0</v>
      </c>
      <c r="CK51">
        <v>0</v>
      </c>
      <c r="CL51">
        <v>0</v>
      </c>
      <c r="CM51">
        <v>0</v>
      </c>
      <c r="CN51">
        <v>0</v>
      </c>
      <c r="CO51">
        <v>0</v>
      </c>
      <c r="CP51">
        <v>0</v>
      </c>
      <c r="CQ51">
        <v>0</v>
      </c>
      <c r="CR51">
        <v>0</v>
      </c>
      <c r="CT51" t="s">
        <v>214</v>
      </c>
      <c r="CU51" t="s">
        <v>666</v>
      </c>
      <c r="CW51">
        <v>0</v>
      </c>
      <c r="CZ51" s="1">
        <v>46158</v>
      </c>
      <c r="DA51" t="s">
        <v>172</v>
      </c>
      <c r="DB51" t="s">
        <v>172</v>
      </c>
      <c r="DC51" t="s">
        <v>172</v>
      </c>
      <c r="DD51" t="s">
        <v>172</v>
      </c>
      <c r="DG51" s="1">
        <v>46158</v>
      </c>
      <c r="DH51">
        <v>0</v>
      </c>
      <c r="DI51">
        <v>0</v>
      </c>
      <c r="DL51" t="s">
        <v>224</v>
      </c>
      <c r="DM51" t="s">
        <v>172</v>
      </c>
      <c r="DN51" t="s">
        <v>201</v>
      </c>
      <c r="DV51" s="3">
        <v>213019.41</v>
      </c>
      <c r="DW51">
        <v>0</v>
      </c>
      <c r="DX51" s="3">
        <v>213019.41</v>
      </c>
      <c r="DY51">
        <v>0</v>
      </c>
      <c r="EN51" t="s">
        <v>537</v>
      </c>
      <c r="EU51" s="1">
        <v>46164</v>
      </c>
      <c r="EW51" s="1">
        <v>46158</v>
      </c>
    </row>
    <row r="52" spans="1:153" x14ac:dyDescent="0.35">
      <c r="A52" t="str">
        <f>HYPERLINK("https://7lm.cvcrm.com.br/gestor/comercial/reservas/7109/administrar","7109")</f>
        <v>7109</v>
      </c>
      <c r="B52" t="s">
        <v>172</v>
      </c>
      <c r="C52" s="1">
        <v>46158</v>
      </c>
      <c r="D52" s="2">
        <v>0.49479166666666669</v>
      </c>
      <c r="E52" t="s">
        <v>157</v>
      </c>
      <c r="F52" t="s">
        <v>182</v>
      </c>
      <c r="G52" t="s">
        <v>159</v>
      </c>
      <c r="H52" t="s">
        <v>475</v>
      </c>
      <c r="I52" t="s">
        <v>672</v>
      </c>
      <c r="J52">
        <v>1</v>
      </c>
      <c r="L52">
        <v>30151</v>
      </c>
      <c r="M52" t="s">
        <v>673</v>
      </c>
      <c r="R52" t="str">
        <f>HYPERLINK("https://7lm.cvcrm.com.br/gestor/relatorios/associado/html?q[1|r.idreserva]=7109","ROSANIA BATISTA FIGUEREDO")</f>
        <v>ROSANIA BATISTA FIGUEREDO</v>
      </c>
      <c r="S52">
        <v>4754355164</v>
      </c>
      <c r="T52">
        <v>5561999783801</v>
      </c>
      <c r="U52">
        <v>5561983034126</v>
      </c>
      <c r="V52" t="s">
        <v>674</v>
      </c>
      <c r="W52" t="s">
        <v>187</v>
      </c>
      <c r="X52" t="s">
        <v>376</v>
      </c>
      <c r="Y52" t="s">
        <v>189</v>
      </c>
      <c r="AA52" t="s">
        <v>675</v>
      </c>
      <c r="AB52" t="s">
        <v>676</v>
      </c>
      <c r="AC52" t="s">
        <v>435</v>
      </c>
      <c r="AD52" t="s">
        <v>435</v>
      </c>
      <c r="AF52" t="s">
        <v>352</v>
      </c>
      <c r="AG52" t="s">
        <v>251</v>
      </c>
      <c r="AH52" s="3">
        <v>250000.21</v>
      </c>
      <c r="AI52" s="3">
        <v>250000.21</v>
      </c>
      <c r="AJ52" s="1">
        <v>46218</v>
      </c>
      <c r="AN52" t="s">
        <v>172</v>
      </c>
      <c r="AT52" t="s">
        <v>261</v>
      </c>
      <c r="AU52" t="s">
        <v>292</v>
      </c>
      <c r="AW52">
        <v>0</v>
      </c>
      <c r="AX52" s="1">
        <v>46158</v>
      </c>
      <c r="AY52" s="2">
        <v>0.49479166666666669</v>
      </c>
      <c r="AZ52" t="s">
        <v>677</v>
      </c>
      <c r="BA52" t="s">
        <v>678</v>
      </c>
      <c r="BB52" t="s">
        <v>356</v>
      </c>
      <c r="BC52" t="s">
        <v>679</v>
      </c>
      <c r="BD52" t="s">
        <v>680</v>
      </c>
      <c r="BE52" t="s">
        <v>439</v>
      </c>
      <c r="BL52" s="4">
        <v>0</v>
      </c>
      <c r="BM52" s="1">
        <v>46899</v>
      </c>
      <c r="BO52">
        <v>0</v>
      </c>
      <c r="BP52">
        <v>31608</v>
      </c>
      <c r="BQ52" t="s">
        <v>156</v>
      </c>
      <c r="BR52">
        <v>0</v>
      </c>
      <c r="BS52">
        <v>0</v>
      </c>
      <c r="BT52">
        <v>0</v>
      </c>
      <c r="BU52">
        <v>0</v>
      </c>
      <c r="BV52" s="3">
        <v>250000.21</v>
      </c>
      <c r="BX52">
        <v>0</v>
      </c>
      <c r="BZ52">
        <v>0</v>
      </c>
      <c r="CA52">
        <v>0</v>
      </c>
      <c r="CB52">
        <v>0</v>
      </c>
      <c r="CC52" s="3">
        <v>250000.21</v>
      </c>
      <c r="CD52" s="5">
        <v>0</v>
      </c>
      <c r="CF52" s="6">
        <v>46143</v>
      </c>
      <c r="CH52">
        <v>0</v>
      </c>
      <c r="CI52">
        <v>0</v>
      </c>
      <c r="CJ52">
        <v>0</v>
      </c>
      <c r="CK52">
        <v>0</v>
      </c>
      <c r="CL52">
        <v>0</v>
      </c>
      <c r="CM52">
        <v>0</v>
      </c>
      <c r="CN52">
        <v>0</v>
      </c>
      <c r="CO52">
        <v>0</v>
      </c>
      <c r="CP52">
        <v>0</v>
      </c>
      <c r="CQ52">
        <v>0</v>
      </c>
      <c r="CR52">
        <v>0</v>
      </c>
      <c r="CT52" t="s">
        <v>190</v>
      </c>
      <c r="CU52" t="s">
        <v>672</v>
      </c>
      <c r="CW52">
        <v>0</v>
      </c>
      <c r="CZ52" s="1">
        <v>46158</v>
      </c>
      <c r="DA52" t="s">
        <v>172</v>
      </c>
      <c r="DB52" t="s">
        <v>172</v>
      </c>
      <c r="DC52" t="s">
        <v>172</v>
      </c>
      <c r="DD52" t="s">
        <v>172</v>
      </c>
      <c r="DG52" s="1">
        <v>46158</v>
      </c>
      <c r="DH52">
        <v>0</v>
      </c>
      <c r="DI52">
        <v>0</v>
      </c>
      <c r="DK52" t="s">
        <v>179</v>
      </c>
      <c r="DL52" t="s">
        <v>200</v>
      </c>
      <c r="DM52" t="s">
        <v>172</v>
      </c>
      <c r="DN52" t="s">
        <v>225</v>
      </c>
      <c r="DU52" t="s">
        <v>440</v>
      </c>
      <c r="DV52" s="3">
        <v>282399.78999999998</v>
      </c>
      <c r="DW52">
        <v>-53.04</v>
      </c>
      <c r="DX52" s="3">
        <v>282399.78999999998</v>
      </c>
      <c r="DY52">
        <v>-53.04</v>
      </c>
      <c r="EN52" t="s">
        <v>172</v>
      </c>
      <c r="ET52" t="s">
        <v>681</v>
      </c>
      <c r="EW52" s="1">
        <v>46158</v>
      </c>
    </row>
    <row r="53" spans="1:153" ht="246.5" x14ac:dyDescent="0.35">
      <c r="A53" t="str">
        <f>HYPERLINK("https://7lm.cvcrm.com.br/gestor/comercial/reservas/7108/administrar","7108")</f>
        <v>7108</v>
      </c>
      <c r="B53" t="s">
        <v>156</v>
      </c>
      <c r="C53" s="1">
        <v>46158</v>
      </c>
      <c r="D53" s="2">
        <v>0.44224537037037037</v>
      </c>
      <c r="E53" t="s">
        <v>294</v>
      </c>
      <c r="F53" t="s">
        <v>295</v>
      </c>
      <c r="G53" t="s">
        <v>203</v>
      </c>
      <c r="H53" t="s">
        <v>277</v>
      </c>
      <c r="I53" t="s">
        <v>682</v>
      </c>
      <c r="J53">
        <v>1</v>
      </c>
      <c r="K53">
        <v>8484</v>
      </c>
      <c r="L53">
        <v>30031</v>
      </c>
      <c r="M53" t="s">
        <v>683</v>
      </c>
      <c r="N53" s="1">
        <v>46161</v>
      </c>
      <c r="O53" s="2">
        <v>0.74025462962962962</v>
      </c>
      <c r="Q53">
        <v>10004</v>
      </c>
      <c r="R53" t="str">
        <f>HYPERLINK("https://7lm.cvcrm.com.br/gestor/relatorios/associado/html?q[1|r.idreserva]=7108","JANAINA JUNQUEIRA DE OLIVEIRA")</f>
        <v>JANAINA JUNQUEIRA DE OLIVEIRA</v>
      </c>
      <c r="S53">
        <v>4356996100</v>
      </c>
      <c r="T53">
        <v>5561996410314</v>
      </c>
      <c r="U53">
        <v>5561998104883</v>
      </c>
      <c r="V53" t="s">
        <v>684</v>
      </c>
      <c r="W53" t="s">
        <v>187</v>
      </c>
      <c r="X53" t="s">
        <v>376</v>
      </c>
      <c r="Y53" t="s">
        <v>189</v>
      </c>
      <c r="Z53" t="s">
        <v>190</v>
      </c>
      <c r="AA53" t="s">
        <v>685</v>
      </c>
      <c r="AB53" t="s">
        <v>686</v>
      </c>
      <c r="AC53" t="s">
        <v>435</v>
      </c>
      <c r="AD53" t="s">
        <v>435</v>
      </c>
      <c r="AF53" t="s">
        <v>352</v>
      </c>
      <c r="AG53" t="s">
        <v>251</v>
      </c>
      <c r="AH53" s="3">
        <v>260000</v>
      </c>
      <c r="AI53" s="3">
        <v>260000</v>
      </c>
      <c r="AJ53" s="1">
        <v>46164</v>
      </c>
      <c r="AN53" t="s">
        <v>172</v>
      </c>
      <c r="AR53" s="7" t="s">
        <v>353</v>
      </c>
      <c r="AT53" t="s">
        <v>261</v>
      </c>
      <c r="AU53" t="s">
        <v>292</v>
      </c>
      <c r="AW53">
        <v>0</v>
      </c>
      <c r="AX53" s="1">
        <v>46163</v>
      </c>
      <c r="AY53" s="2">
        <v>0.4826388888888889</v>
      </c>
      <c r="AZ53">
        <v>76569</v>
      </c>
      <c r="BA53" s="1">
        <v>44768</v>
      </c>
      <c r="BB53" s="1">
        <v>45496</v>
      </c>
      <c r="BC53" t="s">
        <v>687</v>
      </c>
      <c r="BD53" s="1">
        <v>45502</v>
      </c>
      <c r="BE53" t="s">
        <v>276</v>
      </c>
      <c r="BL53" s="4">
        <v>0</v>
      </c>
      <c r="BM53" s="1">
        <v>46604</v>
      </c>
      <c r="BN53" s="1">
        <v>46163</v>
      </c>
      <c r="BO53">
        <v>0</v>
      </c>
      <c r="BP53">
        <v>32433</v>
      </c>
      <c r="BQ53" t="s">
        <v>156</v>
      </c>
      <c r="BR53" s="3">
        <v>135120.74</v>
      </c>
      <c r="BS53" s="3">
        <v>25150</v>
      </c>
      <c r="BT53">
        <v>0</v>
      </c>
      <c r="BU53" s="3">
        <v>160270.74</v>
      </c>
      <c r="BV53" s="3">
        <v>260000</v>
      </c>
      <c r="BX53">
        <v>0</v>
      </c>
      <c r="BZ53">
        <v>0</v>
      </c>
      <c r="CA53">
        <v>0</v>
      </c>
      <c r="CB53">
        <v>0</v>
      </c>
      <c r="CC53" s="3">
        <v>260000</v>
      </c>
      <c r="CD53" s="5">
        <v>0</v>
      </c>
      <c r="CF53" s="6">
        <v>46143</v>
      </c>
      <c r="CH53">
        <v>0</v>
      </c>
      <c r="CI53">
        <v>0</v>
      </c>
      <c r="CJ53">
        <v>0</v>
      </c>
      <c r="CK53">
        <v>0</v>
      </c>
      <c r="CL53">
        <v>0</v>
      </c>
      <c r="CM53">
        <v>0</v>
      </c>
      <c r="CN53">
        <v>0</v>
      </c>
      <c r="CO53">
        <v>0</v>
      </c>
      <c r="CP53">
        <v>0</v>
      </c>
      <c r="CQ53">
        <v>0</v>
      </c>
      <c r="CR53">
        <v>0</v>
      </c>
      <c r="CS53" t="s">
        <v>659</v>
      </c>
      <c r="CT53" t="s">
        <v>190</v>
      </c>
      <c r="CU53" t="s">
        <v>682</v>
      </c>
      <c r="CW53">
        <v>-54.047400000000003</v>
      </c>
      <c r="CZ53" s="1">
        <v>46158</v>
      </c>
      <c r="DA53" t="s">
        <v>172</v>
      </c>
      <c r="DB53" t="s">
        <v>172</v>
      </c>
      <c r="DC53" t="s">
        <v>172</v>
      </c>
      <c r="DD53" t="s">
        <v>172</v>
      </c>
      <c r="DG53" s="1">
        <v>46158</v>
      </c>
      <c r="DH53">
        <v>0</v>
      </c>
      <c r="DI53">
        <v>0</v>
      </c>
      <c r="DJ53" s="1">
        <v>46163</v>
      </c>
      <c r="DL53" t="s">
        <v>200</v>
      </c>
      <c r="DM53" t="s">
        <v>172</v>
      </c>
      <c r="DN53" t="s">
        <v>511</v>
      </c>
      <c r="DV53" s="3">
        <v>260000</v>
      </c>
      <c r="DW53">
        <v>0</v>
      </c>
      <c r="DX53" s="3">
        <v>260000</v>
      </c>
      <c r="DY53">
        <v>0</v>
      </c>
      <c r="EG53" s="1">
        <v>46162</v>
      </c>
      <c r="EP53" s="1">
        <v>46162</v>
      </c>
      <c r="EQ53" s="1">
        <v>46162</v>
      </c>
      <c r="ER53" s="1">
        <v>46161</v>
      </c>
      <c r="ES53" t="s">
        <v>688</v>
      </c>
      <c r="EV53" s="1">
        <v>46162</v>
      </c>
      <c r="EW53" s="1">
        <v>46158</v>
      </c>
    </row>
    <row r="54" spans="1:153" x14ac:dyDescent="0.35">
      <c r="A54" t="str">
        <f>HYPERLINK("https://7lm.cvcrm.com.br/gestor/comercial/reservas/7107/administrar","7107")</f>
        <v>7107</v>
      </c>
      <c r="B54" t="s">
        <v>172</v>
      </c>
      <c r="C54" s="1">
        <v>46158</v>
      </c>
      <c r="D54" s="2">
        <v>0.4254398148148148</v>
      </c>
      <c r="E54" t="s">
        <v>527</v>
      </c>
      <c r="F54" t="s">
        <v>295</v>
      </c>
      <c r="G54" t="s">
        <v>203</v>
      </c>
      <c r="H54" t="s">
        <v>217</v>
      </c>
      <c r="I54" t="s">
        <v>562</v>
      </c>
      <c r="J54">
        <v>1</v>
      </c>
      <c r="K54">
        <v>8484</v>
      </c>
      <c r="L54">
        <v>30031</v>
      </c>
      <c r="M54" t="s">
        <v>563</v>
      </c>
      <c r="R54" t="str">
        <f>HYPERLINK("https://7lm.cvcrm.com.br/gestor/relatorios/associado/html?q[1|r.idreserva]=7107","JANAINA JUNQUEIRA DE OLIVEIRA")</f>
        <v>JANAINA JUNQUEIRA DE OLIVEIRA</v>
      </c>
      <c r="S54">
        <v>4356996100</v>
      </c>
      <c r="T54">
        <v>5561996410314</v>
      </c>
      <c r="U54">
        <v>5561998104883</v>
      </c>
      <c r="V54" t="s">
        <v>684</v>
      </c>
      <c r="W54" t="s">
        <v>187</v>
      </c>
      <c r="X54" t="s">
        <v>376</v>
      </c>
      <c r="Y54" t="s">
        <v>189</v>
      </c>
      <c r="Z54" t="s">
        <v>190</v>
      </c>
      <c r="AA54" t="s">
        <v>685</v>
      </c>
      <c r="AB54" t="s">
        <v>686</v>
      </c>
      <c r="AC54" t="s">
        <v>435</v>
      </c>
      <c r="AD54" t="s">
        <v>435</v>
      </c>
      <c r="AF54" t="s">
        <v>352</v>
      </c>
      <c r="AG54" t="s">
        <v>251</v>
      </c>
      <c r="AH54">
        <v>0</v>
      </c>
      <c r="AI54">
        <v>0</v>
      </c>
      <c r="AN54" t="s">
        <v>172</v>
      </c>
      <c r="AO54" t="s">
        <v>689</v>
      </c>
      <c r="AP54" t="s">
        <v>690</v>
      </c>
      <c r="AT54" t="s">
        <v>196</v>
      </c>
      <c r="AU54" t="s">
        <v>292</v>
      </c>
      <c r="AW54">
        <v>0</v>
      </c>
      <c r="AX54" s="1">
        <v>46158</v>
      </c>
      <c r="AY54" s="2">
        <v>0.5319328703703704</v>
      </c>
      <c r="AZ54">
        <v>76569</v>
      </c>
      <c r="BA54" s="1">
        <v>44768</v>
      </c>
      <c r="BB54" s="1">
        <v>45496</v>
      </c>
      <c r="BC54" t="s">
        <v>687</v>
      </c>
      <c r="BD54" s="1">
        <v>45502</v>
      </c>
      <c r="BE54" t="s">
        <v>276</v>
      </c>
      <c r="BL54" s="4">
        <v>0</v>
      </c>
      <c r="BM54" s="1">
        <v>46604</v>
      </c>
      <c r="BO54">
        <v>0</v>
      </c>
      <c r="BP54">
        <v>32433</v>
      </c>
      <c r="BQ54" t="s">
        <v>156</v>
      </c>
      <c r="BR54" s="3">
        <v>135120.74</v>
      </c>
      <c r="BS54" s="3">
        <v>25150</v>
      </c>
      <c r="BT54">
        <v>0</v>
      </c>
      <c r="BU54" s="3">
        <v>160270.74</v>
      </c>
      <c r="BV54">
        <v>0</v>
      </c>
      <c r="BX54">
        <v>0</v>
      </c>
      <c r="BZ54">
        <v>0</v>
      </c>
      <c r="CA54">
        <v>0</v>
      </c>
      <c r="CB54">
        <v>0</v>
      </c>
      <c r="CC54">
        <v>0</v>
      </c>
      <c r="CD54" s="5">
        <v>0</v>
      </c>
      <c r="CF54" s="6">
        <v>46143</v>
      </c>
      <c r="CH54">
        <v>0</v>
      </c>
      <c r="CI54">
        <v>0</v>
      </c>
      <c r="CJ54">
        <v>0</v>
      </c>
      <c r="CK54">
        <v>0</v>
      </c>
      <c r="CL54">
        <v>0</v>
      </c>
      <c r="CM54">
        <v>0</v>
      </c>
      <c r="CN54">
        <v>0</v>
      </c>
      <c r="CO54">
        <v>0</v>
      </c>
      <c r="CP54">
        <v>0</v>
      </c>
      <c r="CQ54">
        <v>0</v>
      </c>
      <c r="CR54">
        <v>0</v>
      </c>
      <c r="CT54" t="s">
        <v>190</v>
      </c>
      <c r="CU54" t="s">
        <v>562</v>
      </c>
      <c r="CW54">
        <v>0</v>
      </c>
      <c r="CZ54" s="1">
        <v>46158</v>
      </c>
      <c r="DA54" t="s">
        <v>172</v>
      </c>
      <c r="DB54" t="s">
        <v>172</v>
      </c>
      <c r="DC54" t="s">
        <v>172</v>
      </c>
      <c r="DD54" t="s">
        <v>172</v>
      </c>
      <c r="DG54" s="1">
        <v>46158</v>
      </c>
      <c r="DH54">
        <v>0</v>
      </c>
      <c r="DI54">
        <v>0</v>
      </c>
      <c r="DL54" t="s">
        <v>200</v>
      </c>
      <c r="DM54" t="s">
        <v>172</v>
      </c>
      <c r="DN54" t="s">
        <v>201</v>
      </c>
      <c r="DV54">
        <v>0</v>
      </c>
      <c r="DW54">
        <v>0</v>
      </c>
      <c r="DX54">
        <v>0</v>
      </c>
      <c r="DY54">
        <v>0</v>
      </c>
    </row>
    <row r="55" spans="1:153" ht="391.5" x14ac:dyDescent="0.35">
      <c r="A55" t="str">
        <f>HYPERLINK("https://7lm.cvcrm.com.br/gestor/comercial/reservas/7106/administrar","7106")</f>
        <v>7106</v>
      </c>
      <c r="B55" t="s">
        <v>156</v>
      </c>
      <c r="C55" s="1">
        <v>46157</v>
      </c>
      <c r="D55" s="2">
        <v>0.79021990740740744</v>
      </c>
      <c r="E55" t="s">
        <v>294</v>
      </c>
      <c r="F55" t="s">
        <v>202</v>
      </c>
      <c r="G55" t="s">
        <v>203</v>
      </c>
      <c r="H55" t="s">
        <v>528</v>
      </c>
      <c r="I55" t="s">
        <v>691</v>
      </c>
      <c r="J55">
        <v>1</v>
      </c>
      <c r="K55">
        <v>8474</v>
      </c>
      <c r="L55">
        <v>20031</v>
      </c>
      <c r="M55" t="s">
        <v>692</v>
      </c>
      <c r="N55" s="1">
        <v>46163</v>
      </c>
      <c r="O55" s="2">
        <v>0.4871064814814815</v>
      </c>
      <c r="Q55">
        <v>9973</v>
      </c>
      <c r="R55" t="str">
        <f>HYPERLINK("https://7lm.cvcrm.com.br/gestor/relatorios/associado/html?q[1|r.idreserva]=7106","LARA ALVES DOS SANTOS")</f>
        <v>LARA ALVES DOS SANTOS</v>
      </c>
      <c r="S55">
        <v>4743295181</v>
      </c>
      <c r="T55">
        <v>5561986720691</v>
      </c>
      <c r="U55">
        <v>5561998980954</v>
      </c>
      <c r="V55" t="s">
        <v>693</v>
      </c>
      <c r="W55" t="s">
        <v>187</v>
      </c>
      <c r="X55" t="s">
        <v>299</v>
      </c>
      <c r="Y55" t="s">
        <v>189</v>
      </c>
      <c r="Z55" t="s">
        <v>214</v>
      </c>
      <c r="AA55" t="s">
        <v>694</v>
      </c>
      <c r="AB55" t="s">
        <v>695</v>
      </c>
      <c r="AC55" t="s">
        <v>696</v>
      </c>
      <c r="AD55" t="s">
        <v>697</v>
      </c>
      <c r="AF55" t="s">
        <v>315</v>
      </c>
      <c r="AG55" t="s">
        <v>195</v>
      </c>
      <c r="AH55" s="3">
        <v>217577.47</v>
      </c>
      <c r="AI55" s="3">
        <v>217577.47</v>
      </c>
      <c r="AJ55" s="1">
        <v>46157</v>
      </c>
      <c r="AN55" t="s">
        <v>172</v>
      </c>
      <c r="AR55" s="7" t="s">
        <v>698</v>
      </c>
      <c r="AT55" t="s">
        <v>173</v>
      </c>
      <c r="AU55" t="s">
        <v>316</v>
      </c>
      <c r="AW55">
        <v>0</v>
      </c>
      <c r="AX55" s="1">
        <v>46161</v>
      </c>
      <c r="AY55" s="2">
        <v>0.65819444444444442</v>
      </c>
      <c r="AZ55">
        <v>125956</v>
      </c>
      <c r="BA55" s="1">
        <v>45501</v>
      </c>
      <c r="BB55" s="1">
        <v>46154</v>
      </c>
      <c r="BC55" t="s">
        <v>275</v>
      </c>
      <c r="BD55" s="1">
        <v>46155</v>
      </c>
      <c r="BE55" t="s">
        <v>317</v>
      </c>
      <c r="BL55" s="4">
        <v>0</v>
      </c>
      <c r="BM55" s="1">
        <v>46808</v>
      </c>
      <c r="BN55" s="1">
        <v>46161</v>
      </c>
      <c r="BO55">
        <v>0</v>
      </c>
      <c r="BP55">
        <v>32432</v>
      </c>
      <c r="BQ55" t="s">
        <v>156</v>
      </c>
      <c r="BR55" s="3">
        <v>145235.44</v>
      </c>
      <c r="BS55" s="3">
        <v>15542</v>
      </c>
      <c r="BT55">
        <v>0</v>
      </c>
      <c r="BU55" s="3">
        <v>160777.44</v>
      </c>
      <c r="BV55" s="3">
        <v>217577.47</v>
      </c>
      <c r="BX55">
        <v>0</v>
      </c>
      <c r="BZ55">
        <v>0</v>
      </c>
      <c r="CA55">
        <v>0</v>
      </c>
      <c r="CB55">
        <v>0</v>
      </c>
      <c r="CC55" s="3">
        <v>217577.47</v>
      </c>
      <c r="CD55" s="5">
        <v>0</v>
      </c>
      <c r="CF55" s="6">
        <v>46143</v>
      </c>
      <c r="CH55">
        <v>0</v>
      </c>
      <c r="CI55">
        <v>0</v>
      </c>
      <c r="CJ55">
        <v>0</v>
      </c>
      <c r="CK55">
        <v>0</v>
      </c>
      <c r="CL55">
        <v>0</v>
      </c>
      <c r="CM55">
        <v>0</v>
      </c>
      <c r="CN55">
        <v>0</v>
      </c>
      <c r="CO55">
        <v>0</v>
      </c>
      <c r="CP55">
        <v>0</v>
      </c>
      <c r="CQ55">
        <v>0</v>
      </c>
      <c r="CR55">
        <v>0</v>
      </c>
      <c r="CS55" t="s">
        <v>360</v>
      </c>
      <c r="CT55" t="s">
        <v>214</v>
      </c>
      <c r="CU55" t="s">
        <v>691</v>
      </c>
      <c r="CW55">
        <v>-55.542000000000002</v>
      </c>
      <c r="CZ55" s="1">
        <v>46157</v>
      </c>
      <c r="DA55" t="s">
        <v>172</v>
      </c>
      <c r="DB55" t="s">
        <v>172</v>
      </c>
      <c r="DC55" t="s">
        <v>172</v>
      </c>
      <c r="DD55" t="s">
        <v>172</v>
      </c>
      <c r="DG55" s="1">
        <v>46157</v>
      </c>
      <c r="DH55">
        <v>0</v>
      </c>
      <c r="DI55">
        <v>0</v>
      </c>
      <c r="DJ55" s="1">
        <v>46161</v>
      </c>
      <c r="DL55" t="s">
        <v>224</v>
      </c>
      <c r="DM55" t="s">
        <v>172</v>
      </c>
      <c r="DN55" t="s">
        <v>525</v>
      </c>
      <c r="DV55" s="3">
        <v>217577.47</v>
      </c>
      <c r="DW55">
        <v>0</v>
      </c>
      <c r="DX55" s="3">
        <v>217577.47</v>
      </c>
      <c r="DY55">
        <v>0</v>
      </c>
      <c r="EF55" s="1">
        <v>46163</v>
      </c>
      <c r="EG55" s="1">
        <v>46161</v>
      </c>
      <c r="EK55" s="1">
        <v>46163</v>
      </c>
      <c r="EN55" t="s">
        <v>156</v>
      </c>
      <c r="EP55" s="1">
        <v>46161</v>
      </c>
      <c r="ET55" t="s">
        <v>699</v>
      </c>
      <c r="EU55" s="1">
        <v>46161</v>
      </c>
      <c r="EW55" s="1">
        <v>46157</v>
      </c>
    </row>
    <row r="56" spans="1:153" x14ac:dyDescent="0.35">
      <c r="A56" t="str">
        <f>HYPERLINK("https://7lm.cvcrm.com.br/gestor/comercial/reservas/7105/administrar","7105")</f>
        <v>7105</v>
      </c>
      <c r="B56" t="s">
        <v>172</v>
      </c>
      <c r="C56" s="1">
        <v>46157</v>
      </c>
      <c r="D56" s="2">
        <v>0.73819444444444449</v>
      </c>
      <c r="E56" t="s">
        <v>157</v>
      </c>
      <c r="F56" t="s">
        <v>202</v>
      </c>
      <c r="G56" t="s">
        <v>203</v>
      </c>
      <c r="H56" t="s">
        <v>513</v>
      </c>
      <c r="I56" t="s">
        <v>637</v>
      </c>
      <c r="J56">
        <v>1</v>
      </c>
      <c r="L56">
        <v>20031</v>
      </c>
      <c r="M56" t="s">
        <v>700</v>
      </c>
      <c r="R56" t="str">
        <f>HYPERLINK("https://7lm.cvcrm.com.br/gestor/relatorios/associado/html?q[1|r.idreserva]=7105","JULIA M M CAVALCANTE")</f>
        <v>JULIA M M CAVALCANTE</v>
      </c>
      <c r="S56">
        <v>2895182108</v>
      </c>
      <c r="T56">
        <v>556181948312</v>
      </c>
      <c r="U56">
        <v>5561983491734</v>
      </c>
      <c r="V56" t="s">
        <v>701</v>
      </c>
      <c r="W56" t="s">
        <v>187</v>
      </c>
      <c r="X56" t="s">
        <v>521</v>
      </c>
      <c r="Y56" t="s">
        <v>165</v>
      </c>
      <c r="Z56" t="s">
        <v>257</v>
      </c>
      <c r="AA56" t="s">
        <v>702</v>
      </c>
      <c r="AB56" t="s">
        <v>703</v>
      </c>
      <c r="AC56" t="s">
        <v>398</v>
      </c>
      <c r="AF56" t="s">
        <v>399</v>
      </c>
      <c r="AG56" t="s">
        <v>195</v>
      </c>
      <c r="AH56" s="3">
        <v>220173.72</v>
      </c>
      <c r="AI56" s="3">
        <v>220173.72</v>
      </c>
      <c r="AJ56" s="1">
        <v>46157</v>
      </c>
      <c r="AN56" t="s">
        <v>172</v>
      </c>
      <c r="AT56" t="s">
        <v>173</v>
      </c>
      <c r="AU56" t="s">
        <v>316</v>
      </c>
      <c r="AW56">
        <v>0</v>
      </c>
      <c r="AX56" s="1">
        <v>46157</v>
      </c>
      <c r="AY56" s="2">
        <v>0.73819444444444449</v>
      </c>
      <c r="AZ56">
        <v>207265</v>
      </c>
      <c r="BA56" s="1">
        <v>46146</v>
      </c>
      <c r="BC56" t="s">
        <v>0</v>
      </c>
      <c r="BD56" s="1">
        <v>46157</v>
      </c>
      <c r="BE56" t="s">
        <v>198</v>
      </c>
      <c r="BL56" s="4">
        <v>0</v>
      </c>
      <c r="BM56" s="1">
        <v>46808</v>
      </c>
      <c r="BO56">
        <v>0</v>
      </c>
      <c r="BP56">
        <v>32244</v>
      </c>
      <c r="BQ56" t="s">
        <v>156</v>
      </c>
      <c r="BR56" s="3">
        <v>126448.42</v>
      </c>
      <c r="BS56" s="3">
        <v>38642</v>
      </c>
      <c r="BT56">
        <v>0</v>
      </c>
      <c r="BU56" s="3">
        <v>165090.42000000001</v>
      </c>
      <c r="BV56" s="3">
        <v>220173.72</v>
      </c>
      <c r="BX56">
        <v>0</v>
      </c>
      <c r="BZ56">
        <v>0</v>
      </c>
      <c r="CA56">
        <v>0</v>
      </c>
      <c r="CB56">
        <v>0</v>
      </c>
      <c r="CC56" s="3">
        <v>220173.72</v>
      </c>
      <c r="CD56" s="5">
        <v>0</v>
      </c>
      <c r="CF56" s="6">
        <v>46143</v>
      </c>
      <c r="CH56">
        <v>0</v>
      </c>
      <c r="CI56">
        <v>0</v>
      </c>
      <c r="CJ56">
        <v>0</v>
      </c>
      <c r="CK56">
        <v>0</v>
      </c>
      <c r="CL56">
        <v>0</v>
      </c>
      <c r="CM56">
        <v>0</v>
      </c>
      <c r="CN56">
        <v>0</v>
      </c>
      <c r="CO56">
        <v>0</v>
      </c>
      <c r="CP56">
        <v>0</v>
      </c>
      <c r="CQ56">
        <v>0</v>
      </c>
      <c r="CR56">
        <v>0</v>
      </c>
      <c r="CT56" t="s">
        <v>214</v>
      </c>
      <c r="CU56" t="s">
        <v>637</v>
      </c>
      <c r="CW56">
        <v>0</v>
      </c>
      <c r="CZ56" s="1">
        <v>46157</v>
      </c>
      <c r="DA56" t="s">
        <v>172</v>
      </c>
      <c r="DB56" t="s">
        <v>172</v>
      </c>
      <c r="DC56" t="s">
        <v>172</v>
      </c>
      <c r="DD56" t="s">
        <v>172</v>
      </c>
      <c r="DG56" s="1">
        <v>46157</v>
      </c>
      <c r="DH56">
        <v>0</v>
      </c>
      <c r="DI56">
        <v>0</v>
      </c>
      <c r="DL56" t="s">
        <v>215</v>
      </c>
      <c r="DM56" t="s">
        <v>172</v>
      </c>
      <c r="DN56" t="s">
        <v>201</v>
      </c>
      <c r="DV56" s="3">
        <v>220173.72</v>
      </c>
      <c r="DW56">
        <v>0</v>
      </c>
      <c r="DX56" s="3">
        <v>220173.72</v>
      </c>
      <c r="DY56">
        <v>0</v>
      </c>
    </row>
    <row r="57" spans="1:153" ht="159.5" x14ac:dyDescent="0.35">
      <c r="A57" t="str">
        <f>HYPERLINK("https://7lm.cvcrm.com.br/gestor/comercial/reservas/7104/administrar","7104")</f>
        <v>7104</v>
      </c>
      <c r="B57" t="s">
        <v>172</v>
      </c>
      <c r="C57" s="1">
        <v>46157</v>
      </c>
      <c r="D57" s="2">
        <v>0.72597222222222224</v>
      </c>
      <c r="E57" t="s">
        <v>157</v>
      </c>
      <c r="F57" t="s">
        <v>182</v>
      </c>
      <c r="G57" t="s">
        <v>159</v>
      </c>
      <c r="H57" t="s">
        <v>704</v>
      </c>
      <c r="I57" t="s">
        <v>691</v>
      </c>
      <c r="J57">
        <v>1</v>
      </c>
      <c r="K57">
        <v>8473</v>
      </c>
      <c r="L57">
        <v>30151</v>
      </c>
      <c r="M57" t="s">
        <v>705</v>
      </c>
      <c r="R57" t="str">
        <f>HYPERLINK("https://7lm.cvcrm.com.br/gestor/relatorios/associado/html?q[1|r.idreserva]=7104","ROGERIO ROCHA SANTOS")</f>
        <v>ROGERIO ROCHA SANTOS</v>
      </c>
      <c r="S57">
        <v>6541522502</v>
      </c>
      <c r="T57">
        <v>5561999926008</v>
      </c>
      <c r="U57">
        <v>5561998128862</v>
      </c>
      <c r="V57" t="s">
        <v>706</v>
      </c>
      <c r="W57" t="s">
        <v>163</v>
      </c>
      <c r="X57" t="s">
        <v>376</v>
      </c>
      <c r="Y57" t="s">
        <v>189</v>
      </c>
      <c r="Z57" t="s">
        <v>190</v>
      </c>
      <c r="AA57" t="s">
        <v>707</v>
      </c>
      <c r="AB57" t="s">
        <v>708</v>
      </c>
      <c r="AC57" t="s">
        <v>435</v>
      </c>
      <c r="AD57" t="s">
        <v>435</v>
      </c>
      <c r="AF57" t="s">
        <v>352</v>
      </c>
      <c r="AG57" t="s">
        <v>251</v>
      </c>
      <c r="AH57" s="3">
        <v>250000.16</v>
      </c>
      <c r="AI57" s="3">
        <v>250000.16</v>
      </c>
      <c r="AJ57" s="1">
        <v>46218</v>
      </c>
      <c r="AN57" t="s">
        <v>172</v>
      </c>
      <c r="AR57" s="7" t="s">
        <v>709</v>
      </c>
      <c r="AT57" t="s">
        <v>261</v>
      </c>
      <c r="AU57" t="s">
        <v>175</v>
      </c>
      <c r="AW57">
        <v>0</v>
      </c>
      <c r="AX57" s="1">
        <v>46157</v>
      </c>
      <c r="AY57" s="2">
        <v>0.72597222222222224</v>
      </c>
      <c r="AZ57">
        <v>145350</v>
      </c>
      <c r="BA57" s="1">
        <v>45672</v>
      </c>
      <c r="BB57" s="1">
        <v>46151</v>
      </c>
      <c r="BC57" t="s">
        <v>0</v>
      </c>
      <c r="BD57" s="1">
        <v>46157</v>
      </c>
      <c r="BE57" t="s">
        <v>317</v>
      </c>
      <c r="BL57" s="4">
        <v>0</v>
      </c>
      <c r="BM57" s="1">
        <v>46899</v>
      </c>
      <c r="BO57">
        <v>0</v>
      </c>
      <c r="BP57">
        <v>32242</v>
      </c>
      <c r="BQ57" t="s">
        <v>156</v>
      </c>
      <c r="BR57">
        <v>0</v>
      </c>
      <c r="BS57">
        <v>0</v>
      </c>
      <c r="BT57">
        <v>0</v>
      </c>
      <c r="BU57">
        <v>0</v>
      </c>
      <c r="BV57" s="3">
        <v>250000.16</v>
      </c>
      <c r="BX57">
        <v>0</v>
      </c>
      <c r="BZ57">
        <v>0</v>
      </c>
      <c r="CA57">
        <v>0</v>
      </c>
      <c r="CB57">
        <v>0</v>
      </c>
      <c r="CC57" s="3">
        <v>250000.16</v>
      </c>
      <c r="CD57" s="5">
        <v>0</v>
      </c>
      <c r="CF57" s="6">
        <v>46143</v>
      </c>
      <c r="CH57">
        <v>0</v>
      </c>
      <c r="CI57">
        <v>0</v>
      </c>
      <c r="CJ57">
        <v>0</v>
      </c>
      <c r="CK57">
        <v>0</v>
      </c>
      <c r="CL57">
        <v>0</v>
      </c>
      <c r="CM57">
        <v>0</v>
      </c>
      <c r="CN57">
        <v>0</v>
      </c>
      <c r="CO57">
        <v>0</v>
      </c>
      <c r="CP57">
        <v>0</v>
      </c>
      <c r="CQ57">
        <v>0</v>
      </c>
      <c r="CR57">
        <v>0</v>
      </c>
      <c r="CT57" t="s">
        <v>190</v>
      </c>
      <c r="CU57" t="s">
        <v>691</v>
      </c>
      <c r="CW57">
        <v>0</v>
      </c>
      <c r="CZ57" s="1">
        <v>46157</v>
      </c>
      <c r="DA57" t="s">
        <v>172</v>
      </c>
      <c r="DB57" t="s">
        <v>172</v>
      </c>
      <c r="DC57" t="s">
        <v>172</v>
      </c>
      <c r="DD57" t="s">
        <v>172</v>
      </c>
      <c r="DG57" s="1">
        <v>46157</v>
      </c>
      <c r="DH57">
        <v>0</v>
      </c>
      <c r="DI57">
        <v>0</v>
      </c>
      <c r="DK57" t="s">
        <v>179</v>
      </c>
      <c r="DL57" t="s">
        <v>200</v>
      </c>
      <c r="DM57" t="s">
        <v>172</v>
      </c>
      <c r="DN57" t="s">
        <v>225</v>
      </c>
      <c r="DU57" t="s">
        <v>440</v>
      </c>
      <c r="DV57" s="3">
        <v>282399.84000000003</v>
      </c>
      <c r="DW57">
        <v>-53.04</v>
      </c>
      <c r="DX57" s="3">
        <v>282399.84000000003</v>
      </c>
      <c r="DY57">
        <v>-53.04</v>
      </c>
      <c r="EM57" s="1">
        <v>46167</v>
      </c>
      <c r="EN57" t="s">
        <v>172</v>
      </c>
      <c r="EP57" s="1">
        <v>46164</v>
      </c>
      <c r="ER57" s="1">
        <v>46164</v>
      </c>
      <c r="ES57" t="s">
        <v>710</v>
      </c>
      <c r="ET57" t="s">
        <v>711</v>
      </c>
      <c r="EW57" s="1">
        <v>46157</v>
      </c>
    </row>
    <row r="58" spans="1:153" x14ac:dyDescent="0.35">
      <c r="A58" t="str">
        <f>HYPERLINK("https://7lm.cvcrm.com.br/gestor/comercial/reservas/7103/administrar","7103")</f>
        <v>7103</v>
      </c>
      <c r="B58" t="s">
        <v>172</v>
      </c>
      <c r="C58" s="1">
        <v>46157</v>
      </c>
      <c r="D58" s="2">
        <v>0.7184490740740741</v>
      </c>
      <c r="E58" t="s">
        <v>527</v>
      </c>
      <c r="F58" t="s">
        <v>202</v>
      </c>
      <c r="G58" t="s">
        <v>203</v>
      </c>
      <c r="H58" t="s">
        <v>319</v>
      </c>
      <c r="I58" t="s">
        <v>320</v>
      </c>
      <c r="J58">
        <v>1</v>
      </c>
      <c r="L58">
        <v>20031</v>
      </c>
      <c r="M58" t="s">
        <v>321</v>
      </c>
      <c r="R58" t="str">
        <f>HYPERLINK("https://7lm.cvcrm.com.br/gestor/relatorios/associado/html?q[1|r.idreserva]=7103","RAIMUNDA SORAYA GOMES CHAVES")</f>
        <v>RAIMUNDA SORAYA GOMES CHAVES</v>
      </c>
      <c r="S58">
        <v>77011252134</v>
      </c>
      <c r="T58">
        <v>5561981878792</v>
      </c>
      <c r="U58">
        <v>5561985964433</v>
      </c>
      <c r="V58" t="s">
        <v>712</v>
      </c>
      <c r="W58" t="s">
        <v>187</v>
      </c>
      <c r="Y58" t="s">
        <v>165</v>
      </c>
      <c r="Z58" t="s">
        <v>257</v>
      </c>
      <c r="AA58" t="s">
        <v>713</v>
      </c>
      <c r="AB58" t="s">
        <v>714</v>
      </c>
      <c r="AC58" t="s">
        <v>715</v>
      </c>
      <c r="AF58" t="s">
        <v>389</v>
      </c>
      <c r="AG58" t="s">
        <v>195</v>
      </c>
      <c r="AH58" s="3">
        <v>213300.75</v>
      </c>
      <c r="AI58" s="3">
        <v>213300.75</v>
      </c>
      <c r="AJ58" s="1">
        <v>46158</v>
      </c>
      <c r="AN58" t="s">
        <v>172</v>
      </c>
      <c r="AO58" t="s">
        <v>716</v>
      </c>
      <c r="AT58" t="s">
        <v>173</v>
      </c>
      <c r="AU58" t="s">
        <v>316</v>
      </c>
      <c r="AW58">
        <v>0</v>
      </c>
      <c r="AX58" s="1">
        <v>46167</v>
      </c>
      <c r="AY58" s="2">
        <v>0.59395833333333337</v>
      </c>
      <c r="AZ58">
        <v>213288</v>
      </c>
      <c r="BA58" s="1">
        <v>46156</v>
      </c>
      <c r="BC58" t="s">
        <v>0</v>
      </c>
      <c r="BD58" s="1">
        <v>46157</v>
      </c>
      <c r="BE58" t="s">
        <v>615</v>
      </c>
      <c r="BL58" s="4">
        <v>0</v>
      </c>
      <c r="BM58" s="1">
        <v>46808</v>
      </c>
      <c r="BO58">
        <v>0</v>
      </c>
      <c r="BP58">
        <v>32494</v>
      </c>
      <c r="BQ58" t="s">
        <v>156</v>
      </c>
      <c r="BR58" s="3">
        <v>137790.47</v>
      </c>
      <c r="BS58" s="3">
        <v>9447</v>
      </c>
      <c r="BT58">
        <v>0</v>
      </c>
      <c r="BU58" s="3">
        <v>147237.47</v>
      </c>
      <c r="BV58" s="3">
        <v>213300.75</v>
      </c>
      <c r="BX58">
        <v>0</v>
      </c>
      <c r="BZ58">
        <v>0</v>
      </c>
      <c r="CA58">
        <v>0</v>
      </c>
      <c r="CB58">
        <v>0</v>
      </c>
      <c r="CC58" s="3">
        <v>213300.75</v>
      </c>
      <c r="CD58" s="5">
        <v>0</v>
      </c>
      <c r="CF58" s="6">
        <v>46143</v>
      </c>
      <c r="CH58">
        <v>0</v>
      </c>
      <c r="CI58">
        <v>0</v>
      </c>
      <c r="CJ58">
        <v>0</v>
      </c>
      <c r="CK58">
        <v>0</v>
      </c>
      <c r="CL58">
        <v>0</v>
      </c>
      <c r="CM58">
        <v>0</v>
      </c>
      <c r="CN58">
        <v>0</v>
      </c>
      <c r="CO58">
        <v>0</v>
      </c>
      <c r="CP58">
        <v>0</v>
      </c>
      <c r="CQ58">
        <v>0</v>
      </c>
      <c r="CR58">
        <v>0</v>
      </c>
      <c r="CT58" t="s">
        <v>214</v>
      </c>
      <c r="CU58" t="s">
        <v>320</v>
      </c>
      <c r="CW58">
        <v>0</v>
      </c>
      <c r="CZ58" s="1">
        <v>46157</v>
      </c>
      <c r="DA58" t="s">
        <v>172</v>
      </c>
      <c r="DB58" t="s">
        <v>172</v>
      </c>
      <c r="DC58" t="s">
        <v>172</v>
      </c>
      <c r="DD58" t="s">
        <v>172</v>
      </c>
      <c r="DG58" s="1">
        <v>46157</v>
      </c>
      <c r="DH58">
        <v>0</v>
      </c>
      <c r="DI58">
        <v>0</v>
      </c>
      <c r="DL58" t="s">
        <v>224</v>
      </c>
      <c r="DM58" t="s">
        <v>172</v>
      </c>
      <c r="DN58" t="s">
        <v>201</v>
      </c>
      <c r="DV58" s="3">
        <v>213300.75</v>
      </c>
      <c r="DW58">
        <v>0</v>
      </c>
      <c r="DX58" s="3">
        <v>213300.75</v>
      </c>
      <c r="DY58">
        <v>0</v>
      </c>
      <c r="EN58" t="s">
        <v>537</v>
      </c>
      <c r="ET58" t="s">
        <v>717</v>
      </c>
      <c r="EU58" s="1">
        <v>46162</v>
      </c>
      <c r="EW58" s="1">
        <v>46157</v>
      </c>
    </row>
    <row r="59" spans="1:153" ht="246.5" x14ac:dyDescent="0.35">
      <c r="A59" t="str">
        <f>HYPERLINK("https://7lm.cvcrm.com.br/gestor/comercial/reservas/7102/administrar","7102")</f>
        <v>7102</v>
      </c>
      <c r="B59" t="s">
        <v>156</v>
      </c>
      <c r="C59" s="1">
        <v>46157</v>
      </c>
      <c r="D59" s="2">
        <v>0.62458333333333338</v>
      </c>
      <c r="E59" t="s">
        <v>294</v>
      </c>
      <c r="F59" t="s">
        <v>202</v>
      </c>
      <c r="G59" t="s">
        <v>203</v>
      </c>
      <c r="H59" t="s">
        <v>391</v>
      </c>
      <c r="I59" t="s">
        <v>718</v>
      </c>
      <c r="J59">
        <v>1</v>
      </c>
      <c r="K59">
        <v>8486</v>
      </c>
      <c r="L59">
        <v>20031</v>
      </c>
      <c r="M59" t="s">
        <v>719</v>
      </c>
      <c r="N59" s="1">
        <v>46163</v>
      </c>
      <c r="O59" s="2">
        <v>0.51045138888888886</v>
      </c>
      <c r="Q59">
        <v>10005</v>
      </c>
      <c r="R59" t="str">
        <f>HYPERLINK("https://7lm.cvcrm.com.br/gestor/relatorios/associado/html?q[1|r.idreserva]=7102","JOAO VICTOR RODRIGUES DOS SANTOS")</f>
        <v>JOAO VICTOR RODRIGUES DOS SANTOS</v>
      </c>
      <c r="S59">
        <v>9477000132</v>
      </c>
      <c r="T59">
        <v>5561981284512</v>
      </c>
      <c r="U59">
        <v>5561994206730</v>
      </c>
      <c r="V59" t="s">
        <v>720</v>
      </c>
      <c r="W59" t="s">
        <v>163</v>
      </c>
      <c r="Y59" t="s">
        <v>165</v>
      </c>
      <c r="Z59" t="s">
        <v>257</v>
      </c>
      <c r="AA59" t="s">
        <v>713</v>
      </c>
      <c r="AB59" t="s">
        <v>714</v>
      </c>
      <c r="AC59" t="s">
        <v>715</v>
      </c>
      <c r="AF59" t="s">
        <v>389</v>
      </c>
      <c r="AG59" t="s">
        <v>195</v>
      </c>
      <c r="AH59" s="3">
        <v>220473.81</v>
      </c>
      <c r="AI59" s="3">
        <v>220473.81</v>
      </c>
      <c r="AJ59" s="1">
        <v>46157</v>
      </c>
      <c r="AN59" t="s">
        <v>172</v>
      </c>
      <c r="AR59" s="7" t="s">
        <v>353</v>
      </c>
      <c r="AT59" t="s">
        <v>196</v>
      </c>
      <c r="AU59" t="s">
        <v>316</v>
      </c>
      <c r="AW59">
        <v>0</v>
      </c>
      <c r="AX59" s="1">
        <v>46163</v>
      </c>
      <c r="AY59" s="2">
        <v>0.48553240740740738</v>
      </c>
      <c r="AZ59">
        <v>212952</v>
      </c>
      <c r="BA59" s="1">
        <v>46155</v>
      </c>
      <c r="BC59" t="s">
        <v>0</v>
      </c>
      <c r="BD59" s="1">
        <v>46157</v>
      </c>
      <c r="BE59" t="s">
        <v>615</v>
      </c>
      <c r="BL59" s="4">
        <v>0</v>
      </c>
      <c r="BM59" s="1">
        <v>46808</v>
      </c>
      <c r="BN59" s="1">
        <v>46163</v>
      </c>
      <c r="BO59">
        <v>0</v>
      </c>
      <c r="BP59">
        <v>32408</v>
      </c>
      <c r="BQ59" t="s">
        <v>156</v>
      </c>
      <c r="BR59" s="3">
        <v>136027.98000000001</v>
      </c>
      <c r="BS59" s="3">
        <v>27381</v>
      </c>
      <c r="BT59">
        <v>0</v>
      </c>
      <c r="BU59" s="3">
        <v>163408.98000000001</v>
      </c>
      <c r="BV59" s="3">
        <v>220473.81</v>
      </c>
      <c r="BX59">
        <v>0</v>
      </c>
      <c r="BZ59">
        <v>0</v>
      </c>
      <c r="CA59">
        <v>0</v>
      </c>
      <c r="CB59">
        <v>0</v>
      </c>
      <c r="CC59" s="3">
        <v>220473.81</v>
      </c>
      <c r="CD59" s="5">
        <v>0</v>
      </c>
      <c r="CF59" s="6">
        <v>46143</v>
      </c>
      <c r="CH59">
        <v>0</v>
      </c>
      <c r="CI59">
        <v>0</v>
      </c>
      <c r="CJ59">
        <v>0</v>
      </c>
      <c r="CK59">
        <v>0</v>
      </c>
      <c r="CL59">
        <v>0</v>
      </c>
      <c r="CM59">
        <v>0</v>
      </c>
      <c r="CN59">
        <v>0</v>
      </c>
      <c r="CO59">
        <v>0</v>
      </c>
      <c r="CP59">
        <v>0</v>
      </c>
      <c r="CQ59">
        <v>0</v>
      </c>
      <c r="CR59">
        <v>0</v>
      </c>
      <c r="CS59" t="s">
        <v>360</v>
      </c>
      <c r="CT59" t="s">
        <v>214</v>
      </c>
      <c r="CU59" t="s">
        <v>718</v>
      </c>
      <c r="CW59">
        <v>-52.7607</v>
      </c>
      <c r="CZ59" s="1">
        <v>46157</v>
      </c>
      <c r="DA59" t="s">
        <v>172</v>
      </c>
      <c r="DB59" t="s">
        <v>172</v>
      </c>
      <c r="DC59" t="s">
        <v>172</v>
      </c>
      <c r="DD59" t="s">
        <v>172</v>
      </c>
      <c r="DG59" s="1">
        <v>46157</v>
      </c>
      <c r="DH59">
        <v>0</v>
      </c>
      <c r="DI59">
        <v>0</v>
      </c>
      <c r="DJ59" s="1">
        <v>46163</v>
      </c>
      <c r="DL59" t="s">
        <v>215</v>
      </c>
      <c r="DM59" t="s">
        <v>172</v>
      </c>
      <c r="DN59" t="s">
        <v>201</v>
      </c>
      <c r="DV59" s="3">
        <v>220473.81</v>
      </c>
      <c r="DW59">
        <v>0</v>
      </c>
      <c r="DX59" s="3">
        <v>220473.81</v>
      </c>
      <c r="DY59">
        <v>0</v>
      </c>
      <c r="EG59" s="1">
        <v>46161</v>
      </c>
      <c r="EN59" t="s">
        <v>156</v>
      </c>
      <c r="EP59" s="1">
        <v>46162</v>
      </c>
      <c r="ET59" t="s">
        <v>721</v>
      </c>
      <c r="EU59" s="1">
        <v>46161</v>
      </c>
      <c r="EW59" s="1">
        <v>46157</v>
      </c>
    </row>
    <row r="60" spans="1:153" x14ac:dyDescent="0.35">
      <c r="A60" t="str">
        <f>HYPERLINK("https://7lm.cvcrm.com.br/gestor/comercial/reservas/7101/administrar","7101")</f>
        <v>7101</v>
      </c>
      <c r="B60" t="s">
        <v>156</v>
      </c>
      <c r="C60" s="1">
        <v>46157</v>
      </c>
      <c r="D60" s="2">
        <v>0.52517361111111116</v>
      </c>
      <c r="E60" t="s">
        <v>527</v>
      </c>
      <c r="F60" t="s">
        <v>226</v>
      </c>
      <c r="G60" t="s">
        <v>159</v>
      </c>
      <c r="H60" t="s">
        <v>722</v>
      </c>
      <c r="I60" t="s">
        <v>723</v>
      </c>
      <c r="J60">
        <v>1</v>
      </c>
      <c r="L60">
        <v>10031</v>
      </c>
      <c r="M60" t="s">
        <v>724</v>
      </c>
      <c r="N60" s="1">
        <v>46162</v>
      </c>
      <c r="O60" s="2">
        <v>0.4508449074074074</v>
      </c>
      <c r="R60" t="str">
        <f>HYPERLINK("https://7lm.cvcrm.com.br/gestor/relatorios/associado/html?q[1|r.idreserva]=7101","JACQUELINE RODRIGUES DE SENA")</f>
        <v>JACQUELINE RODRIGUES DE SENA</v>
      </c>
      <c r="S60">
        <v>11843304848</v>
      </c>
      <c r="T60">
        <v>5577999399167</v>
      </c>
      <c r="U60">
        <v>5577999399167</v>
      </c>
      <c r="V60" t="s">
        <v>230</v>
      </c>
      <c r="W60" t="s">
        <v>187</v>
      </c>
      <c r="X60" t="s">
        <v>231</v>
      </c>
      <c r="Y60" t="s">
        <v>232</v>
      </c>
      <c r="Z60" t="s">
        <v>233</v>
      </c>
      <c r="AA60" t="s">
        <v>234</v>
      </c>
      <c r="AB60" t="s">
        <v>235</v>
      </c>
      <c r="AC60" t="s">
        <v>236</v>
      </c>
      <c r="AE60" t="s">
        <v>169</v>
      </c>
      <c r="AF60" t="s">
        <v>170</v>
      </c>
      <c r="AG60" t="s">
        <v>171</v>
      </c>
      <c r="AH60" s="3">
        <v>356454.28</v>
      </c>
      <c r="AI60" s="3">
        <v>356454.28</v>
      </c>
      <c r="AJ60" s="1">
        <v>46164</v>
      </c>
      <c r="AN60" t="s">
        <v>172</v>
      </c>
      <c r="AO60" t="s">
        <v>725</v>
      </c>
      <c r="AP60" t="s">
        <v>726</v>
      </c>
      <c r="AT60" t="s">
        <v>173</v>
      </c>
      <c r="AU60" t="s">
        <v>316</v>
      </c>
      <c r="AW60">
        <v>0</v>
      </c>
      <c r="AX60" s="1">
        <v>46170</v>
      </c>
      <c r="AY60" s="2">
        <v>0.54976851851851849</v>
      </c>
      <c r="AZ60">
        <v>88219</v>
      </c>
      <c r="BA60" s="1">
        <v>45079</v>
      </c>
      <c r="BC60" t="s">
        <v>213</v>
      </c>
      <c r="BD60" s="1">
        <v>45079</v>
      </c>
      <c r="BE60" t="s">
        <v>237</v>
      </c>
      <c r="BL60" s="4">
        <v>0</v>
      </c>
      <c r="BM60" s="1">
        <v>46698</v>
      </c>
      <c r="BO60">
        <v>0</v>
      </c>
      <c r="BP60">
        <v>31691</v>
      </c>
      <c r="BQ60" t="s">
        <v>156</v>
      </c>
      <c r="BR60" s="3">
        <v>352995.45</v>
      </c>
      <c r="BS60">
        <v>0</v>
      </c>
      <c r="BT60">
        <v>0</v>
      </c>
      <c r="BU60" s="3">
        <v>352995.45</v>
      </c>
      <c r="BV60" s="3">
        <v>356454.28</v>
      </c>
      <c r="BX60">
        <v>0</v>
      </c>
      <c r="BZ60">
        <v>0</v>
      </c>
      <c r="CA60">
        <v>0</v>
      </c>
      <c r="CB60">
        <v>0</v>
      </c>
      <c r="CC60" s="3">
        <v>356454.28</v>
      </c>
      <c r="CD60" s="5">
        <v>0</v>
      </c>
      <c r="CF60" s="6">
        <v>46143</v>
      </c>
      <c r="CH60">
        <v>0</v>
      </c>
      <c r="CI60">
        <v>0</v>
      </c>
      <c r="CJ60">
        <v>0</v>
      </c>
      <c r="CK60">
        <v>0</v>
      </c>
      <c r="CL60">
        <v>0</v>
      </c>
      <c r="CM60">
        <v>0</v>
      </c>
      <c r="CN60">
        <v>0</v>
      </c>
      <c r="CO60">
        <v>0</v>
      </c>
      <c r="CP60">
        <v>0</v>
      </c>
      <c r="CQ60">
        <v>0</v>
      </c>
      <c r="CR60">
        <v>0</v>
      </c>
      <c r="CS60" t="s">
        <v>177</v>
      </c>
      <c r="CT60" t="s">
        <v>238</v>
      </c>
      <c r="CU60" t="s">
        <v>723</v>
      </c>
      <c r="CW60">
        <v>-60.237299999999998</v>
      </c>
      <c r="CX60" t="s">
        <v>170</v>
      </c>
      <c r="CZ60" s="1">
        <v>46157</v>
      </c>
      <c r="DA60" t="s">
        <v>172</v>
      </c>
      <c r="DB60" t="s">
        <v>172</v>
      </c>
      <c r="DC60" t="s">
        <v>172</v>
      </c>
      <c r="DD60" t="s">
        <v>172</v>
      </c>
      <c r="DG60" s="1">
        <v>46157</v>
      </c>
      <c r="DH60">
        <v>0</v>
      </c>
      <c r="DI60">
        <v>0</v>
      </c>
      <c r="DL60" t="s">
        <v>239</v>
      </c>
      <c r="DM60" t="s">
        <v>172</v>
      </c>
      <c r="DU60" t="s">
        <v>240</v>
      </c>
      <c r="DV60" s="3">
        <v>540000</v>
      </c>
      <c r="DW60">
        <v>-60.24</v>
      </c>
      <c r="DX60" s="3">
        <v>540000</v>
      </c>
      <c r="DY60">
        <v>-60.24</v>
      </c>
    </row>
    <row r="61" spans="1:153" x14ac:dyDescent="0.35">
      <c r="A61" t="str">
        <f>HYPERLINK("https://7lm.cvcrm.com.br/gestor/comercial/reservas/7100/administrar","7100")</f>
        <v>7100</v>
      </c>
      <c r="B61" t="s">
        <v>156</v>
      </c>
      <c r="C61" s="1">
        <v>46157</v>
      </c>
      <c r="D61" s="2">
        <v>0.47530092592592593</v>
      </c>
      <c r="E61" t="s">
        <v>294</v>
      </c>
      <c r="F61" t="s">
        <v>158</v>
      </c>
      <c r="G61" t="s">
        <v>159</v>
      </c>
      <c r="H61" t="s">
        <v>160</v>
      </c>
      <c r="I61">
        <v>206</v>
      </c>
      <c r="J61">
        <v>1</v>
      </c>
      <c r="K61">
        <v>8509</v>
      </c>
      <c r="L61">
        <v>10001</v>
      </c>
      <c r="M61" t="s">
        <v>727</v>
      </c>
      <c r="N61" s="1">
        <v>46161</v>
      </c>
      <c r="O61" s="2">
        <v>0.81706018518518519</v>
      </c>
      <c r="Q61">
        <v>10027</v>
      </c>
      <c r="R61" t="str">
        <f>HYPERLINK("https://7lm.cvcrm.com.br/gestor/relatorios/associado/html?q[1|r.idreserva]=7100","ANDRESSA FERREIRA ALVES")</f>
        <v>ANDRESSA FERREIRA ALVES</v>
      </c>
      <c r="S61">
        <v>8492981725</v>
      </c>
      <c r="T61">
        <v>5527999948457</v>
      </c>
      <c r="U61">
        <v>5527999948457</v>
      </c>
      <c r="V61" t="s">
        <v>728</v>
      </c>
      <c r="W61" t="s">
        <v>187</v>
      </c>
      <c r="X61" t="s">
        <v>729</v>
      </c>
      <c r="Y61" t="s">
        <v>165</v>
      </c>
      <c r="Z61" t="s">
        <v>166</v>
      </c>
      <c r="AA61" t="s">
        <v>730</v>
      </c>
      <c r="AB61" t="s">
        <v>731</v>
      </c>
      <c r="AC61" t="s">
        <v>732</v>
      </c>
      <c r="AE61" t="s">
        <v>733</v>
      </c>
      <c r="AF61" t="s">
        <v>170</v>
      </c>
      <c r="AG61" t="s">
        <v>171</v>
      </c>
      <c r="AH61" s="3">
        <v>495931.6</v>
      </c>
      <c r="AI61" s="3">
        <v>495931.6</v>
      </c>
      <c r="AJ61" s="1">
        <v>46158</v>
      </c>
      <c r="AN61" t="s">
        <v>172</v>
      </c>
      <c r="AT61" t="s">
        <v>261</v>
      </c>
      <c r="AU61" t="s">
        <v>316</v>
      </c>
      <c r="AW61">
        <v>0</v>
      </c>
      <c r="AX61" s="1">
        <v>46167</v>
      </c>
      <c r="AY61" s="2">
        <v>0.66783564814814811</v>
      </c>
      <c r="AZ61">
        <v>208410</v>
      </c>
      <c r="BA61" s="1">
        <v>46147</v>
      </c>
      <c r="BC61" t="s">
        <v>0</v>
      </c>
      <c r="BD61" s="1">
        <v>46151</v>
      </c>
      <c r="BE61" t="s">
        <v>262</v>
      </c>
      <c r="BL61" s="4">
        <v>0</v>
      </c>
      <c r="BM61" s="1">
        <v>46387</v>
      </c>
      <c r="BN61" s="1">
        <v>46167</v>
      </c>
      <c r="BO61">
        <v>0</v>
      </c>
      <c r="BP61">
        <v>32003</v>
      </c>
      <c r="BQ61" t="s">
        <v>156</v>
      </c>
      <c r="BR61" s="3">
        <v>405364.88</v>
      </c>
      <c r="BS61">
        <v>0</v>
      </c>
      <c r="BT61">
        <v>0</v>
      </c>
      <c r="BU61" s="3">
        <v>405364.88</v>
      </c>
      <c r="BV61" s="3">
        <v>495931.6</v>
      </c>
      <c r="BX61">
        <v>0</v>
      </c>
      <c r="BZ61">
        <v>0</v>
      </c>
      <c r="CA61">
        <v>0</v>
      </c>
      <c r="CB61">
        <v>0</v>
      </c>
      <c r="CC61" s="3">
        <v>495931.6</v>
      </c>
      <c r="CD61" s="5">
        <v>0</v>
      </c>
      <c r="CF61" s="6">
        <v>46143</v>
      </c>
      <c r="CH61">
        <v>0</v>
      </c>
      <c r="CI61">
        <v>0</v>
      </c>
      <c r="CJ61">
        <v>0</v>
      </c>
      <c r="CK61">
        <v>0</v>
      </c>
      <c r="CL61">
        <v>0</v>
      </c>
      <c r="CM61">
        <v>0</v>
      </c>
      <c r="CN61">
        <v>0</v>
      </c>
      <c r="CO61">
        <v>0</v>
      </c>
      <c r="CP61">
        <v>0</v>
      </c>
      <c r="CQ61">
        <v>0</v>
      </c>
      <c r="CR61">
        <v>0</v>
      </c>
      <c r="CS61" t="s">
        <v>177</v>
      </c>
      <c r="CT61" t="s">
        <v>178</v>
      </c>
      <c r="CU61">
        <v>206</v>
      </c>
      <c r="CW61">
        <v>-59.131300000000003</v>
      </c>
      <c r="CZ61" s="1">
        <v>46157</v>
      </c>
      <c r="DA61" t="s">
        <v>172</v>
      </c>
      <c r="DB61" t="s">
        <v>172</v>
      </c>
      <c r="DC61" t="s">
        <v>172</v>
      </c>
      <c r="DD61" t="s">
        <v>172</v>
      </c>
      <c r="DG61" s="1">
        <v>46157</v>
      </c>
      <c r="DH61">
        <v>0</v>
      </c>
      <c r="DI61">
        <v>0</v>
      </c>
      <c r="DJ61" s="1">
        <v>46167</v>
      </c>
      <c r="DK61" t="s">
        <v>179</v>
      </c>
      <c r="DM61" t="s">
        <v>172</v>
      </c>
      <c r="DN61" t="s">
        <v>180</v>
      </c>
      <c r="DU61" t="s">
        <v>734</v>
      </c>
      <c r="DV61" s="3">
        <v>717543.4</v>
      </c>
      <c r="DW61">
        <v>-59.13</v>
      </c>
      <c r="DX61" s="3">
        <v>717543.4</v>
      </c>
      <c r="DY61">
        <v>-59.13</v>
      </c>
    </row>
    <row r="62" spans="1:153" x14ac:dyDescent="0.35">
      <c r="A62" t="str">
        <f>HYPERLINK("https://7lm.cvcrm.com.br/gestor/comercial/reservas/7099/administrar","7099")</f>
        <v>7099</v>
      </c>
      <c r="B62" t="s">
        <v>172</v>
      </c>
      <c r="C62" s="1">
        <v>46156</v>
      </c>
      <c r="D62" s="2">
        <v>0.73403935185185187</v>
      </c>
      <c r="E62" t="s">
        <v>157</v>
      </c>
      <c r="F62" t="s">
        <v>735</v>
      </c>
      <c r="G62" t="s">
        <v>203</v>
      </c>
      <c r="H62" t="s">
        <v>736</v>
      </c>
      <c r="I62" t="s">
        <v>737</v>
      </c>
      <c r="J62">
        <v>40.200000000000003</v>
      </c>
      <c r="L62">
        <v>20450</v>
      </c>
      <c r="M62" t="s">
        <v>738</v>
      </c>
      <c r="R62" t="str">
        <f>HYPERLINK("https://7lm.cvcrm.com.br/gestor/relatorios/associado/html?q[1|r.idreserva]=7099","Francisco Vieira de França")</f>
        <v>Francisco Vieira de França</v>
      </c>
      <c r="S62">
        <v>139340238</v>
      </c>
      <c r="T62">
        <v>556184545354</v>
      </c>
      <c r="U62">
        <v>556199490945</v>
      </c>
      <c r="V62" t="s">
        <v>739</v>
      </c>
      <c r="W62" t="s">
        <v>163</v>
      </c>
      <c r="Y62" t="s">
        <v>189</v>
      </c>
      <c r="Z62" t="s">
        <v>214</v>
      </c>
      <c r="AA62" t="s">
        <v>740</v>
      </c>
      <c r="AB62" t="s">
        <v>741</v>
      </c>
      <c r="AC62" t="s">
        <v>742</v>
      </c>
      <c r="AD62" t="s">
        <v>742</v>
      </c>
      <c r="AF62" t="s">
        <v>212</v>
      </c>
      <c r="AG62" t="s">
        <v>195</v>
      </c>
      <c r="AH62" s="3">
        <v>138000</v>
      </c>
      <c r="AI62" s="3">
        <v>138000</v>
      </c>
      <c r="AJ62" s="1">
        <v>46167</v>
      </c>
      <c r="AN62" t="s">
        <v>172</v>
      </c>
      <c r="AT62" t="s">
        <v>261</v>
      </c>
      <c r="AU62" t="s">
        <v>175</v>
      </c>
      <c r="AW62">
        <v>0</v>
      </c>
      <c r="AX62" s="1">
        <v>46156</v>
      </c>
      <c r="AY62" s="2">
        <v>0.73403935185185187</v>
      </c>
      <c r="AZ62">
        <v>92347</v>
      </c>
      <c r="BA62" s="1">
        <v>45183</v>
      </c>
      <c r="BB62" s="1">
        <v>46156</v>
      </c>
      <c r="BC62" t="s">
        <v>213</v>
      </c>
      <c r="BD62" s="1">
        <v>46156</v>
      </c>
      <c r="BE62" t="s">
        <v>317</v>
      </c>
      <c r="BL62" s="4">
        <v>0</v>
      </c>
      <c r="BM62" s="1">
        <v>45743</v>
      </c>
      <c r="BO62">
        <v>0</v>
      </c>
      <c r="BP62">
        <v>32479</v>
      </c>
      <c r="BQ62" t="s">
        <v>156</v>
      </c>
      <c r="BR62" s="3">
        <v>118400</v>
      </c>
      <c r="BS62" s="3">
        <v>12698</v>
      </c>
      <c r="BT62">
        <v>0</v>
      </c>
      <c r="BU62" s="3">
        <v>131098</v>
      </c>
      <c r="BV62" s="3">
        <v>138000</v>
      </c>
      <c r="BX62">
        <v>0</v>
      </c>
      <c r="BZ62">
        <v>0</v>
      </c>
      <c r="CA62">
        <v>0</v>
      </c>
      <c r="CB62">
        <v>0</v>
      </c>
      <c r="CC62" s="3">
        <v>138000</v>
      </c>
      <c r="CD62" s="5">
        <v>0</v>
      </c>
      <c r="CF62" s="6">
        <v>46143</v>
      </c>
      <c r="CH62">
        <v>0</v>
      </c>
      <c r="CI62">
        <v>0</v>
      </c>
      <c r="CJ62">
        <v>0</v>
      </c>
      <c r="CK62">
        <v>0</v>
      </c>
      <c r="CL62">
        <v>0</v>
      </c>
      <c r="CM62">
        <v>0</v>
      </c>
      <c r="CN62">
        <v>0</v>
      </c>
      <c r="CO62">
        <v>0</v>
      </c>
      <c r="CP62">
        <v>0</v>
      </c>
      <c r="CQ62">
        <v>0</v>
      </c>
      <c r="CR62">
        <v>0</v>
      </c>
      <c r="CT62" t="s">
        <v>190</v>
      </c>
      <c r="CU62" t="s">
        <v>737</v>
      </c>
      <c r="CW62">
        <v>0</v>
      </c>
      <c r="CZ62" s="1">
        <v>46156</v>
      </c>
      <c r="DA62" t="s">
        <v>172</v>
      </c>
      <c r="DB62" t="s">
        <v>172</v>
      </c>
      <c r="DC62" t="s">
        <v>172</v>
      </c>
      <c r="DD62" t="s">
        <v>172</v>
      </c>
      <c r="DG62" s="1">
        <v>45743</v>
      </c>
      <c r="DH62">
        <v>0</v>
      </c>
      <c r="DI62">
        <v>0</v>
      </c>
      <c r="DL62" t="s">
        <v>743</v>
      </c>
      <c r="DM62" t="s">
        <v>172</v>
      </c>
      <c r="DN62" t="s">
        <v>744</v>
      </c>
      <c r="DV62" s="3">
        <v>138000</v>
      </c>
      <c r="DW62">
        <v>0</v>
      </c>
      <c r="DX62" s="3">
        <v>138000</v>
      </c>
      <c r="DY62">
        <v>0</v>
      </c>
      <c r="EN62" t="s">
        <v>537</v>
      </c>
      <c r="EU62" s="1">
        <v>46167</v>
      </c>
      <c r="EW62" s="1">
        <v>46156</v>
      </c>
    </row>
    <row r="63" spans="1:153" ht="159.5" x14ac:dyDescent="0.35">
      <c r="A63" t="str">
        <f>HYPERLINK("https://7lm.cvcrm.com.br/gestor/comercial/reservas/7098/administrar","7098")</f>
        <v>7098</v>
      </c>
      <c r="B63" t="s">
        <v>156</v>
      </c>
      <c r="C63" s="1">
        <v>46156</v>
      </c>
      <c r="D63" s="2">
        <v>0.73346064814814815</v>
      </c>
      <c r="E63" t="s">
        <v>403</v>
      </c>
      <c r="F63" t="s">
        <v>202</v>
      </c>
      <c r="G63" t="s">
        <v>203</v>
      </c>
      <c r="H63" t="s">
        <v>528</v>
      </c>
      <c r="I63" t="s">
        <v>745</v>
      </c>
      <c r="J63">
        <v>1</v>
      </c>
      <c r="L63">
        <v>20031</v>
      </c>
      <c r="M63" t="s">
        <v>746</v>
      </c>
      <c r="N63" s="1">
        <v>46162</v>
      </c>
      <c r="O63" s="2">
        <v>0.66398148148148151</v>
      </c>
      <c r="R63" t="str">
        <f>HYPERLINK("https://7lm.cvcrm.com.br/gestor/relatorios/associado/html?q[1|r.idreserva]=7098","CARLOS FERREIRA")</f>
        <v>CARLOS FERREIRA</v>
      </c>
      <c r="S63">
        <v>3806011338</v>
      </c>
      <c r="T63">
        <v>5561981657181</v>
      </c>
      <c r="U63">
        <v>5561998611069</v>
      </c>
      <c r="V63" t="s">
        <v>747</v>
      </c>
      <c r="W63" t="s">
        <v>163</v>
      </c>
      <c r="Y63" t="s">
        <v>165</v>
      </c>
      <c r="Z63" t="s">
        <v>257</v>
      </c>
      <c r="AA63" t="s">
        <v>522</v>
      </c>
      <c r="AB63" t="s">
        <v>748</v>
      </c>
      <c r="AC63" t="s">
        <v>455</v>
      </c>
      <c r="AF63" t="s">
        <v>389</v>
      </c>
      <c r="AG63" t="s">
        <v>195</v>
      </c>
      <c r="AH63" s="3">
        <v>225001.33</v>
      </c>
      <c r="AI63" s="3">
        <v>225001.33</v>
      </c>
      <c r="AJ63" s="1">
        <v>46228</v>
      </c>
      <c r="AN63" t="s">
        <v>172</v>
      </c>
      <c r="AR63" s="7" t="s">
        <v>749</v>
      </c>
      <c r="AT63" t="s">
        <v>261</v>
      </c>
      <c r="AU63" t="s">
        <v>262</v>
      </c>
      <c r="AW63">
        <v>0</v>
      </c>
      <c r="AX63" s="1">
        <v>46169</v>
      </c>
      <c r="AY63" s="2">
        <v>0.46539351851851851</v>
      </c>
      <c r="AZ63">
        <v>44578</v>
      </c>
      <c r="BA63" s="1">
        <v>44182</v>
      </c>
      <c r="BB63" s="1">
        <v>45452</v>
      </c>
      <c r="BC63" t="s">
        <v>750</v>
      </c>
      <c r="BD63" s="1">
        <v>45452</v>
      </c>
      <c r="BE63" t="s">
        <v>751</v>
      </c>
      <c r="BL63" s="4">
        <v>0</v>
      </c>
      <c r="BM63" s="1">
        <v>46808</v>
      </c>
      <c r="BO63">
        <v>0</v>
      </c>
      <c r="BP63">
        <v>32328</v>
      </c>
      <c r="BQ63" t="s">
        <v>156</v>
      </c>
      <c r="BR63" s="3">
        <v>113808.19</v>
      </c>
      <c r="BS63" s="3">
        <v>48900</v>
      </c>
      <c r="BT63">
        <v>0</v>
      </c>
      <c r="BU63" s="3">
        <v>162708.19</v>
      </c>
      <c r="BV63" s="3">
        <v>225001.33</v>
      </c>
      <c r="BX63">
        <v>0</v>
      </c>
      <c r="BZ63">
        <v>0</v>
      </c>
      <c r="CA63">
        <v>0</v>
      </c>
      <c r="CB63">
        <v>0</v>
      </c>
      <c r="CC63" s="3">
        <v>225001.33</v>
      </c>
      <c r="CD63" s="5">
        <v>0</v>
      </c>
      <c r="CF63" s="6">
        <v>46143</v>
      </c>
      <c r="CH63">
        <v>0</v>
      </c>
      <c r="CI63">
        <v>0</v>
      </c>
      <c r="CJ63">
        <v>0</v>
      </c>
      <c r="CK63">
        <v>0</v>
      </c>
      <c r="CL63">
        <v>0</v>
      </c>
      <c r="CM63">
        <v>0</v>
      </c>
      <c r="CN63">
        <v>0</v>
      </c>
      <c r="CO63">
        <v>0</v>
      </c>
      <c r="CP63">
        <v>0</v>
      </c>
      <c r="CQ63">
        <v>0</v>
      </c>
      <c r="CR63">
        <v>0</v>
      </c>
      <c r="CS63" t="s">
        <v>428</v>
      </c>
      <c r="CT63" t="s">
        <v>214</v>
      </c>
      <c r="CU63" t="s">
        <v>745</v>
      </c>
      <c r="CW63">
        <v>-52.671199999999999</v>
      </c>
      <c r="CZ63" s="1">
        <v>46156</v>
      </c>
      <c r="DA63" t="s">
        <v>172</v>
      </c>
      <c r="DB63" t="s">
        <v>172</v>
      </c>
      <c r="DC63" t="s">
        <v>172</v>
      </c>
      <c r="DD63" t="s">
        <v>172</v>
      </c>
      <c r="DG63" s="1">
        <v>46156</v>
      </c>
      <c r="DH63">
        <v>0</v>
      </c>
      <c r="DI63">
        <v>0</v>
      </c>
      <c r="DL63" t="s">
        <v>224</v>
      </c>
      <c r="DM63" t="s">
        <v>172</v>
      </c>
      <c r="DN63" t="s">
        <v>201</v>
      </c>
      <c r="DU63" t="s">
        <v>318</v>
      </c>
      <c r="DV63" s="3">
        <v>250398.67</v>
      </c>
      <c r="DW63">
        <v>-52.67</v>
      </c>
      <c r="DX63" s="3">
        <v>250398.67</v>
      </c>
      <c r="DY63">
        <v>-52.67</v>
      </c>
      <c r="EG63" s="1">
        <v>46169</v>
      </c>
      <c r="EM63" s="1">
        <v>46163</v>
      </c>
      <c r="EN63" t="s">
        <v>172</v>
      </c>
      <c r="EP63" s="1">
        <v>46162</v>
      </c>
      <c r="ER63" s="1">
        <v>46163</v>
      </c>
      <c r="ES63" t="s">
        <v>752</v>
      </c>
      <c r="ET63" t="s">
        <v>753</v>
      </c>
    </row>
    <row r="64" spans="1:153" ht="246.5" x14ac:dyDescent="0.35">
      <c r="A64" t="str">
        <f>HYPERLINK("https://7lm.cvcrm.com.br/gestor/comercial/reservas/7097/administrar","7097")</f>
        <v>7097</v>
      </c>
      <c r="B64" t="s">
        <v>156</v>
      </c>
      <c r="C64" s="1">
        <v>46156</v>
      </c>
      <c r="D64" s="2">
        <v>0.65072916666666669</v>
      </c>
      <c r="E64" t="s">
        <v>294</v>
      </c>
      <c r="F64" t="s">
        <v>182</v>
      </c>
      <c r="G64" t="s">
        <v>159</v>
      </c>
      <c r="H64" t="s">
        <v>636</v>
      </c>
      <c r="I64" t="s">
        <v>571</v>
      </c>
      <c r="J64">
        <v>1</v>
      </c>
      <c r="K64">
        <v>8468</v>
      </c>
      <c r="L64">
        <v>30151</v>
      </c>
      <c r="M64" t="s">
        <v>754</v>
      </c>
      <c r="N64" s="1">
        <v>46163</v>
      </c>
      <c r="O64" s="2">
        <v>0.64983796296296292</v>
      </c>
      <c r="Q64">
        <v>9969</v>
      </c>
      <c r="R64" t="str">
        <f>HYPERLINK("https://7lm.cvcrm.com.br/gestor/relatorios/associado/html?q[1|r.idreserva]=7097","WIDEMAR FERREIRA FERNANDES")</f>
        <v>WIDEMAR FERREIRA FERNANDES</v>
      </c>
      <c r="S64">
        <v>2828750183</v>
      </c>
      <c r="T64">
        <v>5561998919287</v>
      </c>
      <c r="U64">
        <v>5561999136936</v>
      </c>
      <c r="V64" t="s">
        <v>755</v>
      </c>
      <c r="W64" t="s">
        <v>163</v>
      </c>
      <c r="X64" t="s">
        <v>299</v>
      </c>
      <c r="Y64" t="s">
        <v>189</v>
      </c>
      <c r="Z64" t="s">
        <v>190</v>
      </c>
      <c r="AA64" t="s">
        <v>532</v>
      </c>
      <c r="AB64" t="s">
        <v>756</v>
      </c>
      <c r="AC64" t="s">
        <v>534</v>
      </c>
      <c r="AF64" t="s">
        <v>303</v>
      </c>
      <c r="AG64" t="s">
        <v>251</v>
      </c>
      <c r="AH64" s="3">
        <v>248773.82</v>
      </c>
      <c r="AI64" s="3">
        <v>248773.82</v>
      </c>
      <c r="AJ64" s="1">
        <v>46187</v>
      </c>
      <c r="AN64" t="s">
        <v>172</v>
      </c>
      <c r="AR64" s="7" t="s">
        <v>353</v>
      </c>
      <c r="AT64" t="s">
        <v>196</v>
      </c>
      <c r="AU64" t="s">
        <v>292</v>
      </c>
      <c r="AW64">
        <v>0</v>
      </c>
      <c r="AX64" s="1">
        <v>46161</v>
      </c>
      <c r="AY64" s="2">
        <v>0.64967592592592593</v>
      </c>
      <c r="AZ64">
        <v>106837</v>
      </c>
      <c r="BA64" s="1">
        <v>45331</v>
      </c>
      <c r="BC64" t="s">
        <v>757</v>
      </c>
      <c r="BD64" s="1">
        <v>45331</v>
      </c>
      <c r="BE64" t="s">
        <v>317</v>
      </c>
      <c r="BL64" s="4">
        <v>0</v>
      </c>
      <c r="BM64" s="1">
        <v>46899</v>
      </c>
      <c r="BN64" s="1">
        <v>46161</v>
      </c>
      <c r="BO64">
        <v>0</v>
      </c>
      <c r="BP64">
        <v>31343</v>
      </c>
      <c r="BQ64" t="s">
        <v>156</v>
      </c>
      <c r="BR64">
        <v>0</v>
      </c>
      <c r="BS64">
        <v>0</v>
      </c>
      <c r="BT64">
        <v>0</v>
      </c>
      <c r="BU64">
        <v>0</v>
      </c>
      <c r="BV64" s="3">
        <v>248773.82</v>
      </c>
      <c r="BX64">
        <v>0</v>
      </c>
      <c r="BZ64">
        <v>0</v>
      </c>
      <c r="CA64">
        <v>0</v>
      </c>
      <c r="CB64">
        <v>0</v>
      </c>
      <c r="CC64" s="3">
        <v>248773.82</v>
      </c>
      <c r="CD64" s="5">
        <v>0</v>
      </c>
      <c r="CF64" s="6">
        <v>46143</v>
      </c>
      <c r="CH64">
        <v>0</v>
      </c>
      <c r="CI64">
        <v>0</v>
      </c>
      <c r="CJ64">
        <v>0</v>
      </c>
      <c r="CK64">
        <v>0</v>
      </c>
      <c r="CL64">
        <v>0</v>
      </c>
      <c r="CM64">
        <v>0</v>
      </c>
      <c r="CN64">
        <v>0</v>
      </c>
      <c r="CO64">
        <v>0</v>
      </c>
      <c r="CP64">
        <v>0</v>
      </c>
      <c r="CQ64">
        <v>0</v>
      </c>
      <c r="CR64">
        <v>0</v>
      </c>
      <c r="CS64" t="s">
        <v>360</v>
      </c>
      <c r="CT64" t="s">
        <v>190</v>
      </c>
      <c r="CU64" t="s">
        <v>571</v>
      </c>
      <c r="CW64">
        <v>-49.79</v>
      </c>
      <c r="CZ64" s="1">
        <v>46156</v>
      </c>
      <c r="DA64" t="s">
        <v>172</v>
      </c>
      <c r="DB64" t="s">
        <v>172</v>
      </c>
      <c r="DC64" t="s">
        <v>172</v>
      </c>
      <c r="DD64" t="s">
        <v>172</v>
      </c>
      <c r="DG64" s="1">
        <v>46156</v>
      </c>
      <c r="DH64">
        <v>0</v>
      </c>
      <c r="DI64">
        <v>0</v>
      </c>
      <c r="DJ64" s="1">
        <v>46161</v>
      </c>
      <c r="DK64" t="s">
        <v>179</v>
      </c>
      <c r="DL64" t="s">
        <v>200</v>
      </c>
      <c r="DM64" t="s">
        <v>172</v>
      </c>
      <c r="DN64" t="s">
        <v>201</v>
      </c>
      <c r="DP64" s="4">
        <v>1.2E-2</v>
      </c>
      <c r="DV64" s="3">
        <v>248773.82</v>
      </c>
      <c r="DW64">
        <v>0</v>
      </c>
      <c r="DX64" s="3">
        <v>248773.82</v>
      </c>
      <c r="DY64">
        <v>0</v>
      </c>
      <c r="EG64" s="1">
        <v>46161</v>
      </c>
      <c r="EN64" t="s">
        <v>156</v>
      </c>
      <c r="EP64" s="1">
        <v>46161</v>
      </c>
      <c r="ER64" s="1">
        <v>46160</v>
      </c>
      <c r="ES64" t="s">
        <v>758</v>
      </c>
      <c r="EU64" s="1">
        <v>46161</v>
      </c>
      <c r="EW64" s="1">
        <v>46156</v>
      </c>
    </row>
    <row r="65" spans="1:153" ht="246.5" x14ac:dyDescent="0.35">
      <c r="A65" t="str">
        <f>HYPERLINK("https://7lm.cvcrm.com.br/gestor/comercial/reservas/7096/administrar","7096")</f>
        <v>7096</v>
      </c>
      <c r="B65" t="s">
        <v>156</v>
      </c>
      <c r="C65" s="1">
        <v>46156</v>
      </c>
      <c r="D65" s="2">
        <v>0.60662037037037042</v>
      </c>
      <c r="E65" t="s">
        <v>294</v>
      </c>
      <c r="F65" t="s">
        <v>182</v>
      </c>
      <c r="G65" t="s">
        <v>159</v>
      </c>
      <c r="H65" t="s">
        <v>759</v>
      </c>
      <c r="I65" t="s">
        <v>760</v>
      </c>
      <c r="J65">
        <v>1</v>
      </c>
      <c r="K65">
        <v>8487</v>
      </c>
      <c r="L65">
        <v>30151</v>
      </c>
      <c r="M65" t="s">
        <v>761</v>
      </c>
      <c r="N65" s="1">
        <v>46164</v>
      </c>
      <c r="O65" s="2">
        <v>0.6918171296296296</v>
      </c>
      <c r="R65" t="str">
        <f>HYPERLINK("https://7lm.cvcrm.com.br/gestor/relatorios/associado/html?q[1|r.idreserva]=7096","JOAO LUCAS TEIXEIRA PINTO")</f>
        <v>JOAO LUCAS TEIXEIRA PINTO</v>
      </c>
      <c r="S65">
        <v>4407079193</v>
      </c>
      <c r="T65">
        <v>556198173136</v>
      </c>
      <c r="U65">
        <v>5561996412698</v>
      </c>
      <c r="V65" t="s">
        <v>762</v>
      </c>
      <c r="W65" t="s">
        <v>163</v>
      </c>
      <c r="Y65" t="s">
        <v>189</v>
      </c>
      <c r="Z65" t="s">
        <v>506</v>
      </c>
      <c r="AA65" t="s">
        <v>763</v>
      </c>
      <c r="AB65" t="s">
        <v>764</v>
      </c>
      <c r="AC65" t="s">
        <v>291</v>
      </c>
      <c r="AF65" t="s">
        <v>273</v>
      </c>
      <c r="AG65" t="s">
        <v>195</v>
      </c>
      <c r="AH65" s="3">
        <v>240645.33</v>
      </c>
      <c r="AI65" s="3">
        <v>240645.33</v>
      </c>
      <c r="AJ65" s="1">
        <v>46217</v>
      </c>
      <c r="AN65" t="s">
        <v>172</v>
      </c>
      <c r="AR65" s="7" t="s">
        <v>353</v>
      </c>
      <c r="AT65" t="s">
        <v>196</v>
      </c>
      <c r="AU65" t="s">
        <v>197</v>
      </c>
      <c r="AW65">
        <v>0</v>
      </c>
      <c r="AX65" s="1">
        <v>46163</v>
      </c>
      <c r="AY65" s="2">
        <v>0.48851851851851852</v>
      </c>
      <c r="AZ65">
        <v>153986</v>
      </c>
      <c r="BA65" s="1">
        <v>45743</v>
      </c>
      <c r="BB65" s="1">
        <v>46150</v>
      </c>
      <c r="BC65" t="s">
        <v>275</v>
      </c>
      <c r="BD65" s="1">
        <v>46151</v>
      </c>
      <c r="BE65" t="s">
        <v>176</v>
      </c>
      <c r="BL65" s="4">
        <v>0</v>
      </c>
      <c r="BM65" s="1">
        <v>46899</v>
      </c>
      <c r="BN65" s="1">
        <v>46163</v>
      </c>
      <c r="BO65">
        <v>0</v>
      </c>
      <c r="BP65">
        <v>32202</v>
      </c>
      <c r="BQ65" t="s">
        <v>156</v>
      </c>
      <c r="BR65" s="3">
        <v>123971.84</v>
      </c>
      <c r="BS65" s="3">
        <v>36344</v>
      </c>
      <c r="BT65">
        <v>0</v>
      </c>
      <c r="BU65" s="3">
        <v>160315.84</v>
      </c>
      <c r="BV65" s="3">
        <v>240645.33</v>
      </c>
      <c r="BX65">
        <v>0</v>
      </c>
      <c r="BZ65">
        <v>0</v>
      </c>
      <c r="CA65">
        <v>0</v>
      </c>
      <c r="CB65">
        <v>0</v>
      </c>
      <c r="CC65" s="3">
        <v>240645.33</v>
      </c>
      <c r="CD65" s="5">
        <v>0</v>
      </c>
      <c r="CF65" s="6">
        <v>46143</v>
      </c>
      <c r="CH65">
        <v>0</v>
      </c>
      <c r="CI65">
        <v>0</v>
      </c>
      <c r="CJ65">
        <v>0</v>
      </c>
      <c r="CK65">
        <v>0</v>
      </c>
      <c r="CL65">
        <v>0</v>
      </c>
      <c r="CM65">
        <v>0</v>
      </c>
      <c r="CN65">
        <v>0</v>
      </c>
      <c r="CO65">
        <v>0</v>
      </c>
      <c r="CP65">
        <v>0</v>
      </c>
      <c r="CQ65">
        <v>0</v>
      </c>
      <c r="CR65">
        <v>0</v>
      </c>
      <c r="CS65" t="s">
        <v>360</v>
      </c>
      <c r="CT65" t="s">
        <v>190</v>
      </c>
      <c r="CU65" t="s">
        <v>760</v>
      </c>
      <c r="CW65">
        <v>-50.441600000000001</v>
      </c>
      <c r="CZ65" s="1">
        <v>46156</v>
      </c>
      <c r="DA65" t="s">
        <v>172</v>
      </c>
      <c r="DB65" t="s">
        <v>172</v>
      </c>
      <c r="DC65" t="s">
        <v>172</v>
      </c>
      <c r="DD65" t="s">
        <v>172</v>
      </c>
      <c r="DG65" s="1">
        <v>46156</v>
      </c>
      <c r="DH65">
        <v>0</v>
      </c>
      <c r="DI65">
        <v>0</v>
      </c>
      <c r="DJ65" s="1">
        <v>46163</v>
      </c>
      <c r="DK65" t="s">
        <v>179</v>
      </c>
      <c r="DL65" t="s">
        <v>200</v>
      </c>
      <c r="DM65" t="s">
        <v>172</v>
      </c>
      <c r="DN65" t="s">
        <v>201</v>
      </c>
      <c r="DV65" s="3">
        <v>240645.33</v>
      </c>
      <c r="DW65">
        <v>0</v>
      </c>
      <c r="DX65" s="3">
        <v>240645.33</v>
      </c>
      <c r="DY65">
        <v>0</v>
      </c>
      <c r="EG65" s="1">
        <v>46162</v>
      </c>
      <c r="EM65" s="1">
        <v>46162</v>
      </c>
      <c r="EP65" s="1">
        <v>46161</v>
      </c>
      <c r="ER65" s="1">
        <v>46160</v>
      </c>
      <c r="ES65" t="s">
        <v>765</v>
      </c>
      <c r="EW65" s="1">
        <v>46156</v>
      </c>
    </row>
    <row r="66" spans="1:153" ht="246.5" x14ac:dyDescent="0.35">
      <c r="A66" t="str">
        <f>HYPERLINK("https://7lm.cvcrm.com.br/gestor/comercial/reservas/7095/administrar","7095")</f>
        <v>7095</v>
      </c>
      <c r="B66" t="s">
        <v>156</v>
      </c>
      <c r="C66" s="1">
        <v>46156</v>
      </c>
      <c r="D66" s="2">
        <v>0.60280092592592593</v>
      </c>
      <c r="E66" t="s">
        <v>294</v>
      </c>
      <c r="F66" t="s">
        <v>202</v>
      </c>
      <c r="G66" t="s">
        <v>203</v>
      </c>
      <c r="H66" t="s">
        <v>217</v>
      </c>
      <c r="I66" t="s">
        <v>766</v>
      </c>
      <c r="J66">
        <v>1</v>
      </c>
      <c r="K66">
        <v>8467</v>
      </c>
      <c r="L66">
        <v>20031</v>
      </c>
      <c r="M66" t="s">
        <v>767</v>
      </c>
      <c r="N66" s="1">
        <v>46160</v>
      </c>
      <c r="O66" s="2">
        <v>0.56738425925925928</v>
      </c>
      <c r="Q66">
        <v>9968</v>
      </c>
      <c r="R66" t="str">
        <f>HYPERLINK("https://7lm.cvcrm.com.br/gestor/relatorios/associado/html?q[1|r.idreserva]=7095","MARLENE VIEIRA DA SILVA")</f>
        <v>MARLENE VIEIRA DA SILVA</v>
      </c>
      <c r="S66">
        <v>238069311</v>
      </c>
      <c r="T66">
        <v>5561995019060</v>
      </c>
      <c r="U66">
        <v>5586994394279</v>
      </c>
      <c r="V66" t="s">
        <v>768</v>
      </c>
      <c r="W66" t="s">
        <v>187</v>
      </c>
      <c r="X66" t="s">
        <v>769</v>
      </c>
      <c r="Y66" t="s">
        <v>165</v>
      </c>
      <c r="Z66" t="s">
        <v>257</v>
      </c>
      <c r="AA66" t="s">
        <v>770</v>
      </c>
      <c r="AB66" t="s">
        <v>771</v>
      </c>
      <c r="AC66" t="s">
        <v>473</v>
      </c>
      <c r="AF66" t="s">
        <v>399</v>
      </c>
      <c r="AG66" t="s">
        <v>195</v>
      </c>
      <c r="AH66" s="3">
        <v>213001.48</v>
      </c>
      <c r="AI66" s="3">
        <v>213001.48</v>
      </c>
      <c r="AJ66" s="1">
        <v>46157</v>
      </c>
      <c r="AN66" t="s">
        <v>172</v>
      </c>
      <c r="AR66" s="7" t="s">
        <v>353</v>
      </c>
      <c r="AT66" t="s">
        <v>196</v>
      </c>
      <c r="AU66" t="s">
        <v>262</v>
      </c>
      <c r="AW66">
        <v>0</v>
      </c>
      <c r="AX66" s="1">
        <v>46161</v>
      </c>
      <c r="AY66" s="2">
        <v>0.47221064814814817</v>
      </c>
      <c r="AZ66">
        <v>96808</v>
      </c>
      <c r="BA66" s="1">
        <v>45236</v>
      </c>
      <c r="BB66" s="1">
        <v>46150</v>
      </c>
      <c r="BC66" t="s">
        <v>0</v>
      </c>
      <c r="BD66" s="1">
        <v>46156</v>
      </c>
      <c r="BE66" t="s">
        <v>317</v>
      </c>
      <c r="BL66" s="4">
        <v>0</v>
      </c>
      <c r="BM66" s="1">
        <v>46808</v>
      </c>
      <c r="BN66" s="1">
        <v>46161</v>
      </c>
      <c r="BO66">
        <v>0</v>
      </c>
      <c r="BP66">
        <v>32200</v>
      </c>
      <c r="BQ66" t="s">
        <v>156</v>
      </c>
      <c r="BR66" s="3">
        <v>87264.59</v>
      </c>
      <c r="BS66" s="3">
        <v>55000</v>
      </c>
      <c r="BT66">
        <v>0</v>
      </c>
      <c r="BU66" s="3">
        <v>142264.59</v>
      </c>
      <c r="BV66" s="3">
        <v>213001.48</v>
      </c>
      <c r="BX66">
        <v>0</v>
      </c>
      <c r="BZ66">
        <v>0</v>
      </c>
      <c r="CA66">
        <v>0</v>
      </c>
      <c r="CB66">
        <v>0</v>
      </c>
      <c r="CC66" s="3">
        <v>213001.48</v>
      </c>
      <c r="CD66" s="5">
        <v>0</v>
      </c>
      <c r="CF66" s="6">
        <v>46143</v>
      </c>
      <c r="CH66">
        <v>0</v>
      </c>
      <c r="CI66">
        <v>0</v>
      </c>
      <c r="CJ66">
        <v>0</v>
      </c>
      <c r="CK66">
        <v>0</v>
      </c>
      <c r="CL66">
        <v>0</v>
      </c>
      <c r="CM66">
        <v>0</v>
      </c>
      <c r="CN66">
        <v>0</v>
      </c>
      <c r="CO66">
        <v>0</v>
      </c>
      <c r="CP66">
        <v>0</v>
      </c>
      <c r="CQ66">
        <v>0</v>
      </c>
      <c r="CR66">
        <v>0</v>
      </c>
      <c r="CS66" t="s">
        <v>428</v>
      </c>
      <c r="CT66" t="s">
        <v>214</v>
      </c>
      <c r="CU66" t="s">
        <v>766</v>
      </c>
      <c r="CW66">
        <v>-55.195300000000003</v>
      </c>
      <c r="CZ66" s="1">
        <v>46156</v>
      </c>
      <c r="DA66" t="s">
        <v>172</v>
      </c>
      <c r="DB66" t="s">
        <v>172</v>
      </c>
      <c r="DC66" t="s">
        <v>172</v>
      </c>
      <c r="DD66" t="s">
        <v>172</v>
      </c>
      <c r="DG66" s="1">
        <v>46156</v>
      </c>
      <c r="DH66">
        <v>0</v>
      </c>
      <c r="DI66">
        <v>0</v>
      </c>
      <c r="DJ66" s="1">
        <v>46161</v>
      </c>
      <c r="DL66" t="s">
        <v>224</v>
      </c>
      <c r="DM66" t="s">
        <v>172</v>
      </c>
      <c r="DN66" t="s">
        <v>201</v>
      </c>
      <c r="DV66" s="3">
        <v>213001.48</v>
      </c>
      <c r="DW66">
        <v>0</v>
      </c>
      <c r="DX66" s="3">
        <v>213001.48</v>
      </c>
      <c r="DY66">
        <v>0</v>
      </c>
      <c r="EF66" s="1">
        <v>46163</v>
      </c>
      <c r="EG66" s="1">
        <v>46160</v>
      </c>
      <c r="EK66" s="1">
        <v>46163</v>
      </c>
      <c r="EN66" t="s">
        <v>156</v>
      </c>
      <c r="EP66" s="1">
        <v>46161</v>
      </c>
    </row>
    <row r="67" spans="1:153" ht="116" x14ac:dyDescent="0.35">
      <c r="A67" t="str">
        <f>HYPERLINK("https://7lm.cvcrm.com.br/gestor/comercial/reservas/7094/administrar","7094")</f>
        <v>7094</v>
      </c>
      <c r="B67" t="s">
        <v>156</v>
      </c>
      <c r="C67" s="1">
        <v>46156</v>
      </c>
      <c r="D67" s="2">
        <v>0.44883101851851853</v>
      </c>
      <c r="E67" t="s">
        <v>294</v>
      </c>
      <c r="F67" t="s">
        <v>202</v>
      </c>
      <c r="G67" t="s">
        <v>203</v>
      </c>
      <c r="H67" t="s">
        <v>391</v>
      </c>
      <c r="I67" t="s">
        <v>772</v>
      </c>
      <c r="J67">
        <v>1</v>
      </c>
      <c r="K67">
        <v>8476</v>
      </c>
      <c r="L67">
        <v>20031</v>
      </c>
      <c r="M67" t="s">
        <v>773</v>
      </c>
      <c r="N67" s="1">
        <v>46160</v>
      </c>
      <c r="O67" s="2">
        <v>0.76611111111111108</v>
      </c>
      <c r="Q67">
        <v>9974</v>
      </c>
      <c r="R67" t="str">
        <f>HYPERLINK("https://7lm.cvcrm.com.br/gestor/relatorios/associado/html?q[1|r.idreserva]=7094","FRANCISCO ERONILDO DA SILVA")</f>
        <v>FRANCISCO ERONILDO DA SILVA</v>
      </c>
      <c r="S67">
        <v>94503494104</v>
      </c>
      <c r="T67">
        <v>5561984972755</v>
      </c>
      <c r="U67">
        <v>5561992893901</v>
      </c>
      <c r="V67" t="s">
        <v>774</v>
      </c>
      <c r="W67" t="s">
        <v>163</v>
      </c>
      <c r="Y67" t="s">
        <v>165</v>
      </c>
      <c r="Z67" t="s">
        <v>257</v>
      </c>
      <c r="AA67" t="s">
        <v>324</v>
      </c>
      <c r="AB67" t="s">
        <v>775</v>
      </c>
      <c r="AC67" t="s">
        <v>776</v>
      </c>
      <c r="AD67" t="s">
        <v>776</v>
      </c>
      <c r="AF67" t="s">
        <v>212</v>
      </c>
      <c r="AG67" t="s">
        <v>284</v>
      </c>
      <c r="AH67" s="3">
        <v>213000</v>
      </c>
      <c r="AI67" s="3">
        <v>213000</v>
      </c>
      <c r="AJ67" s="1">
        <v>46162</v>
      </c>
      <c r="AN67" t="s">
        <v>172</v>
      </c>
      <c r="AR67" s="7" t="s">
        <v>777</v>
      </c>
      <c r="AT67" t="s">
        <v>196</v>
      </c>
      <c r="AU67" t="s">
        <v>175</v>
      </c>
      <c r="AW67">
        <v>0</v>
      </c>
      <c r="AX67" s="1">
        <v>46162</v>
      </c>
      <c r="AY67" s="2">
        <v>0.42307870370370371</v>
      </c>
      <c r="AZ67">
        <v>213195</v>
      </c>
      <c r="BA67" s="1">
        <v>46156</v>
      </c>
      <c r="BC67" t="s">
        <v>213</v>
      </c>
      <c r="BD67" s="1">
        <v>46156</v>
      </c>
      <c r="BE67" t="s">
        <v>175</v>
      </c>
      <c r="BL67" s="4">
        <v>0</v>
      </c>
      <c r="BM67" s="1">
        <v>46808</v>
      </c>
      <c r="BN67" s="1">
        <v>46162</v>
      </c>
      <c r="BO67">
        <v>0</v>
      </c>
      <c r="BP67">
        <v>32448</v>
      </c>
      <c r="BQ67" t="s">
        <v>156</v>
      </c>
      <c r="BR67" s="3">
        <v>105653.21</v>
      </c>
      <c r="BS67" s="3">
        <v>46730</v>
      </c>
      <c r="BT67">
        <v>0</v>
      </c>
      <c r="BU67" s="3">
        <v>152383.21</v>
      </c>
      <c r="BV67" s="3">
        <v>213000</v>
      </c>
      <c r="BX67">
        <v>0</v>
      </c>
      <c r="BZ67">
        <v>0</v>
      </c>
      <c r="CA67">
        <v>0</v>
      </c>
      <c r="CB67">
        <v>0</v>
      </c>
      <c r="CC67" s="3">
        <v>213000</v>
      </c>
      <c r="CD67" s="5">
        <v>0</v>
      </c>
      <c r="CF67" s="6">
        <v>46143</v>
      </c>
      <c r="CH67">
        <v>0</v>
      </c>
      <c r="CI67">
        <v>0</v>
      </c>
      <c r="CJ67">
        <v>0</v>
      </c>
      <c r="CK67">
        <v>0</v>
      </c>
      <c r="CL67">
        <v>0</v>
      </c>
      <c r="CM67">
        <v>0</v>
      </c>
      <c r="CN67">
        <v>0</v>
      </c>
      <c r="CO67">
        <v>0</v>
      </c>
      <c r="CP67">
        <v>0</v>
      </c>
      <c r="CQ67">
        <v>0</v>
      </c>
      <c r="CR67">
        <v>0</v>
      </c>
      <c r="CS67" t="s">
        <v>778</v>
      </c>
      <c r="CT67" t="s">
        <v>214</v>
      </c>
      <c r="CU67" t="s">
        <v>772</v>
      </c>
      <c r="CW67">
        <v>-55.195599999999999</v>
      </c>
      <c r="CZ67" s="1">
        <v>46156</v>
      </c>
      <c r="DA67" t="s">
        <v>172</v>
      </c>
      <c r="DB67" t="s">
        <v>172</v>
      </c>
      <c r="DC67" t="s">
        <v>172</v>
      </c>
      <c r="DD67" t="s">
        <v>172</v>
      </c>
      <c r="DG67" s="1">
        <v>46156</v>
      </c>
      <c r="DH67">
        <v>0</v>
      </c>
      <c r="DI67">
        <v>0</v>
      </c>
      <c r="DJ67" s="1">
        <v>46162</v>
      </c>
      <c r="DL67" t="s">
        <v>215</v>
      </c>
      <c r="DM67" t="s">
        <v>172</v>
      </c>
      <c r="DN67" t="s">
        <v>201</v>
      </c>
      <c r="DV67" s="3">
        <v>213000</v>
      </c>
      <c r="DW67">
        <v>0</v>
      </c>
      <c r="DX67" s="3">
        <v>213000</v>
      </c>
      <c r="DY67">
        <v>0</v>
      </c>
      <c r="EN67" t="s">
        <v>156</v>
      </c>
      <c r="EP67" s="1">
        <v>46161</v>
      </c>
      <c r="ES67" t="s">
        <v>779</v>
      </c>
      <c r="EU67" s="1">
        <v>46163</v>
      </c>
      <c r="EW67" s="1">
        <v>46156</v>
      </c>
    </row>
    <row r="68" spans="1:153" ht="246.5" x14ac:dyDescent="0.35">
      <c r="A68" t="str">
        <f>HYPERLINK("https://7lm.cvcrm.com.br/gestor/comercial/reservas/7093/administrar","7093")</f>
        <v>7093</v>
      </c>
      <c r="B68" t="s">
        <v>156</v>
      </c>
      <c r="C68" s="1">
        <v>46156</v>
      </c>
      <c r="D68" s="2">
        <v>0.35282407407407407</v>
      </c>
      <c r="E68" t="s">
        <v>294</v>
      </c>
      <c r="F68" t="s">
        <v>202</v>
      </c>
      <c r="G68" t="s">
        <v>203</v>
      </c>
      <c r="H68" t="s">
        <v>336</v>
      </c>
      <c r="I68" t="s">
        <v>780</v>
      </c>
      <c r="J68">
        <v>1</v>
      </c>
      <c r="K68">
        <v>8510</v>
      </c>
      <c r="L68">
        <v>20031</v>
      </c>
      <c r="M68" t="s">
        <v>781</v>
      </c>
      <c r="N68" s="1">
        <v>46168</v>
      </c>
      <c r="O68" s="2">
        <v>0.48728009259259258</v>
      </c>
      <c r="Q68">
        <v>10028</v>
      </c>
      <c r="R68" t="str">
        <f>HYPERLINK("https://7lm.cvcrm.com.br/gestor/relatorios/associado/html?q[1|r.idreserva]=7093","MARIA EDUARDA LIMA SILVA")</f>
        <v>MARIA EDUARDA LIMA SILVA</v>
      </c>
      <c r="S68">
        <v>12469682401</v>
      </c>
      <c r="T68">
        <v>5561994455521</v>
      </c>
      <c r="U68">
        <v>5556196745970</v>
      </c>
      <c r="V68" t="s">
        <v>782</v>
      </c>
      <c r="W68" t="s">
        <v>187</v>
      </c>
      <c r="Y68" t="s">
        <v>165</v>
      </c>
      <c r="Z68" t="s">
        <v>385</v>
      </c>
      <c r="AA68" t="s">
        <v>783</v>
      </c>
      <c r="AB68" t="s">
        <v>784</v>
      </c>
      <c r="AC68" t="s">
        <v>785</v>
      </c>
      <c r="AD68" t="s">
        <v>785</v>
      </c>
      <c r="AF68" t="s">
        <v>634</v>
      </c>
      <c r="AG68" t="s">
        <v>195</v>
      </c>
      <c r="AH68" s="3">
        <v>230672.93</v>
      </c>
      <c r="AI68" s="3">
        <v>230672.93</v>
      </c>
      <c r="AJ68" s="1">
        <v>46156</v>
      </c>
      <c r="AN68" t="s">
        <v>172</v>
      </c>
      <c r="AR68" s="7" t="s">
        <v>353</v>
      </c>
      <c r="AT68" t="s">
        <v>196</v>
      </c>
      <c r="AU68" t="s">
        <v>316</v>
      </c>
      <c r="AW68">
        <v>0</v>
      </c>
      <c r="AX68" s="1">
        <v>46167</v>
      </c>
      <c r="AY68" s="2">
        <v>0.6704282407407407</v>
      </c>
      <c r="AZ68">
        <v>187683</v>
      </c>
      <c r="BA68" s="1">
        <v>46058</v>
      </c>
      <c r="BB68" s="1">
        <v>46151</v>
      </c>
      <c r="BC68" t="s">
        <v>0</v>
      </c>
      <c r="BD68" s="1">
        <v>46156</v>
      </c>
      <c r="BE68" t="s">
        <v>786</v>
      </c>
      <c r="BL68" s="4">
        <v>0</v>
      </c>
      <c r="BM68" s="1">
        <v>46808</v>
      </c>
      <c r="BN68" s="1">
        <v>46167</v>
      </c>
      <c r="BO68">
        <v>0</v>
      </c>
      <c r="BP68">
        <v>32210</v>
      </c>
      <c r="BQ68" t="s">
        <v>156</v>
      </c>
      <c r="BR68" s="3">
        <v>169249.11</v>
      </c>
      <c r="BS68" s="3">
        <v>5310</v>
      </c>
      <c r="BT68">
        <v>0</v>
      </c>
      <c r="BU68" s="3">
        <v>174559.11</v>
      </c>
      <c r="BV68" s="3">
        <v>230672.93</v>
      </c>
      <c r="BX68">
        <v>0</v>
      </c>
      <c r="BZ68">
        <v>0</v>
      </c>
      <c r="CA68">
        <v>0</v>
      </c>
      <c r="CB68">
        <v>0</v>
      </c>
      <c r="CC68" s="3">
        <v>230672.93</v>
      </c>
      <c r="CD68" s="5">
        <v>0</v>
      </c>
      <c r="CF68" s="6">
        <v>46143</v>
      </c>
      <c r="CH68">
        <v>0</v>
      </c>
      <c r="CI68">
        <v>0</v>
      </c>
      <c r="CJ68">
        <v>0</v>
      </c>
      <c r="CK68">
        <v>0</v>
      </c>
      <c r="CL68">
        <v>0</v>
      </c>
      <c r="CM68">
        <v>0</v>
      </c>
      <c r="CN68">
        <v>0</v>
      </c>
      <c r="CO68">
        <v>0</v>
      </c>
      <c r="CP68">
        <v>0</v>
      </c>
      <c r="CQ68">
        <v>0</v>
      </c>
      <c r="CR68">
        <v>0</v>
      </c>
      <c r="CS68" t="s">
        <v>360</v>
      </c>
      <c r="CT68" t="s">
        <v>214</v>
      </c>
      <c r="CU68" t="s">
        <v>780</v>
      </c>
      <c r="CW68">
        <v>-51.940100000000001</v>
      </c>
      <c r="CZ68" s="1">
        <v>46156</v>
      </c>
      <c r="DA68" t="s">
        <v>172</v>
      </c>
      <c r="DB68" t="s">
        <v>172</v>
      </c>
      <c r="DC68" t="s">
        <v>172</v>
      </c>
      <c r="DD68" t="s">
        <v>172</v>
      </c>
      <c r="DG68" s="1">
        <v>46156</v>
      </c>
      <c r="DH68">
        <v>0</v>
      </c>
      <c r="DI68">
        <v>0</v>
      </c>
      <c r="DJ68" s="1">
        <v>46167</v>
      </c>
      <c r="DL68" t="s">
        <v>215</v>
      </c>
      <c r="DM68" t="s">
        <v>172</v>
      </c>
      <c r="DN68" t="s">
        <v>525</v>
      </c>
      <c r="DV68" s="3">
        <v>230672.93</v>
      </c>
      <c r="DW68">
        <v>0</v>
      </c>
      <c r="DX68" s="3">
        <v>230672.93</v>
      </c>
      <c r="DY68">
        <v>0</v>
      </c>
      <c r="EF68" s="1">
        <v>46168</v>
      </c>
      <c r="EG68" s="1">
        <v>46160</v>
      </c>
      <c r="EK68" s="1">
        <v>46168</v>
      </c>
      <c r="EM68" s="1">
        <v>46163</v>
      </c>
      <c r="EN68" t="s">
        <v>156</v>
      </c>
      <c r="EP68" s="1">
        <v>46161</v>
      </c>
      <c r="ES68" t="s">
        <v>787</v>
      </c>
      <c r="EW68" s="1">
        <v>46156</v>
      </c>
    </row>
    <row r="69" spans="1:153" ht="246.5" x14ac:dyDescent="0.35">
      <c r="A69" t="str">
        <f>HYPERLINK("https://7lm.cvcrm.com.br/gestor/comercial/reservas/7092/administrar","7092")</f>
        <v>7092</v>
      </c>
      <c r="B69" t="s">
        <v>156</v>
      </c>
      <c r="C69" s="1">
        <v>46155</v>
      </c>
      <c r="D69" s="2">
        <v>0.89099537037037035</v>
      </c>
      <c r="E69" t="s">
        <v>294</v>
      </c>
      <c r="F69" t="s">
        <v>458</v>
      </c>
      <c r="G69" t="s">
        <v>203</v>
      </c>
      <c r="H69" t="s">
        <v>204</v>
      </c>
      <c r="I69" t="s">
        <v>788</v>
      </c>
      <c r="J69">
        <v>1</v>
      </c>
      <c r="K69">
        <v>8461</v>
      </c>
      <c r="L69">
        <v>20001</v>
      </c>
      <c r="M69" t="s">
        <v>789</v>
      </c>
      <c r="N69" s="1">
        <v>46157</v>
      </c>
      <c r="O69" s="2">
        <v>0.75115740740740744</v>
      </c>
      <c r="Q69">
        <v>9964</v>
      </c>
      <c r="R69" t="str">
        <f>HYPERLINK("https://7lm.cvcrm.com.br/gestor/relatorios/associado/html?q[1|r.idreserva]=7092","LUIS HENRIQUE SANTOS DA SILVA")</f>
        <v>LUIS HENRIQUE SANTOS DA SILVA</v>
      </c>
      <c r="S69">
        <v>71182613195</v>
      </c>
      <c r="T69">
        <v>5561995896155</v>
      </c>
      <c r="U69">
        <v>5561998839355</v>
      </c>
      <c r="V69" t="s">
        <v>790</v>
      </c>
      <c r="W69" t="s">
        <v>163</v>
      </c>
      <c r="Y69" t="s">
        <v>189</v>
      </c>
      <c r="Z69" t="s">
        <v>214</v>
      </c>
      <c r="AA69" t="s">
        <v>791</v>
      </c>
      <c r="AB69" t="s">
        <v>792</v>
      </c>
      <c r="AC69" t="s">
        <v>785</v>
      </c>
      <c r="AD69" t="s">
        <v>785</v>
      </c>
      <c r="AF69" t="s">
        <v>634</v>
      </c>
      <c r="AG69" t="s">
        <v>195</v>
      </c>
      <c r="AH69" s="3">
        <v>213286.95</v>
      </c>
      <c r="AI69" s="3">
        <v>213286.95</v>
      </c>
      <c r="AJ69" s="1">
        <v>46218</v>
      </c>
      <c r="AN69" t="s">
        <v>172</v>
      </c>
      <c r="AR69" s="7" t="s">
        <v>353</v>
      </c>
      <c r="AT69" t="s">
        <v>261</v>
      </c>
      <c r="AU69" t="s">
        <v>316</v>
      </c>
      <c r="AW69">
        <v>0</v>
      </c>
      <c r="AX69" s="1">
        <v>46157</v>
      </c>
      <c r="AY69" s="2">
        <v>0.80706018518518519</v>
      </c>
      <c r="AZ69">
        <v>212841</v>
      </c>
      <c r="BA69" s="1">
        <v>46154</v>
      </c>
      <c r="BC69" t="s">
        <v>0</v>
      </c>
      <c r="BD69" s="1">
        <v>46155</v>
      </c>
      <c r="BE69" t="s">
        <v>615</v>
      </c>
      <c r="BL69" s="4">
        <v>0</v>
      </c>
      <c r="BM69" s="1">
        <v>46572</v>
      </c>
      <c r="BN69" s="1">
        <v>46157</v>
      </c>
      <c r="BO69">
        <v>0</v>
      </c>
      <c r="BP69">
        <v>32377</v>
      </c>
      <c r="BQ69" t="s">
        <v>156</v>
      </c>
      <c r="BR69" s="3">
        <v>159737.29</v>
      </c>
      <c r="BS69" s="3">
        <v>13997</v>
      </c>
      <c r="BT69">
        <v>0</v>
      </c>
      <c r="BU69" s="3">
        <v>173734.29</v>
      </c>
      <c r="BV69" s="3">
        <v>213286.95</v>
      </c>
      <c r="BX69">
        <v>0</v>
      </c>
      <c r="BZ69">
        <v>0</v>
      </c>
      <c r="CA69">
        <v>0</v>
      </c>
      <c r="CB69">
        <v>0</v>
      </c>
      <c r="CC69" s="3">
        <v>213286.95</v>
      </c>
      <c r="CD69" s="5">
        <v>0</v>
      </c>
      <c r="CE69" t="s">
        <v>467</v>
      </c>
      <c r="CF69" s="6">
        <v>46143</v>
      </c>
      <c r="CH69">
        <v>0</v>
      </c>
      <c r="CI69">
        <v>0</v>
      </c>
      <c r="CJ69">
        <v>0</v>
      </c>
      <c r="CK69">
        <v>0</v>
      </c>
      <c r="CL69">
        <v>0</v>
      </c>
      <c r="CM69">
        <v>0</v>
      </c>
      <c r="CN69">
        <v>0</v>
      </c>
      <c r="CO69">
        <v>0</v>
      </c>
      <c r="CP69">
        <v>0</v>
      </c>
      <c r="CQ69">
        <v>0</v>
      </c>
      <c r="CR69">
        <v>0</v>
      </c>
      <c r="CS69" t="s">
        <v>793</v>
      </c>
      <c r="CT69" t="s">
        <v>214</v>
      </c>
      <c r="CU69" t="s">
        <v>788</v>
      </c>
      <c r="CW69">
        <v>-53.713799999999999</v>
      </c>
      <c r="CZ69" s="1">
        <v>46155</v>
      </c>
      <c r="DA69" t="s">
        <v>172</v>
      </c>
      <c r="DB69" t="s">
        <v>172</v>
      </c>
      <c r="DC69" t="s">
        <v>172</v>
      </c>
      <c r="DD69" t="s">
        <v>172</v>
      </c>
      <c r="DG69" s="1">
        <v>46155</v>
      </c>
      <c r="DH69">
        <v>0</v>
      </c>
      <c r="DI69">
        <v>0</v>
      </c>
      <c r="DJ69" s="1">
        <v>46157</v>
      </c>
      <c r="DL69" t="s">
        <v>794</v>
      </c>
      <c r="DM69" t="s">
        <v>172</v>
      </c>
      <c r="DN69" t="s">
        <v>795</v>
      </c>
      <c r="DV69" s="3">
        <v>213286.95</v>
      </c>
      <c r="DW69">
        <v>0</v>
      </c>
      <c r="DX69" s="3">
        <v>213286.95</v>
      </c>
      <c r="DY69">
        <v>0</v>
      </c>
      <c r="EF69" s="1">
        <v>46161</v>
      </c>
      <c r="EG69" s="1">
        <v>46157</v>
      </c>
      <c r="EK69" s="1">
        <v>46161</v>
      </c>
      <c r="EN69" t="s">
        <v>156</v>
      </c>
      <c r="EP69" s="1">
        <v>46161</v>
      </c>
      <c r="EW69" s="1">
        <v>46155</v>
      </c>
    </row>
    <row r="70" spans="1:153" ht="246.5" x14ac:dyDescent="0.35">
      <c r="A70" t="str">
        <f>HYPERLINK("https://7lm.cvcrm.com.br/gestor/comercial/reservas/7091/administrar","7091")</f>
        <v>7091</v>
      </c>
      <c r="B70" t="s">
        <v>156</v>
      </c>
      <c r="C70" s="1">
        <v>46155</v>
      </c>
      <c r="D70" s="2">
        <v>0.71480324074074075</v>
      </c>
      <c r="E70" t="s">
        <v>294</v>
      </c>
      <c r="F70" t="s">
        <v>182</v>
      </c>
      <c r="G70" t="s">
        <v>159</v>
      </c>
      <c r="H70" t="s">
        <v>372</v>
      </c>
      <c r="I70" t="s">
        <v>796</v>
      </c>
      <c r="J70">
        <v>1</v>
      </c>
      <c r="K70">
        <v>8525</v>
      </c>
      <c r="L70">
        <v>30151</v>
      </c>
      <c r="M70" t="s">
        <v>797</v>
      </c>
      <c r="N70" s="1">
        <v>46167</v>
      </c>
      <c r="O70" s="2">
        <v>0.68671296296296291</v>
      </c>
      <c r="Q70">
        <v>10038</v>
      </c>
      <c r="R70" t="str">
        <f>HYPERLINK("https://7lm.cvcrm.com.br/gestor/relatorios/associado/html?q[1|r.idreserva]=7091","JOAO PEDRO PEREIRA CAIXETA")</f>
        <v>JOAO PEDRO PEREIRA CAIXETA</v>
      </c>
      <c r="S70">
        <v>6361915166</v>
      </c>
      <c r="T70">
        <v>5561996480552</v>
      </c>
      <c r="U70">
        <v>5561998836857</v>
      </c>
      <c r="V70" t="s">
        <v>798</v>
      </c>
      <c r="W70" t="s">
        <v>163</v>
      </c>
      <c r="X70" t="s">
        <v>288</v>
      </c>
      <c r="Y70" t="s">
        <v>189</v>
      </c>
      <c r="Z70" t="s">
        <v>190</v>
      </c>
      <c r="AA70" t="s">
        <v>799</v>
      </c>
      <c r="AB70" t="s">
        <v>800</v>
      </c>
      <c r="AC70" t="s">
        <v>193</v>
      </c>
      <c r="AF70" t="s">
        <v>194</v>
      </c>
      <c r="AG70" t="s">
        <v>251</v>
      </c>
      <c r="AH70" s="3">
        <v>240654.04</v>
      </c>
      <c r="AI70" s="3">
        <v>240654.04</v>
      </c>
      <c r="AJ70" s="1">
        <v>46216</v>
      </c>
      <c r="AN70" t="s">
        <v>172</v>
      </c>
      <c r="AR70" s="7" t="s">
        <v>353</v>
      </c>
      <c r="AT70" t="s">
        <v>196</v>
      </c>
      <c r="AU70" t="s">
        <v>590</v>
      </c>
      <c r="AW70">
        <v>0</v>
      </c>
      <c r="AX70" s="1">
        <v>46169</v>
      </c>
      <c r="AY70" s="2">
        <v>0.42621527777777779</v>
      </c>
      <c r="AZ70">
        <v>189996</v>
      </c>
      <c r="BA70" s="1">
        <v>46070</v>
      </c>
      <c r="BC70" t="s">
        <v>275</v>
      </c>
      <c r="BD70" s="1">
        <v>46149</v>
      </c>
      <c r="BE70" t="s">
        <v>198</v>
      </c>
      <c r="BL70" s="4">
        <v>0</v>
      </c>
      <c r="BM70" s="1">
        <v>46899</v>
      </c>
      <c r="BN70" s="1">
        <v>46169</v>
      </c>
      <c r="BO70">
        <v>0</v>
      </c>
      <c r="BP70">
        <v>32132</v>
      </c>
      <c r="BQ70" t="s">
        <v>156</v>
      </c>
      <c r="BR70" s="3">
        <v>142333.46</v>
      </c>
      <c r="BS70" s="3">
        <v>21113</v>
      </c>
      <c r="BT70">
        <v>0</v>
      </c>
      <c r="BU70" s="3">
        <v>163446.46</v>
      </c>
      <c r="BV70" s="3">
        <v>240654.04</v>
      </c>
      <c r="BX70">
        <v>0</v>
      </c>
      <c r="BZ70">
        <v>0</v>
      </c>
      <c r="CA70">
        <v>0</v>
      </c>
      <c r="CB70">
        <v>0</v>
      </c>
      <c r="CC70" s="3">
        <v>240654.04</v>
      </c>
      <c r="CD70" s="5">
        <v>0</v>
      </c>
      <c r="CF70" s="6">
        <v>46143</v>
      </c>
      <c r="CH70">
        <v>0</v>
      </c>
      <c r="CI70">
        <v>0</v>
      </c>
      <c r="CJ70">
        <v>0</v>
      </c>
      <c r="CK70">
        <v>0</v>
      </c>
      <c r="CL70">
        <v>0</v>
      </c>
      <c r="CM70">
        <v>0</v>
      </c>
      <c r="CN70">
        <v>0</v>
      </c>
      <c r="CO70">
        <v>0</v>
      </c>
      <c r="CP70">
        <v>0</v>
      </c>
      <c r="CQ70">
        <v>0</v>
      </c>
      <c r="CR70">
        <v>0</v>
      </c>
      <c r="CS70" t="s">
        <v>360</v>
      </c>
      <c r="CT70" t="s">
        <v>190</v>
      </c>
      <c r="CU70" t="s">
        <v>796</v>
      </c>
      <c r="CW70">
        <v>-52.124499999999998</v>
      </c>
      <c r="CZ70" s="1">
        <v>46155</v>
      </c>
      <c r="DA70" t="s">
        <v>172</v>
      </c>
      <c r="DB70" t="s">
        <v>172</v>
      </c>
      <c r="DC70" t="s">
        <v>172</v>
      </c>
      <c r="DD70" t="s">
        <v>172</v>
      </c>
      <c r="DG70" s="1">
        <v>46155</v>
      </c>
      <c r="DH70">
        <v>0</v>
      </c>
      <c r="DI70">
        <v>0</v>
      </c>
      <c r="DJ70" s="1">
        <v>46169</v>
      </c>
      <c r="DK70" t="s">
        <v>179</v>
      </c>
      <c r="DL70" t="s">
        <v>200</v>
      </c>
      <c r="DM70" t="s">
        <v>172</v>
      </c>
      <c r="DN70" t="s">
        <v>201</v>
      </c>
      <c r="DV70" s="3">
        <v>240654.04</v>
      </c>
      <c r="DW70">
        <v>0</v>
      </c>
      <c r="DX70" s="3">
        <v>240654.04</v>
      </c>
      <c r="DY70">
        <v>0</v>
      </c>
      <c r="EF70" s="1">
        <v>46167</v>
      </c>
      <c r="EG70" s="1">
        <v>46163</v>
      </c>
      <c r="EH70" s="1">
        <v>46160</v>
      </c>
      <c r="EK70" s="1">
        <v>46167</v>
      </c>
      <c r="EL70" s="1">
        <v>46167</v>
      </c>
      <c r="EM70" s="1">
        <v>46161</v>
      </c>
      <c r="EN70" t="s">
        <v>172</v>
      </c>
      <c r="EP70" s="1">
        <v>46160</v>
      </c>
      <c r="ER70" s="1">
        <v>46160</v>
      </c>
      <c r="ES70" t="s">
        <v>801</v>
      </c>
      <c r="ET70" t="s">
        <v>802</v>
      </c>
      <c r="EW70" s="1">
        <v>46155</v>
      </c>
    </row>
    <row r="71" spans="1:153" ht="87" x14ac:dyDescent="0.35">
      <c r="A71" t="str">
        <f>HYPERLINK("https://7lm.cvcrm.com.br/gestor/comercial/reservas/7090/administrar","7090")</f>
        <v>7090</v>
      </c>
      <c r="B71" t="s">
        <v>156</v>
      </c>
      <c r="C71" s="1">
        <v>46155</v>
      </c>
      <c r="D71" s="2">
        <v>0.69395833333333334</v>
      </c>
      <c r="E71" t="s">
        <v>294</v>
      </c>
      <c r="F71" t="s">
        <v>182</v>
      </c>
      <c r="G71" t="s">
        <v>159</v>
      </c>
      <c r="H71" t="s">
        <v>759</v>
      </c>
      <c r="I71" t="s">
        <v>803</v>
      </c>
      <c r="J71">
        <v>1</v>
      </c>
      <c r="K71">
        <v>8536</v>
      </c>
      <c r="L71">
        <v>30151</v>
      </c>
      <c r="M71" t="s">
        <v>804</v>
      </c>
      <c r="N71" s="1">
        <v>46163</v>
      </c>
      <c r="O71" s="2">
        <v>0.65561342592592597</v>
      </c>
      <c r="Q71">
        <v>10045</v>
      </c>
      <c r="R71" t="str">
        <f>HYPERLINK("https://7lm.cvcrm.com.br/gestor/relatorios/associado/html?q[1|r.idreserva]=7090","JESSICA GOMES MADUREIRA")</f>
        <v>JESSICA GOMES MADUREIRA</v>
      </c>
      <c r="S71">
        <v>6540728174</v>
      </c>
      <c r="T71">
        <v>5561998317693</v>
      </c>
      <c r="U71">
        <v>5561999389325</v>
      </c>
      <c r="V71" t="s">
        <v>805</v>
      </c>
      <c r="W71" t="s">
        <v>187</v>
      </c>
      <c r="X71" t="s">
        <v>376</v>
      </c>
      <c r="Y71" t="s">
        <v>189</v>
      </c>
      <c r="Z71" t="s">
        <v>190</v>
      </c>
      <c r="AA71" t="s">
        <v>806</v>
      </c>
      <c r="AB71" t="s">
        <v>807</v>
      </c>
      <c r="AC71" t="s">
        <v>334</v>
      </c>
      <c r="AF71" t="s">
        <v>273</v>
      </c>
      <c r="AG71" t="s">
        <v>251</v>
      </c>
      <c r="AH71" s="3">
        <v>240656.35</v>
      </c>
      <c r="AI71" s="3">
        <v>240656.35</v>
      </c>
      <c r="AJ71" s="1">
        <v>46216</v>
      </c>
      <c r="AN71" t="s">
        <v>172</v>
      </c>
      <c r="AR71" s="7" t="s">
        <v>808</v>
      </c>
      <c r="AT71" t="s">
        <v>196</v>
      </c>
      <c r="AU71" t="s">
        <v>197</v>
      </c>
      <c r="AW71">
        <v>0</v>
      </c>
      <c r="AX71" s="1">
        <v>46169</v>
      </c>
      <c r="AY71" s="2">
        <v>0.59986111111111107</v>
      </c>
      <c r="AZ71">
        <v>212923</v>
      </c>
      <c r="BA71" s="1">
        <v>46155</v>
      </c>
      <c r="BC71" t="s">
        <v>176</v>
      </c>
      <c r="BD71" s="1">
        <v>46155</v>
      </c>
      <c r="BE71" t="s">
        <v>427</v>
      </c>
      <c r="BL71" s="4">
        <v>0</v>
      </c>
      <c r="BM71" s="1">
        <v>46899</v>
      </c>
      <c r="BN71" s="1">
        <v>46169</v>
      </c>
      <c r="BO71">
        <v>0</v>
      </c>
      <c r="BP71">
        <v>32352</v>
      </c>
      <c r="BQ71" t="s">
        <v>156</v>
      </c>
      <c r="BR71" s="3">
        <v>137185.82999999999</v>
      </c>
      <c r="BS71" s="3">
        <v>20038</v>
      </c>
      <c r="BT71">
        <v>0</v>
      </c>
      <c r="BU71" s="3">
        <v>157223.82999999999</v>
      </c>
      <c r="BV71" s="3">
        <v>240656.35</v>
      </c>
      <c r="BX71">
        <v>0</v>
      </c>
      <c r="BZ71">
        <v>0</v>
      </c>
      <c r="CA71">
        <v>0</v>
      </c>
      <c r="CB71">
        <v>0</v>
      </c>
      <c r="CC71" s="3">
        <v>240656.35</v>
      </c>
      <c r="CD71" s="5">
        <v>0</v>
      </c>
      <c r="CF71" s="6">
        <v>46143</v>
      </c>
      <c r="CH71">
        <v>0</v>
      </c>
      <c r="CI71">
        <v>0</v>
      </c>
      <c r="CJ71">
        <v>0</v>
      </c>
      <c r="CK71">
        <v>0</v>
      </c>
      <c r="CL71">
        <v>0</v>
      </c>
      <c r="CM71">
        <v>0</v>
      </c>
      <c r="CN71">
        <v>0</v>
      </c>
      <c r="CO71">
        <v>0</v>
      </c>
      <c r="CP71">
        <v>0</v>
      </c>
      <c r="CQ71">
        <v>0</v>
      </c>
      <c r="CR71">
        <v>0</v>
      </c>
      <c r="CS71" t="s">
        <v>360</v>
      </c>
      <c r="CT71" t="s">
        <v>190</v>
      </c>
      <c r="CU71" t="s">
        <v>803</v>
      </c>
      <c r="CW71">
        <v>-50.788800000000002</v>
      </c>
      <c r="CZ71" s="1">
        <v>46155</v>
      </c>
      <c r="DA71" t="s">
        <v>172</v>
      </c>
      <c r="DB71" t="s">
        <v>172</v>
      </c>
      <c r="DC71" t="s">
        <v>172</v>
      </c>
      <c r="DD71" t="s">
        <v>172</v>
      </c>
      <c r="DG71" s="1">
        <v>46155</v>
      </c>
      <c r="DH71">
        <v>0</v>
      </c>
      <c r="DI71">
        <v>0</v>
      </c>
      <c r="DJ71" s="1">
        <v>46169</v>
      </c>
      <c r="DK71" t="s">
        <v>179</v>
      </c>
      <c r="DL71" t="s">
        <v>200</v>
      </c>
      <c r="DM71" t="s">
        <v>172</v>
      </c>
      <c r="DN71" t="s">
        <v>201</v>
      </c>
      <c r="DV71" s="3">
        <v>240656.35</v>
      </c>
      <c r="DW71">
        <v>0</v>
      </c>
      <c r="DX71" s="3">
        <v>240656.35</v>
      </c>
      <c r="DY71">
        <v>0</v>
      </c>
      <c r="EF71" s="1">
        <v>46163</v>
      </c>
      <c r="EG71" s="1">
        <v>46161</v>
      </c>
      <c r="EK71" s="1">
        <v>46163</v>
      </c>
      <c r="EL71" s="1">
        <v>46163</v>
      </c>
      <c r="EM71" s="1">
        <v>46168</v>
      </c>
      <c r="EP71" s="1">
        <v>46168</v>
      </c>
      <c r="EQ71" s="1">
        <v>46167</v>
      </c>
      <c r="ER71" s="1">
        <v>46161</v>
      </c>
      <c r="ES71" t="s">
        <v>809</v>
      </c>
      <c r="EV71" s="1">
        <v>46167</v>
      </c>
      <c r="EW71" s="1">
        <v>46157</v>
      </c>
    </row>
    <row r="72" spans="1:153" x14ac:dyDescent="0.35">
      <c r="A72" t="str">
        <f>HYPERLINK("https://7lm.cvcrm.com.br/gestor/comercial/reservas/7089/administrar","7089")</f>
        <v>7089</v>
      </c>
      <c r="B72" t="s">
        <v>172</v>
      </c>
      <c r="C72" s="1">
        <v>46155</v>
      </c>
      <c r="D72" s="2">
        <v>0.61685185185185187</v>
      </c>
      <c r="E72" t="s">
        <v>527</v>
      </c>
      <c r="F72" t="s">
        <v>158</v>
      </c>
      <c r="G72" t="s">
        <v>159</v>
      </c>
      <c r="H72" t="s">
        <v>160</v>
      </c>
      <c r="I72">
        <v>506</v>
      </c>
      <c r="J72">
        <v>1</v>
      </c>
      <c r="L72">
        <v>10001</v>
      </c>
      <c r="M72" t="s">
        <v>161</v>
      </c>
      <c r="R72" t="str">
        <f>HYPERLINK("https://7lm.cvcrm.com.br/gestor/relatorios/associado/html?q[1|r.idreserva]=7089","CASSIO FELIPE BARBOSA DA SILVA")</f>
        <v>CASSIO FELIPE BARBOSA DA SILVA</v>
      </c>
      <c r="S72">
        <v>1173759182</v>
      </c>
      <c r="T72">
        <v>5561982145303</v>
      </c>
      <c r="U72">
        <v>5561982145303</v>
      </c>
      <c r="V72" t="s">
        <v>810</v>
      </c>
      <c r="W72" t="s">
        <v>163</v>
      </c>
      <c r="X72" t="s">
        <v>811</v>
      </c>
      <c r="Y72" t="s">
        <v>165</v>
      </c>
      <c r="Z72" t="s">
        <v>257</v>
      </c>
      <c r="AA72" t="s">
        <v>812</v>
      </c>
      <c r="AB72" t="s">
        <v>813</v>
      </c>
      <c r="AC72" t="s">
        <v>814</v>
      </c>
      <c r="AE72" t="s">
        <v>815</v>
      </c>
      <c r="AF72" t="s">
        <v>170</v>
      </c>
      <c r="AG72" t="s">
        <v>171</v>
      </c>
      <c r="AH72" s="3">
        <v>490003.82</v>
      </c>
      <c r="AI72" s="3">
        <v>490003.82</v>
      </c>
      <c r="AJ72" s="1">
        <v>46157</v>
      </c>
      <c r="AN72" t="s">
        <v>172</v>
      </c>
      <c r="AO72" t="s">
        <v>816</v>
      </c>
      <c r="AT72" t="s">
        <v>196</v>
      </c>
      <c r="AU72" t="s">
        <v>197</v>
      </c>
      <c r="AW72">
        <v>0</v>
      </c>
      <c r="AX72" s="1">
        <v>46170</v>
      </c>
      <c r="AY72" s="2">
        <v>0.54809027777777775</v>
      </c>
      <c r="AZ72">
        <v>210973</v>
      </c>
      <c r="BA72" s="1">
        <v>46150</v>
      </c>
      <c r="BC72" t="s">
        <v>213</v>
      </c>
      <c r="BD72" s="1">
        <v>46150</v>
      </c>
      <c r="BE72" t="s">
        <v>817</v>
      </c>
      <c r="BL72" s="4">
        <v>0</v>
      </c>
      <c r="BM72" s="1">
        <v>46387</v>
      </c>
      <c r="BO72">
        <v>0</v>
      </c>
      <c r="BP72">
        <v>32188</v>
      </c>
      <c r="BQ72" t="s">
        <v>156</v>
      </c>
      <c r="BR72" s="3">
        <v>320000</v>
      </c>
      <c r="BS72">
        <v>0</v>
      </c>
      <c r="BT72">
        <v>0</v>
      </c>
      <c r="BU72" s="3">
        <v>320000</v>
      </c>
      <c r="BV72" s="3">
        <v>490003.82</v>
      </c>
      <c r="BX72">
        <v>0</v>
      </c>
      <c r="BZ72">
        <v>0</v>
      </c>
      <c r="CA72">
        <v>0</v>
      </c>
      <c r="CB72">
        <v>0</v>
      </c>
      <c r="CC72" s="3">
        <v>490003.82</v>
      </c>
      <c r="CD72" s="5">
        <v>0</v>
      </c>
      <c r="CF72" s="6">
        <v>46143</v>
      </c>
      <c r="CH72">
        <v>0</v>
      </c>
      <c r="CI72">
        <v>0</v>
      </c>
      <c r="CJ72">
        <v>0</v>
      </c>
      <c r="CK72">
        <v>0</v>
      </c>
      <c r="CL72">
        <v>0</v>
      </c>
      <c r="CM72">
        <v>0</v>
      </c>
      <c r="CN72">
        <v>0</v>
      </c>
      <c r="CO72">
        <v>0</v>
      </c>
      <c r="CP72">
        <v>0</v>
      </c>
      <c r="CQ72">
        <v>0</v>
      </c>
      <c r="CR72">
        <v>0</v>
      </c>
      <c r="CT72" t="s">
        <v>178</v>
      </c>
      <c r="CU72">
        <v>506</v>
      </c>
      <c r="CW72">
        <v>0</v>
      </c>
      <c r="CZ72" s="1">
        <v>46155</v>
      </c>
      <c r="DA72" t="s">
        <v>172</v>
      </c>
      <c r="DB72" t="s">
        <v>172</v>
      </c>
      <c r="DC72" t="s">
        <v>172</v>
      </c>
      <c r="DD72" t="s">
        <v>172</v>
      </c>
      <c r="DG72" s="1">
        <v>46155</v>
      </c>
      <c r="DH72">
        <v>0</v>
      </c>
      <c r="DI72">
        <v>0</v>
      </c>
      <c r="DK72" t="s">
        <v>179</v>
      </c>
      <c r="DM72" t="s">
        <v>172</v>
      </c>
      <c r="DN72" t="s">
        <v>180</v>
      </c>
      <c r="DU72" t="s">
        <v>734</v>
      </c>
      <c r="DV72" s="3">
        <v>723471.18</v>
      </c>
      <c r="DW72">
        <v>-59.62</v>
      </c>
      <c r="DX72" s="3">
        <v>723471.18</v>
      </c>
      <c r="DY72">
        <v>-59.62</v>
      </c>
    </row>
    <row r="73" spans="1:153" ht="246.5" x14ac:dyDescent="0.35">
      <c r="A73" t="str">
        <f>HYPERLINK("https://7lm.cvcrm.com.br/gestor/comercial/reservas/7088/administrar","7088")</f>
        <v>7088</v>
      </c>
      <c r="B73" t="s">
        <v>156</v>
      </c>
      <c r="C73" s="1">
        <v>46155</v>
      </c>
      <c r="D73" s="2">
        <v>0.51725694444444448</v>
      </c>
      <c r="E73" t="s">
        <v>294</v>
      </c>
      <c r="F73" t="s">
        <v>182</v>
      </c>
      <c r="G73" t="s">
        <v>159</v>
      </c>
      <c r="H73" t="s">
        <v>759</v>
      </c>
      <c r="I73" t="s">
        <v>818</v>
      </c>
      <c r="J73">
        <v>1</v>
      </c>
      <c r="K73">
        <v>8527</v>
      </c>
      <c r="L73">
        <v>30151</v>
      </c>
      <c r="M73" t="s">
        <v>819</v>
      </c>
      <c r="N73" s="1">
        <v>46167</v>
      </c>
      <c r="O73" s="2">
        <v>0.68442129629629633</v>
      </c>
      <c r="Q73">
        <v>10043</v>
      </c>
      <c r="R73" t="str">
        <f>HYPERLINK("https://7lm.cvcrm.com.br/gestor/relatorios/associado/html?q[1|r.idreserva]=7088","FILIPE LEMOS DOS SANTOS")</f>
        <v>FILIPE LEMOS DOS SANTOS</v>
      </c>
      <c r="S73">
        <v>11790076110</v>
      </c>
      <c r="T73">
        <v>5561996873825</v>
      </c>
      <c r="U73">
        <v>5561996065791</v>
      </c>
      <c r="V73" t="s">
        <v>820</v>
      </c>
      <c r="W73" t="s">
        <v>163</v>
      </c>
      <c r="X73" t="s">
        <v>331</v>
      </c>
      <c r="Y73" t="s">
        <v>189</v>
      </c>
      <c r="Z73" t="s">
        <v>190</v>
      </c>
      <c r="AA73" t="s">
        <v>821</v>
      </c>
      <c r="AB73" t="s">
        <v>822</v>
      </c>
      <c r="AC73" t="s">
        <v>334</v>
      </c>
      <c r="AF73" t="s">
        <v>273</v>
      </c>
      <c r="AG73" t="s">
        <v>251</v>
      </c>
      <c r="AH73" s="3">
        <v>240657.16</v>
      </c>
      <c r="AI73" s="3">
        <v>240657.16</v>
      </c>
      <c r="AJ73" s="1">
        <v>46216</v>
      </c>
      <c r="AN73" t="s">
        <v>172</v>
      </c>
      <c r="AR73" s="7" t="s">
        <v>353</v>
      </c>
      <c r="AT73" t="s">
        <v>196</v>
      </c>
      <c r="AU73" t="s">
        <v>292</v>
      </c>
      <c r="AW73">
        <v>0</v>
      </c>
      <c r="AX73" s="1">
        <v>46169</v>
      </c>
      <c r="AY73" s="2">
        <v>0.4403009259259259</v>
      </c>
      <c r="AZ73">
        <v>172271</v>
      </c>
      <c r="BA73" s="1">
        <v>45939</v>
      </c>
      <c r="BC73" t="s">
        <v>0</v>
      </c>
      <c r="BD73" s="1">
        <v>46155</v>
      </c>
      <c r="BE73" t="s">
        <v>317</v>
      </c>
      <c r="BL73" s="4">
        <v>0</v>
      </c>
      <c r="BM73" s="1">
        <v>46899</v>
      </c>
      <c r="BN73" s="1">
        <v>46169</v>
      </c>
      <c r="BO73">
        <v>0</v>
      </c>
      <c r="BP73">
        <v>32261</v>
      </c>
      <c r="BQ73" t="s">
        <v>156</v>
      </c>
      <c r="BR73" s="3">
        <v>129626.96</v>
      </c>
      <c r="BS73" s="3">
        <v>29374</v>
      </c>
      <c r="BT73">
        <v>0</v>
      </c>
      <c r="BU73" s="3">
        <v>159000.95999999999</v>
      </c>
      <c r="BV73" s="3">
        <v>240657.16</v>
      </c>
      <c r="BX73">
        <v>0</v>
      </c>
      <c r="BZ73">
        <v>0</v>
      </c>
      <c r="CA73">
        <v>0</v>
      </c>
      <c r="CB73">
        <v>0</v>
      </c>
      <c r="CC73" s="3">
        <v>240657.16</v>
      </c>
      <c r="CD73" s="5">
        <v>0</v>
      </c>
      <c r="CF73" s="6">
        <v>46143</v>
      </c>
      <c r="CH73">
        <v>0</v>
      </c>
      <c r="CI73">
        <v>0</v>
      </c>
      <c r="CJ73">
        <v>0</v>
      </c>
      <c r="CK73">
        <v>0</v>
      </c>
      <c r="CL73">
        <v>0</v>
      </c>
      <c r="CM73">
        <v>0</v>
      </c>
      <c r="CN73">
        <v>0</v>
      </c>
      <c r="CO73">
        <v>0</v>
      </c>
      <c r="CP73">
        <v>0</v>
      </c>
      <c r="CQ73">
        <v>0</v>
      </c>
      <c r="CR73">
        <v>0</v>
      </c>
      <c r="CS73" t="s">
        <v>360</v>
      </c>
      <c r="CT73" t="s">
        <v>190</v>
      </c>
      <c r="CU73" t="s">
        <v>818</v>
      </c>
      <c r="CW73">
        <v>-50.951500000000003</v>
      </c>
      <c r="CZ73" s="1">
        <v>46155</v>
      </c>
      <c r="DA73" t="s">
        <v>172</v>
      </c>
      <c r="DB73" t="s">
        <v>172</v>
      </c>
      <c r="DC73" t="s">
        <v>172</v>
      </c>
      <c r="DD73" t="s">
        <v>172</v>
      </c>
      <c r="DG73" s="1">
        <v>46155</v>
      </c>
      <c r="DH73">
        <v>0</v>
      </c>
      <c r="DI73">
        <v>0</v>
      </c>
      <c r="DJ73" s="1">
        <v>46169</v>
      </c>
      <c r="DK73" t="s">
        <v>179</v>
      </c>
      <c r="DL73" t="s">
        <v>200</v>
      </c>
      <c r="DM73" t="s">
        <v>172</v>
      </c>
      <c r="DN73" t="s">
        <v>201</v>
      </c>
      <c r="DV73" s="3">
        <v>240657.16</v>
      </c>
      <c r="DW73">
        <v>0</v>
      </c>
      <c r="DX73" s="3">
        <v>240657.16</v>
      </c>
      <c r="DY73">
        <v>0</v>
      </c>
      <c r="EF73" s="1">
        <v>46167</v>
      </c>
      <c r="EG73" s="1">
        <v>46163</v>
      </c>
      <c r="EK73" s="1">
        <v>46167</v>
      </c>
      <c r="EL73" s="1">
        <v>46167</v>
      </c>
      <c r="EM73" s="1">
        <v>46167</v>
      </c>
      <c r="EO73" s="1">
        <v>46167</v>
      </c>
      <c r="EP73" s="1">
        <v>46167</v>
      </c>
      <c r="EQ73" s="1">
        <v>46164</v>
      </c>
      <c r="ER73" s="1">
        <v>46163</v>
      </c>
      <c r="ES73" t="s">
        <v>823</v>
      </c>
      <c r="EV73" s="1">
        <v>46164</v>
      </c>
      <c r="EW73" s="1">
        <v>46155</v>
      </c>
    </row>
    <row r="74" spans="1:153" ht="246.5" x14ac:dyDescent="0.35">
      <c r="A74" t="str">
        <f>HYPERLINK("https://7lm.cvcrm.com.br/gestor/comercial/reservas/7087/administrar","7087")</f>
        <v>7087</v>
      </c>
      <c r="B74" t="s">
        <v>156</v>
      </c>
      <c r="C74" s="1">
        <v>46154</v>
      </c>
      <c r="D74" s="2">
        <v>0.80972222222222223</v>
      </c>
      <c r="E74" t="s">
        <v>294</v>
      </c>
      <c r="F74" t="s">
        <v>295</v>
      </c>
      <c r="G74" t="s">
        <v>203</v>
      </c>
      <c r="H74" t="s">
        <v>277</v>
      </c>
      <c r="I74" t="s">
        <v>382</v>
      </c>
      <c r="J74">
        <v>1</v>
      </c>
      <c r="K74">
        <v>8443</v>
      </c>
      <c r="L74">
        <v>30031</v>
      </c>
      <c r="M74" t="s">
        <v>824</v>
      </c>
      <c r="N74" s="1">
        <v>46160</v>
      </c>
      <c r="O74" s="2">
        <v>0.42206018518518518</v>
      </c>
      <c r="Q74">
        <v>9955</v>
      </c>
      <c r="R74" t="str">
        <f>HYPERLINK("https://7lm.cvcrm.com.br/gestor/relatorios/associado/html?q[1|r.idreserva]=7087","FLAVIA RODRIGUES SANTANA")</f>
        <v>FLAVIA RODRIGUES SANTANA</v>
      </c>
      <c r="S74">
        <v>1844836118</v>
      </c>
      <c r="T74">
        <v>556198448087</v>
      </c>
      <c r="U74">
        <v>556196552452</v>
      </c>
      <c r="V74" t="s">
        <v>825</v>
      </c>
      <c r="W74" t="s">
        <v>187</v>
      </c>
      <c r="X74" t="s">
        <v>826</v>
      </c>
      <c r="Y74" t="s">
        <v>189</v>
      </c>
      <c r="Z74" t="s">
        <v>190</v>
      </c>
      <c r="AA74" t="s">
        <v>480</v>
      </c>
      <c r="AB74" t="s">
        <v>827</v>
      </c>
      <c r="AC74" t="s">
        <v>828</v>
      </c>
      <c r="AD74" t="s">
        <v>828</v>
      </c>
      <c r="AF74" t="s">
        <v>352</v>
      </c>
      <c r="AG74" t="s">
        <v>195</v>
      </c>
      <c r="AH74" s="3">
        <v>247580.69</v>
      </c>
      <c r="AI74" s="3">
        <v>247580.69</v>
      </c>
      <c r="AJ74" s="1">
        <v>46208</v>
      </c>
      <c r="AN74" t="s">
        <v>172</v>
      </c>
      <c r="AR74" s="7" t="s">
        <v>353</v>
      </c>
      <c r="AT74" t="s">
        <v>173</v>
      </c>
      <c r="AU74" t="s">
        <v>292</v>
      </c>
      <c r="AW74">
        <v>0</v>
      </c>
      <c r="AX74" s="1">
        <v>46157</v>
      </c>
      <c r="AY74" s="2">
        <v>0.59733796296296293</v>
      </c>
      <c r="AZ74">
        <v>88365</v>
      </c>
      <c r="BA74" s="1">
        <v>45083</v>
      </c>
      <c r="BB74" s="1">
        <v>46132</v>
      </c>
      <c r="BC74" t="s">
        <v>275</v>
      </c>
      <c r="BD74" s="1">
        <v>46132</v>
      </c>
      <c r="BE74" t="s">
        <v>176</v>
      </c>
      <c r="BL74" s="4">
        <v>0</v>
      </c>
      <c r="BM74" s="1">
        <v>46604</v>
      </c>
      <c r="BN74" s="1">
        <v>46157</v>
      </c>
      <c r="BO74">
        <v>0</v>
      </c>
      <c r="BP74">
        <v>31282</v>
      </c>
      <c r="BQ74" t="s">
        <v>156</v>
      </c>
      <c r="BR74" s="3">
        <v>164321.17000000001</v>
      </c>
      <c r="BS74" s="3">
        <v>4340</v>
      </c>
      <c r="BT74">
        <v>0</v>
      </c>
      <c r="BU74" s="3">
        <v>168661.17</v>
      </c>
      <c r="BV74" s="3">
        <v>247580.69</v>
      </c>
      <c r="BX74">
        <v>0</v>
      </c>
      <c r="BZ74">
        <v>0</v>
      </c>
      <c r="CA74">
        <v>0</v>
      </c>
      <c r="CB74">
        <v>0</v>
      </c>
      <c r="CC74" s="3">
        <v>247580.69</v>
      </c>
      <c r="CD74" s="5">
        <v>0</v>
      </c>
      <c r="CF74" s="6">
        <v>46143</v>
      </c>
      <c r="CH74">
        <v>0</v>
      </c>
      <c r="CI74">
        <v>0</v>
      </c>
      <c r="CJ74">
        <v>0</v>
      </c>
      <c r="CK74">
        <v>0</v>
      </c>
      <c r="CL74">
        <v>0</v>
      </c>
      <c r="CM74">
        <v>0</v>
      </c>
      <c r="CN74">
        <v>0</v>
      </c>
      <c r="CO74">
        <v>0</v>
      </c>
      <c r="CP74">
        <v>0</v>
      </c>
      <c r="CQ74">
        <v>0</v>
      </c>
      <c r="CR74">
        <v>0</v>
      </c>
      <c r="CS74" t="s">
        <v>360</v>
      </c>
      <c r="CT74" t="s">
        <v>190</v>
      </c>
      <c r="CU74" t="s">
        <v>382</v>
      </c>
      <c r="CW74">
        <v>-47.962200000000003</v>
      </c>
      <c r="CZ74" s="1">
        <v>46154</v>
      </c>
      <c r="DA74" t="s">
        <v>172</v>
      </c>
      <c r="DB74" t="s">
        <v>172</v>
      </c>
      <c r="DC74" t="s">
        <v>172</v>
      </c>
      <c r="DD74" t="s">
        <v>172</v>
      </c>
      <c r="DG74" s="1">
        <v>46154</v>
      </c>
      <c r="DH74">
        <v>0</v>
      </c>
      <c r="DI74">
        <v>0</v>
      </c>
      <c r="DJ74" s="1">
        <v>46157</v>
      </c>
      <c r="DL74" t="s">
        <v>200</v>
      </c>
      <c r="DM74" t="s">
        <v>172</v>
      </c>
      <c r="DN74" t="s">
        <v>201</v>
      </c>
      <c r="DV74" s="3">
        <v>247580.69</v>
      </c>
      <c r="DW74">
        <v>0</v>
      </c>
      <c r="DX74" s="3">
        <v>247580.69</v>
      </c>
      <c r="DY74">
        <v>0</v>
      </c>
      <c r="EG74" s="1">
        <v>46155</v>
      </c>
      <c r="EN74" t="s">
        <v>156</v>
      </c>
      <c r="EP74" s="1">
        <v>46155</v>
      </c>
      <c r="ER74" s="1">
        <v>46155</v>
      </c>
      <c r="ES74" t="s">
        <v>829</v>
      </c>
      <c r="EW74" s="1">
        <v>46156</v>
      </c>
    </row>
    <row r="75" spans="1:153" x14ac:dyDescent="0.35">
      <c r="A75" t="str">
        <f>HYPERLINK("https://7lm.cvcrm.com.br/gestor/comercial/reservas/7086/administrar","7086")</f>
        <v>7086</v>
      </c>
      <c r="B75" t="s">
        <v>156</v>
      </c>
      <c r="C75" s="1">
        <v>46154</v>
      </c>
      <c r="D75" s="2">
        <v>0.80892361111111111</v>
      </c>
      <c r="E75" t="s">
        <v>294</v>
      </c>
      <c r="F75" t="s">
        <v>295</v>
      </c>
      <c r="G75" t="s">
        <v>203</v>
      </c>
      <c r="H75" t="s">
        <v>404</v>
      </c>
      <c r="I75" t="s">
        <v>593</v>
      </c>
      <c r="J75">
        <v>1</v>
      </c>
      <c r="K75">
        <v>8470</v>
      </c>
      <c r="L75">
        <v>30031</v>
      </c>
      <c r="M75" t="s">
        <v>830</v>
      </c>
      <c r="N75" s="1">
        <v>46157</v>
      </c>
      <c r="O75" s="2">
        <v>0.56756944444444446</v>
      </c>
      <c r="Q75">
        <v>9971</v>
      </c>
      <c r="R75" t="str">
        <f>HYPERLINK("https://7lm.cvcrm.com.br/gestor/relatorios/associado/html?q[1|r.idreserva]=7086","GEZANA SAMANTA DA COSTA SOUZA")</f>
        <v>GEZANA SAMANTA DA COSTA SOUZA</v>
      </c>
      <c r="S75">
        <v>7776283177</v>
      </c>
      <c r="T75">
        <v>5561996331471</v>
      </c>
      <c r="U75">
        <v>5561998822842</v>
      </c>
      <c r="V75" t="s">
        <v>831</v>
      </c>
      <c r="W75" t="s">
        <v>187</v>
      </c>
      <c r="X75" t="s">
        <v>366</v>
      </c>
      <c r="Y75" t="s">
        <v>189</v>
      </c>
      <c r="Z75" t="s">
        <v>190</v>
      </c>
      <c r="AA75" t="s">
        <v>707</v>
      </c>
      <c r="AB75" t="s">
        <v>832</v>
      </c>
      <c r="AC75" t="s">
        <v>833</v>
      </c>
      <c r="AD75" t="s">
        <v>834</v>
      </c>
      <c r="AF75" t="s">
        <v>250</v>
      </c>
      <c r="AG75" t="s">
        <v>251</v>
      </c>
      <c r="AH75" s="3">
        <v>246000.36</v>
      </c>
      <c r="AI75" s="3">
        <v>246000.36</v>
      </c>
      <c r="AJ75" s="1">
        <v>46170</v>
      </c>
      <c r="AN75" t="s">
        <v>172</v>
      </c>
      <c r="AR75" t="s">
        <v>835</v>
      </c>
      <c r="AT75" t="s">
        <v>261</v>
      </c>
      <c r="AU75" t="s">
        <v>175</v>
      </c>
      <c r="AW75">
        <v>0</v>
      </c>
      <c r="AX75" s="1">
        <v>46161</v>
      </c>
      <c r="AY75" s="2">
        <v>0.6532175925925926</v>
      </c>
      <c r="AZ75">
        <v>167703</v>
      </c>
      <c r="BA75" s="1">
        <v>45889</v>
      </c>
      <c r="BB75" s="1">
        <v>46154</v>
      </c>
      <c r="BC75" t="s">
        <v>213</v>
      </c>
      <c r="BD75" s="1">
        <v>46154</v>
      </c>
      <c r="BE75" t="s">
        <v>786</v>
      </c>
      <c r="BL75" s="4">
        <v>0</v>
      </c>
      <c r="BM75" s="1">
        <v>46604</v>
      </c>
      <c r="BN75" s="1">
        <v>46161</v>
      </c>
      <c r="BO75">
        <v>0</v>
      </c>
      <c r="BP75">
        <v>32346</v>
      </c>
      <c r="BQ75" t="s">
        <v>156</v>
      </c>
      <c r="BR75">
        <v>0</v>
      </c>
      <c r="BS75">
        <v>0</v>
      </c>
      <c r="BT75">
        <v>0</v>
      </c>
      <c r="BU75">
        <v>0</v>
      </c>
      <c r="BV75" s="3">
        <v>246000.36</v>
      </c>
      <c r="BX75">
        <v>0</v>
      </c>
      <c r="BZ75">
        <v>0</v>
      </c>
      <c r="CA75">
        <v>0</v>
      </c>
      <c r="CB75">
        <v>0</v>
      </c>
      <c r="CC75" s="3">
        <v>246000.36</v>
      </c>
      <c r="CD75" s="5">
        <v>0</v>
      </c>
      <c r="CF75" s="6">
        <v>46143</v>
      </c>
      <c r="CH75">
        <v>0</v>
      </c>
      <c r="CI75">
        <v>0</v>
      </c>
      <c r="CJ75">
        <v>0</v>
      </c>
      <c r="CK75">
        <v>0</v>
      </c>
      <c r="CL75">
        <v>0</v>
      </c>
      <c r="CM75">
        <v>0</v>
      </c>
      <c r="CN75">
        <v>0</v>
      </c>
      <c r="CO75">
        <v>0</v>
      </c>
      <c r="CP75">
        <v>0</v>
      </c>
      <c r="CQ75">
        <v>0</v>
      </c>
      <c r="CR75">
        <v>0</v>
      </c>
      <c r="CS75" t="s">
        <v>599</v>
      </c>
      <c r="CT75" t="s">
        <v>190</v>
      </c>
      <c r="CU75" t="s">
        <v>593</v>
      </c>
      <c r="CW75">
        <v>-53.214100000000002</v>
      </c>
      <c r="CZ75" s="1">
        <v>46154</v>
      </c>
      <c r="DA75" t="s">
        <v>172</v>
      </c>
      <c r="DB75" t="s">
        <v>172</v>
      </c>
      <c r="DC75" t="s">
        <v>172</v>
      </c>
      <c r="DD75" t="s">
        <v>172</v>
      </c>
      <c r="DG75" s="1">
        <v>46154</v>
      </c>
      <c r="DH75">
        <v>0</v>
      </c>
      <c r="DI75">
        <v>0</v>
      </c>
      <c r="DJ75" s="1">
        <v>46161</v>
      </c>
      <c r="DL75" t="s">
        <v>200</v>
      </c>
      <c r="DM75" t="s">
        <v>172</v>
      </c>
      <c r="DN75" t="s">
        <v>225</v>
      </c>
      <c r="DV75" s="3">
        <v>246000.36</v>
      </c>
      <c r="DW75">
        <v>0</v>
      </c>
      <c r="DX75" s="3">
        <v>246000.36</v>
      </c>
      <c r="DY75">
        <v>0</v>
      </c>
      <c r="EG75" s="1">
        <v>46157</v>
      </c>
      <c r="EN75" t="s">
        <v>156</v>
      </c>
      <c r="EP75" s="1">
        <v>46161</v>
      </c>
      <c r="ER75" s="1">
        <v>46157</v>
      </c>
      <c r="ES75" t="s">
        <v>836</v>
      </c>
      <c r="ET75" t="s">
        <v>837</v>
      </c>
      <c r="EU75" s="1">
        <v>46160</v>
      </c>
    </row>
    <row r="76" spans="1:153" ht="246.5" x14ac:dyDescent="0.35">
      <c r="A76" t="str">
        <f>HYPERLINK("https://7lm.cvcrm.com.br/gestor/comercial/reservas/7085/administrar","7085")</f>
        <v>7085</v>
      </c>
      <c r="B76" t="s">
        <v>156</v>
      </c>
      <c r="C76" s="1">
        <v>46154</v>
      </c>
      <c r="D76" s="2">
        <v>0.76822916666666663</v>
      </c>
      <c r="E76" t="s">
        <v>294</v>
      </c>
      <c r="F76" t="s">
        <v>182</v>
      </c>
      <c r="G76" t="s">
        <v>159</v>
      </c>
      <c r="H76" t="s">
        <v>183</v>
      </c>
      <c r="I76" t="s">
        <v>838</v>
      </c>
      <c r="J76">
        <v>1</v>
      </c>
      <c r="K76">
        <v>8456</v>
      </c>
      <c r="L76">
        <v>30151</v>
      </c>
      <c r="M76" t="s">
        <v>839</v>
      </c>
      <c r="N76" s="1">
        <v>46161</v>
      </c>
      <c r="O76" s="2">
        <v>0.50225694444444446</v>
      </c>
      <c r="Q76">
        <v>9961</v>
      </c>
      <c r="R76" t="str">
        <f>HYPERLINK("https://7lm.cvcrm.com.br/gestor/relatorios/associado/html?q[1|r.idreserva]=7085","IANCA GOMES DE MOURA")</f>
        <v>IANCA GOMES DE MOURA</v>
      </c>
      <c r="S76">
        <v>5860853190</v>
      </c>
      <c r="T76">
        <v>5561998896783</v>
      </c>
      <c r="U76">
        <v>556199524641</v>
      </c>
      <c r="V76" t="s">
        <v>840</v>
      </c>
      <c r="W76" t="s">
        <v>187</v>
      </c>
      <c r="X76" t="s">
        <v>841</v>
      </c>
      <c r="Y76" t="s">
        <v>189</v>
      </c>
      <c r="Z76" t="s">
        <v>842</v>
      </c>
      <c r="AA76" t="s">
        <v>843</v>
      </c>
      <c r="AB76" t="s">
        <v>844</v>
      </c>
      <c r="AC76" t="s">
        <v>845</v>
      </c>
      <c r="AD76" t="s">
        <v>845</v>
      </c>
      <c r="AF76" t="s">
        <v>352</v>
      </c>
      <c r="AG76" t="s">
        <v>251</v>
      </c>
      <c r="AH76" s="3">
        <v>240656.52</v>
      </c>
      <c r="AI76" s="3">
        <v>240656.52</v>
      </c>
      <c r="AJ76" s="1">
        <v>46208</v>
      </c>
      <c r="AN76" t="s">
        <v>172</v>
      </c>
      <c r="AR76" s="7" t="s">
        <v>353</v>
      </c>
      <c r="AT76" t="s">
        <v>261</v>
      </c>
      <c r="AU76" t="s">
        <v>292</v>
      </c>
      <c r="AW76">
        <v>0</v>
      </c>
      <c r="AX76" s="1">
        <v>46157</v>
      </c>
      <c r="AY76" s="2">
        <v>0.71914351851851854</v>
      </c>
      <c r="AZ76" t="s">
        <v>846</v>
      </c>
      <c r="BA76" t="s">
        <v>847</v>
      </c>
      <c r="BB76" t="s">
        <v>356</v>
      </c>
      <c r="BC76" t="s">
        <v>848</v>
      </c>
      <c r="BD76" t="s">
        <v>849</v>
      </c>
      <c r="BE76" t="s">
        <v>850</v>
      </c>
      <c r="BL76" s="4">
        <v>0</v>
      </c>
      <c r="BM76" s="1">
        <v>46899</v>
      </c>
      <c r="BN76" s="1">
        <v>46157</v>
      </c>
      <c r="BO76">
        <v>0</v>
      </c>
      <c r="BP76">
        <v>31964</v>
      </c>
      <c r="BQ76" t="s">
        <v>156</v>
      </c>
      <c r="BR76" s="3">
        <v>134262.92000000001</v>
      </c>
      <c r="BS76" s="3">
        <v>22389</v>
      </c>
      <c r="BT76">
        <v>0</v>
      </c>
      <c r="BU76" s="3">
        <v>156651.92000000001</v>
      </c>
      <c r="BV76" s="3">
        <v>240656.52</v>
      </c>
      <c r="BX76">
        <v>0</v>
      </c>
      <c r="BZ76">
        <v>0</v>
      </c>
      <c r="CA76">
        <v>0</v>
      </c>
      <c r="CB76">
        <v>0</v>
      </c>
      <c r="CC76" s="3">
        <v>240656.52</v>
      </c>
      <c r="CD76" s="5">
        <v>0</v>
      </c>
      <c r="CF76" s="6">
        <v>46143</v>
      </c>
      <c r="CH76">
        <v>0</v>
      </c>
      <c r="CI76">
        <v>0</v>
      </c>
      <c r="CJ76">
        <v>0</v>
      </c>
      <c r="CK76">
        <v>0</v>
      </c>
      <c r="CL76">
        <v>0</v>
      </c>
      <c r="CM76">
        <v>0</v>
      </c>
      <c r="CN76">
        <v>0</v>
      </c>
      <c r="CO76">
        <v>0</v>
      </c>
      <c r="CP76">
        <v>0</v>
      </c>
      <c r="CQ76">
        <v>0</v>
      </c>
      <c r="CR76">
        <v>0</v>
      </c>
      <c r="CS76" t="s">
        <v>360</v>
      </c>
      <c r="CT76" t="s">
        <v>190</v>
      </c>
      <c r="CU76" t="s">
        <v>838</v>
      </c>
      <c r="CW76">
        <v>-50.991100000000003</v>
      </c>
      <c r="CZ76" s="1">
        <v>46154</v>
      </c>
      <c r="DA76" t="s">
        <v>172</v>
      </c>
      <c r="DB76" t="s">
        <v>172</v>
      </c>
      <c r="DC76" t="s">
        <v>172</v>
      </c>
      <c r="DD76" t="s">
        <v>172</v>
      </c>
      <c r="DG76" s="1">
        <v>46154</v>
      </c>
      <c r="DH76">
        <v>0</v>
      </c>
      <c r="DI76">
        <v>0</v>
      </c>
      <c r="DJ76" s="1">
        <v>46157</v>
      </c>
      <c r="DK76" t="s">
        <v>179</v>
      </c>
      <c r="DL76" t="s">
        <v>200</v>
      </c>
      <c r="DM76" t="s">
        <v>172</v>
      </c>
      <c r="DN76" t="s">
        <v>201</v>
      </c>
      <c r="DV76" s="3">
        <v>240656.52</v>
      </c>
      <c r="DW76">
        <v>0</v>
      </c>
      <c r="DX76" s="3">
        <v>240656.52</v>
      </c>
      <c r="DY76">
        <v>0</v>
      </c>
      <c r="EG76" s="1">
        <v>46157</v>
      </c>
      <c r="EN76" t="s">
        <v>156</v>
      </c>
      <c r="ER76" s="1">
        <v>46155</v>
      </c>
      <c r="ES76" t="s">
        <v>851</v>
      </c>
      <c r="EW76" s="1">
        <v>46154</v>
      </c>
    </row>
    <row r="77" spans="1:153" ht="246.5" x14ac:dyDescent="0.35">
      <c r="A77" t="str">
        <f>HYPERLINK("https://7lm.cvcrm.com.br/gestor/comercial/reservas/7084/administrar","7084")</f>
        <v>7084</v>
      </c>
      <c r="B77" t="s">
        <v>156</v>
      </c>
      <c r="C77" s="1">
        <v>46154</v>
      </c>
      <c r="D77" s="2">
        <v>0.76127314814814817</v>
      </c>
      <c r="E77" t="s">
        <v>294</v>
      </c>
      <c r="F77" t="s">
        <v>182</v>
      </c>
      <c r="G77" t="s">
        <v>159</v>
      </c>
      <c r="H77" t="s">
        <v>418</v>
      </c>
      <c r="I77" t="s">
        <v>852</v>
      </c>
      <c r="J77">
        <v>1</v>
      </c>
      <c r="K77">
        <v>8553</v>
      </c>
      <c r="L77">
        <v>30151</v>
      </c>
      <c r="M77" t="s">
        <v>853</v>
      </c>
      <c r="N77" s="1">
        <v>46169</v>
      </c>
      <c r="O77" s="2">
        <v>0.53402777777777777</v>
      </c>
      <c r="Q77">
        <v>10052</v>
      </c>
      <c r="R77" t="str">
        <f>HYPERLINK("https://7lm.cvcrm.com.br/gestor/relatorios/associado/html?q[1|r.idreserva]=7084","LAYANNE NICOLLY SOUZA DE OLIVEIRA")</f>
        <v>LAYANNE NICOLLY SOUZA DE OLIVEIRA</v>
      </c>
      <c r="S77">
        <v>7381477378</v>
      </c>
      <c r="T77">
        <v>5561993596495</v>
      </c>
      <c r="U77">
        <v>5598981549058</v>
      </c>
      <c r="V77" t="s">
        <v>854</v>
      </c>
      <c r="W77" t="s">
        <v>187</v>
      </c>
      <c r="X77" t="s">
        <v>855</v>
      </c>
      <c r="Y77" t="s">
        <v>189</v>
      </c>
      <c r="Z77" t="s">
        <v>190</v>
      </c>
      <c r="AA77" t="s">
        <v>270</v>
      </c>
      <c r="AB77" t="s">
        <v>856</v>
      </c>
      <c r="AC77" t="s">
        <v>857</v>
      </c>
      <c r="AD77" t="s">
        <v>857</v>
      </c>
      <c r="AF77" t="s">
        <v>250</v>
      </c>
      <c r="AG77" t="s">
        <v>251</v>
      </c>
      <c r="AH77" s="3">
        <v>240656.2</v>
      </c>
      <c r="AI77" s="3">
        <v>240656.2</v>
      </c>
      <c r="AJ77" s="1">
        <v>46154</v>
      </c>
      <c r="AN77" t="s">
        <v>172</v>
      </c>
      <c r="AR77" s="7" t="s">
        <v>858</v>
      </c>
      <c r="AT77" t="s">
        <v>173</v>
      </c>
      <c r="AU77" t="s">
        <v>175</v>
      </c>
      <c r="AW77">
        <v>0</v>
      </c>
      <c r="AX77" s="1">
        <v>46170</v>
      </c>
      <c r="AY77" s="2">
        <v>0.5695486111111111</v>
      </c>
      <c r="AZ77">
        <v>153069</v>
      </c>
      <c r="BA77" s="1">
        <v>45735</v>
      </c>
      <c r="BC77" t="s">
        <v>859</v>
      </c>
      <c r="BD77" s="1">
        <v>45735</v>
      </c>
      <c r="BE77" t="s">
        <v>317</v>
      </c>
      <c r="BL77" s="4">
        <v>0</v>
      </c>
      <c r="BM77" s="1">
        <v>46899</v>
      </c>
      <c r="BN77" s="1">
        <v>46170</v>
      </c>
      <c r="BO77">
        <v>0</v>
      </c>
      <c r="BP77">
        <v>32340</v>
      </c>
      <c r="BQ77" t="s">
        <v>156</v>
      </c>
      <c r="BR77">
        <v>0</v>
      </c>
      <c r="BS77">
        <v>0</v>
      </c>
      <c r="BT77">
        <v>0</v>
      </c>
      <c r="BU77">
        <v>0</v>
      </c>
      <c r="BV77" s="3">
        <v>240656.2</v>
      </c>
      <c r="BX77">
        <v>0</v>
      </c>
      <c r="BZ77">
        <v>0</v>
      </c>
      <c r="CA77">
        <v>0</v>
      </c>
      <c r="CB77">
        <v>0</v>
      </c>
      <c r="CC77" s="3">
        <v>240656.2</v>
      </c>
      <c r="CD77" s="5">
        <v>0</v>
      </c>
      <c r="CF77" s="6">
        <v>46143</v>
      </c>
      <c r="CH77">
        <v>0</v>
      </c>
      <c r="CI77">
        <v>0</v>
      </c>
      <c r="CJ77">
        <v>0</v>
      </c>
      <c r="CK77">
        <v>0</v>
      </c>
      <c r="CL77">
        <v>0</v>
      </c>
      <c r="CM77">
        <v>0</v>
      </c>
      <c r="CN77">
        <v>0</v>
      </c>
      <c r="CO77">
        <v>0</v>
      </c>
      <c r="CP77">
        <v>0</v>
      </c>
      <c r="CQ77">
        <v>0</v>
      </c>
      <c r="CR77">
        <v>0</v>
      </c>
      <c r="CS77" t="s">
        <v>360</v>
      </c>
      <c r="CT77" t="s">
        <v>190</v>
      </c>
      <c r="CU77" t="s">
        <v>852</v>
      </c>
      <c r="CW77">
        <v>-51.488199999999999</v>
      </c>
      <c r="CZ77" s="1">
        <v>46154</v>
      </c>
      <c r="DA77" t="s">
        <v>172</v>
      </c>
      <c r="DB77" t="s">
        <v>172</v>
      </c>
      <c r="DC77" t="s">
        <v>172</v>
      </c>
      <c r="DD77" t="s">
        <v>172</v>
      </c>
      <c r="DG77" s="1">
        <v>46154</v>
      </c>
      <c r="DH77">
        <v>0</v>
      </c>
      <c r="DI77">
        <v>0</v>
      </c>
      <c r="DJ77" s="1">
        <v>46170</v>
      </c>
      <c r="DK77" t="s">
        <v>179</v>
      </c>
      <c r="DL77" t="s">
        <v>200</v>
      </c>
      <c r="DM77" t="s">
        <v>172</v>
      </c>
      <c r="DN77" t="s">
        <v>201</v>
      </c>
      <c r="DV77" s="3">
        <v>240656.2</v>
      </c>
      <c r="DW77">
        <v>0</v>
      </c>
      <c r="DX77" s="3">
        <v>240656.2</v>
      </c>
      <c r="DY77">
        <v>0</v>
      </c>
      <c r="EF77" s="1">
        <v>46169</v>
      </c>
      <c r="EG77" s="1">
        <v>46167</v>
      </c>
      <c r="EK77" s="1">
        <v>46169</v>
      </c>
      <c r="EL77" s="1">
        <v>46169</v>
      </c>
      <c r="EM77" s="1">
        <v>46169</v>
      </c>
      <c r="EN77" t="s">
        <v>156</v>
      </c>
      <c r="EP77" s="1">
        <v>46169</v>
      </c>
      <c r="EQ77" s="1">
        <v>46169</v>
      </c>
      <c r="ER77" s="1">
        <v>46167</v>
      </c>
      <c r="ES77" t="s">
        <v>860</v>
      </c>
      <c r="ET77" t="s">
        <v>861</v>
      </c>
      <c r="EU77" s="1">
        <v>46163</v>
      </c>
      <c r="EV77" s="1">
        <v>46169</v>
      </c>
      <c r="EW77" s="1">
        <v>46154</v>
      </c>
    </row>
    <row r="78" spans="1:153" ht="246.5" x14ac:dyDescent="0.35">
      <c r="A78" t="str">
        <f>HYPERLINK("https://7lm.cvcrm.com.br/gestor/comercial/reservas/7083/administrar","7083")</f>
        <v>7083</v>
      </c>
      <c r="B78" t="s">
        <v>156</v>
      </c>
      <c r="C78" s="1">
        <v>46154</v>
      </c>
      <c r="D78" s="2">
        <v>0.69605324074074071</v>
      </c>
      <c r="E78" t="s">
        <v>294</v>
      </c>
      <c r="F78" t="s">
        <v>182</v>
      </c>
      <c r="G78" t="s">
        <v>159</v>
      </c>
      <c r="H78" t="s">
        <v>704</v>
      </c>
      <c r="I78" t="s">
        <v>862</v>
      </c>
      <c r="J78">
        <v>1</v>
      </c>
      <c r="K78">
        <v>8453</v>
      </c>
      <c r="L78">
        <v>30151</v>
      </c>
      <c r="M78" t="s">
        <v>863</v>
      </c>
      <c r="N78" s="1">
        <v>46162</v>
      </c>
      <c r="O78" s="2">
        <v>0.40814814814814815</v>
      </c>
      <c r="Q78">
        <v>9960</v>
      </c>
      <c r="R78" t="str">
        <f>HYPERLINK("https://7lm.cvcrm.com.br/gestor/relatorios/associado/html?q[1|r.idreserva]=7083","RODRIGO DIAS DE SOUSA")</f>
        <v>RODRIGO DIAS DE SOUSA</v>
      </c>
      <c r="S78">
        <v>6032306100</v>
      </c>
      <c r="T78">
        <v>556198690185</v>
      </c>
      <c r="U78">
        <v>556198690185</v>
      </c>
      <c r="V78" t="s">
        <v>864</v>
      </c>
      <c r="W78" t="s">
        <v>163</v>
      </c>
      <c r="X78" t="s">
        <v>376</v>
      </c>
      <c r="Y78" t="s">
        <v>189</v>
      </c>
      <c r="Z78" t="s">
        <v>190</v>
      </c>
      <c r="AA78" t="s">
        <v>865</v>
      </c>
      <c r="AB78" t="s">
        <v>866</v>
      </c>
      <c r="AC78" t="s">
        <v>388</v>
      </c>
      <c r="AF78" t="s">
        <v>389</v>
      </c>
      <c r="AG78" t="s">
        <v>251</v>
      </c>
      <c r="AH78" s="3">
        <v>239701.39</v>
      </c>
      <c r="AI78" s="3">
        <v>239701.39</v>
      </c>
      <c r="AJ78" s="1">
        <v>46228</v>
      </c>
      <c r="AN78" t="s">
        <v>172</v>
      </c>
      <c r="AR78" s="7" t="s">
        <v>353</v>
      </c>
      <c r="AT78" t="s">
        <v>400</v>
      </c>
      <c r="AU78" t="s">
        <v>262</v>
      </c>
      <c r="AW78">
        <v>0</v>
      </c>
      <c r="AX78" s="1">
        <v>46157</v>
      </c>
      <c r="AY78" s="2">
        <v>0.68650462962962966</v>
      </c>
      <c r="AZ78">
        <v>93957</v>
      </c>
      <c r="BA78" s="1">
        <v>45210</v>
      </c>
      <c r="BC78" t="s">
        <v>275</v>
      </c>
      <c r="BD78" s="1">
        <v>46146</v>
      </c>
      <c r="BE78" t="s">
        <v>176</v>
      </c>
      <c r="BL78" s="4">
        <v>0</v>
      </c>
      <c r="BM78" s="1">
        <v>46899</v>
      </c>
      <c r="BN78" s="1">
        <v>46157</v>
      </c>
      <c r="BO78">
        <v>0</v>
      </c>
      <c r="BP78">
        <v>31913</v>
      </c>
      <c r="BQ78" t="s">
        <v>156</v>
      </c>
      <c r="BR78" s="3">
        <v>136573.73000000001</v>
      </c>
      <c r="BS78" s="3">
        <v>23089</v>
      </c>
      <c r="BT78">
        <v>0</v>
      </c>
      <c r="BU78" s="3">
        <v>159662.73000000001</v>
      </c>
      <c r="BV78" s="3">
        <v>239701.39</v>
      </c>
      <c r="BX78">
        <v>0</v>
      </c>
      <c r="BZ78">
        <v>0</v>
      </c>
      <c r="CA78">
        <v>0</v>
      </c>
      <c r="CB78">
        <v>0</v>
      </c>
      <c r="CC78" s="3">
        <v>239701.39</v>
      </c>
      <c r="CD78" s="5">
        <v>0</v>
      </c>
      <c r="CF78" s="6">
        <v>46143</v>
      </c>
      <c r="CH78">
        <v>0</v>
      </c>
      <c r="CI78">
        <v>0</v>
      </c>
      <c r="CJ78">
        <v>0</v>
      </c>
      <c r="CK78">
        <v>0</v>
      </c>
      <c r="CL78">
        <v>0</v>
      </c>
      <c r="CM78">
        <v>0</v>
      </c>
      <c r="CN78">
        <v>0</v>
      </c>
      <c r="CO78">
        <v>0</v>
      </c>
      <c r="CP78">
        <v>0</v>
      </c>
      <c r="CQ78">
        <v>0</v>
      </c>
      <c r="CR78">
        <v>0</v>
      </c>
      <c r="CS78" t="s">
        <v>360</v>
      </c>
      <c r="CT78" t="s">
        <v>190</v>
      </c>
      <c r="CU78" t="s">
        <v>862</v>
      </c>
      <c r="CW78">
        <v>-52.151899999999998</v>
      </c>
      <c r="CZ78" s="1">
        <v>46154</v>
      </c>
      <c r="DA78" t="s">
        <v>172</v>
      </c>
      <c r="DB78" t="s">
        <v>172</v>
      </c>
      <c r="DC78" t="s">
        <v>172</v>
      </c>
      <c r="DD78" t="s">
        <v>172</v>
      </c>
      <c r="DG78" s="1">
        <v>46154</v>
      </c>
      <c r="DH78">
        <v>0</v>
      </c>
      <c r="DI78">
        <v>0</v>
      </c>
      <c r="DJ78" s="1">
        <v>46157</v>
      </c>
      <c r="DK78" t="s">
        <v>179</v>
      </c>
      <c r="DL78" t="s">
        <v>200</v>
      </c>
      <c r="DM78" t="s">
        <v>172</v>
      </c>
      <c r="DN78" t="s">
        <v>201</v>
      </c>
      <c r="DV78" s="3">
        <v>239701.39</v>
      </c>
      <c r="DW78">
        <v>0</v>
      </c>
      <c r="DX78" s="3">
        <v>239701.39</v>
      </c>
      <c r="DY78">
        <v>0</v>
      </c>
      <c r="EF78" s="1">
        <v>46162</v>
      </c>
      <c r="EG78" s="1">
        <v>46157</v>
      </c>
      <c r="EK78" s="1">
        <v>46162</v>
      </c>
      <c r="EN78" t="s">
        <v>156</v>
      </c>
      <c r="EP78" s="1">
        <v>46157</v>
      </c>
      <c r="ER78" s="1">
        <v>46156</v>
      </c>
      <c r="ES78" t="s">
        <v>867</v>
      </c>
      <c r="ET78" t="s">
        <v>868</v>
      </c>
      <c r="EU78" s="1">
        <v>46156</v>
      </c>
      <c r="EW78" s="1">
        <v>46154</v>
      </c>
    </row>
    <row r="79" spans="1:153" x14ac:dyDescent="0.35">
      <c r="A79" t="str">
        <f>HYPERLINK("https://7lm.cvcrm.com.br/gestor/comercial/reservas/7082/administrar","7082")</f>
        <v>7082</v>
      </c>
      <c r="B79" t="s">
        <v>156</v>
      </c>
      <c r="C79" s="1">
        <v>46154</v>
      </c>
      <c r="D79" s="2">
        <v>0.68800925925925926</v>
      </c>
      <c r="E79" t="s">
        <v>157</v>
      </c>
      <c r="F79" t="s">
        <v>202</v>
      </c>
      <c r="G79" t="s">
        <v>203</v>
      </c>
      <c r="H79" t="s">
        <v>513</v>
      </c>
      <c r="I79" t="s">
        <v>869</v>
      </c>
      <c r="J79">
        <v>1</v>
      </c>
      <c r="L79">
        <v>20031</v>
      </c>
      <c r="M79" t="s">
        <v>870</v>
      </c>
      <c r="N79" s="1">
        <v>46165</v>
      </c>
      <c r="O79" s="2">
        <v>0.48856481481481484</v>
      </c>
      <c r="R79" t="str">
        <f>HYPERLINK("https://7lm.cvcrm.com.br/gestor/relatorios/associado/html?q[1|r.idreserva]=7082","BRENDA COSTA DE SOUZA")</f>
        <v>BRENDA COSTA DE SOUZA</v>
      </c>
      <c r="S79">
        <v>70808659138</v>
      </c>
      <c r="T79">
        <v>5561991627000</v>
      </c>
      <c r="U79">
        <v>5561996907847</v>
      </c>
      <c r="V79" t="s">
        <v>871</v>
      </c>
      <c r="W79" t="s">
        <v>187</v>
      </c>
      <c r="X79" t="s">
        <v>299</v>
      </c>
      <c r="Y79" t="s">
        <v>189</v>
      </c>
      <c r="Z79" t="s">
        <v>214</v>
      </c>
      <c r="AA79" t="s">
        <v>872</v>
      </c>
      <c r="AB79" t="s">
        <v>873</v>
      </c>
      <c r="AC79" t="s">
        <v>874</v>
      </c>
      <c r="AF79" t="s">
        <v>413</v>
      </c>
      <c r="AG79" t="s">
        <v>195</v>
      </c>
      <c r="AH79" s="3">
        <v>217897.17</v>
      </c>
      <c r="AI79" s="3">
        <v>217897.17</v>
      </c>
      <c r="AJ79" s="1">
        <v>46228</v>
      </c>
      <c r="AN79" t="s">
        <v>172</v>
      </c>
      <c r="AT79" t="s">
        <v>196</v>
      </c>
      <c r="AV79" t="s">
        <v>875</v>
      </c>
      <c r="AW79">
        <v>0</v>
      </c>
      <c r="AX79" s="1">
        <v>46154</v>
      </c>
      <c r="AY79" s="2">
        <v>0.68800925925925926</v>
      </c>
      <c r="AZ79">
        <v>187797</v>
      </c>
      <c r="BA79" s="1">
        <v>46058</v>
      </c>
      <c r="BC79" t="s">
        <v>0</v>
      </c>
      <c r="BD79" s="1">
        <v>46154</v>
      </c>
      <c r="BE79" t="s">
        <v>317</v>
      </c>
      <c r="BL79" s="4">
        <v>0</v>
      </c>
      <c r="BM79" s="1">
        <v>46808</v>
      </c>
      <c r="BO79">
        <v>0</v>
      </c>
      <c r="BP79">
        <v>32219</v>
      </c>
      <c r="BQ79" t="s">
        <v>156</v>
      </c>
      <c r="BR79" s="3">
        <v>108142.85</v>
      </c>
      <c r="BS79" s="3">
        <v>55000</v>
      </c>
      <c r="BT79">
        <v>0</v>
      </c>
      <c r="BU79" s="3">
        <v>163142.85</v>
      </c>
      <c r="BV79" s="3">
        <v>217897.17</v>
      </c>
      <c r="BX79">
        <v>0</v>
      </c>
      <c r="BZ79">
        <v>0</v>
      </c>
      <c r="CA79">
        <v>0</v>
      </c>
      <c r="CB79">
        <v>0</v>
      </c>
      <c r="CC79" s="3">
        <v>217897.17</v>
      </c>
      <c r="CD79" s="5">
        <v>0</v>
      </c>
      <c r="CF79" s="6">
        <v>46143</v>
      </c>
      <c r="CH79">
        <v>0</v>
      </c>
      <c r="CI79">
        <v>0</v>
      </c>
      <c r="CJ79">
        <v>0</v>
      </c>
      <c r="CK79">
        <v>0</v>
      </c>
      <c r="CL79">
        <v>0</v>
      </c>
      <c r="CM79">
        <v>0</v>
      </c>
      <c r="CN79">
        <v>0</v>
      </c>
      <c r="CO79">
        <v>0</v>
      </c>
      <c r="CP79">
        <v>0</v>
      </c>
      <c r="CQ79">
        <v>0</v>
      </c>
      <c r="CR79">
        <v>0</v>
      </c>
      <c r="CS79" t="s">
        <v>415</v>
      </c>
      <c r="CT79" t="s">
        <v>214</v>
      </c>
      <c r="CU79" t="s">
        <v>869</v>
      </c>
      <c r="CW79">
        <v>-55.293999999999997</v>
      </c>
      <c r="CZ79" s="1">
        <v>46154</v>
      </c>
      <c r="DA79" t="s">
        <v>172</v>
      </c>
      <c r="DB79" t="s">
        <v>172</v>
      </c>
      <c r="DC79" t="s">
        <v>172</v>
      </c>
      <c r="DD79" t="s">
        <v>172</v>
      </c>
      <c r="DG79" s="1">
        <v>46154</v>
      </c>
      <c r="DH79">
        <v>0</v>
      </c>
      <c r="DI79">
        <v>0</v>
      </c>
      <c r="DL79" t="s">
        <v>215</v>
      </c>
      <c r="DM79" t="s">
        <v>172</v>
      </c>
      <c r="DN79" t="s">
        <v>225</v>
      </c>
      <c r="DV79" s="3">
        <v>217897.17</v>
      </c>
      <c r="DW79">
        <v>0</v>
      </c>
      <c r="DX79" s="3">
        <v>217897.17</v>
      </c>
      <c r="DY79">
        <v>0</v>
      </c>
      <c r="EM79" s="1">
        <v>46167</v>
      </c>
      <c r="EN79" t="s">
        <v>172</v>
      </c>
      <c r="EP79" s="1">
        <v>46167</v>
      </c>
      <c r="ET79" t="s">
        <v>417</v>
      </c>
      <c r="EU79" s="1">
        <v>46167</v>
      </c>
      <c r="EW79" s="1">
        <v>46154</v>
      </c>
    </row>
    <row r="80" spans="1:153" ht="319" x14ac:dyDescent="0.35">
      <c r="A80" t="str">
        <f>HYPERLINK("https://7lm.cvcrm.com.br/gestor/comercial/reservas/7081/administrar","7081")</f>
        <v>7081</v>
      </c>
      <c r="B80" t="s">
        <v>156</v>
      </c>
      <c r="C80" s="1">
        <v>46154</v>
      </c>
      <c r="D80" s="2">
        <v>0.68180555555555555</v>
      </c>
      <c r="E80" t="s">
        <v>294</v>
      </c>
      <c r="F80" t="s">
        <v>295</v>
      </c>
      <c r="G80" t="s">
        <v>203</v>
      </c>
      <c r="H80" t="s">
        <v>319</v>
      </c>
      <c r="I80" t="s">
        <v>459</v>
      </c>
      <c r="J80">
        <v>1</v>
      </c>
      <c r="K80">
        <v>8555</v>
      </c>
      <c r="L80">
        <v>30031</v>
      </c>
      <c r="M80" t="s">
        <v>876</v>
      </c>
      <c r="N80" s="1">
        <v>46169</v>
      </c>
      <c r="O80" s="2">
        <v>0.75809027777777782</v>
      </c>
      <c r="Q80">
        <v>10054</v>
      </c>
      <c r="R80" t="str">
        <f>HYPERLINK("https://7lm.cvcrm.com.br/gestor/relatorios/associado/html?q[1|r.idreserva]=7081","RAYANE PEREIRA CARDOSO")</f>
        <v>RAYANE PEREIRA CARDOSO</v>
      </c>
      <c r="S80">
        <v>7557565177</v>
      </c>
      <c r="T80">
        <v>5561983181001</v>
      </c>
      <c r="U80">
        <v>5561998495719</v>
      </c>
      <c r="V80" t="s">
        <v>877</v>
      </c>
      <c r="W80" t="s">
        <v>187</v>
      </c>
      <c r="X80" t="s">
        <v>878</v>
      </c>
      <c r="Y80" t="s">
        <v>189</v>
      </c>
      <c r="Z80" t="s">
        <v>190</v>
      </c>
      <c r="AA80" t="s">
        <v>879</v>
      </c>
      <c r="AB80" t="s">
        <v>880</v>
      </c>
      <c r="AC80" t="s">
        <v>881</v>
      </c>
      <c r="AD80" t="s">
        <v>881</v>
      </c>
      <c r="AF80" t="s">
        <v>303</v>
      </c>
      <c r="AG80" t="s">
        <v>251</v>
      </c>
      <c r="AH80" s="3">
        <v>247648</v>
      </c>
      <c r="AI80" s="3">
        <v>247648</v>
      </c>
      <c r="AJ80" s="1">
        <v>46173</v>
      </c>
      <c r="AN80" t="s">
        <v>172</v>
      </c>
      <c r="AR80" s="7" t="s">
        <v>882</v>
      </c>
      <c r="AT80" t="s">
        <v>196</v>
      </c>
      <c r="AU80" t="s">
        <v>292</v>
      </c>
      <c r="AW80">
        <v>0</v>
      </c>
      <c r="AX80" s="1">
        <v>46170</v>
      </c>
      <c r="AY80" s="2">
        <v>0.57427083333333329</v>
      </c>
      <c r="BL80" s="4">
        <v>0</v>
      </c>
      <c r="BM80" s="1">
        <v>46604</v>
      </c>
      <c r="BN80" s="1">
        <v>46170</v>
      </c>
      <c r="BO80">
        <v>0</v>
      </c>
      <c r="BP80">
        <v>32057</v>
      </c>
      <c r="BQ80" t="s">
        <v>156</v>
      </c>
      <c r="BR80">
        <v>0</v>
      </c>
      <c r="BS80">
        <v>0</v>
      </c>
      <c r="BT80">
        <v>0</v>
      </c>
      <c r="BU80">
        <v>0</v>
      </c>
      <c r="BV80" s="3">
        <v>247648</v>
      </c>
      <c r="BX80">
        <v>0</v>
      </c>
      <c r="BZ80">
        <v>0</v>
      </c>
      <c r="CA80">
        <v>0</v>
      </c>
      <c r="CB80">
        <v>0</v>
      </c>
      <c r="CC80" s="3">
        <v>247648</v>
      </c>
      <c r="CD80" s="5">
        <v>0</v>
      </c>
      <c r="CF80" s="6">
        <v>46143</v>
      </c>
      <c r="CH80">
        <v>0</v>
      </c>
      <c r="CI80">
        <v>0</v>
      </c>
      <c r="CJ80">
        <v>0</v>
      </c>
      <c r="CK80">
        <v>0</v>
      </c>
      <c r="CL80">
        <v>0</v>
      </c>
      <c r="CM80">
        <v>0</v>
      </c>
      <c r="CN80">
        <v>0</v>
      </c>
      <c r="CO80">
        <v>0</v>
      </c>
      <c r="CP80">
        <v>0</v>
      </c>
      <c r="CQ80">
        <v>0</v>
      </c>
      <c r="CR80">
        <v>0</v>
      </c>
      <c r="CS80" t="s">
        <v>305</v>
      </c>
      <c r="CT80" t="s">
        <v>190</v>
      </c>
      <c r="CU80" t="s">
        <v>459</v>
      </c>
      <c r="CW80">
        <v>-51.517600000000002</v>
      </c>
      <c r="CZ80" s="1">
        <v>46154</v>
      </c>
      <c r="DA80" t="s">
        <v>172</v>
      </c>
      <c r="DB80" t="s">
        <v>172</v>
      </c>
      <c r="DC80" t="s">
        <v>172</v>
      </c>
      <c r="DD80" t="s">
        <v>172</v>
      </c>
      <c r="DG80" s="1">
        <v>46154</v>
      </c>
      <c r="DH80">
        <v>0</v>
      </c>
      <c r="DI80">
        <v>0</v>
      </c>
      <c r="DJ80" s="1">
        <v>46170</v>
      </c>
      <c r="DL80" t="s">
        <v>200</v>
      </c>
      <c r="DM80" t="s">
        <v>172</v>
      </c>
      <c r="DN80" t="s">
        <v>201</v>
      </c>
      <c r="DV80" s="3">
        <v>247648</v>
      </c>
      <c r="DW80">
        <v>0</v>
      </c>
      <c r="DX80" s="3">
        <v>247648</v>
      </c>
      <c r="DY80">
        <v>0</v>
      </c>
      <c r="EG80" s="1">
        <v>46169</v>
      </c>
      <c r="EN80" t="s">
        <v>156</v>
      </c>
      <c r="EQ80" s="1">
        <v>46169</v>
      </c>
      <c r="EU80" s="1">
        <v>46157</v>
      </c>
      <c r="EV80" s="1">
        <v>46169</v>
      </c>
      <c r="EW80" s="1">
        <v>46157</v>
      </c>
    </row>
    <row r="81" spans="1:153" ht="246.5" x14ac:dyDescent="0.35">
      <c r="A81" t="str">
        <f>HYPERLINK("https://7lm.cvcrm.com.br/gestor/comercial/reservas/7080/administrar","7080")</f>
        <v>7080</v>
      </c>
      <c r="B81" t="s">
        <v>156</v>
      </c>
      <c r="C81" s="1">
        <v>46154</v>
      </c>
      <c r="D81" s="2">
        <v>0.51292824074074073</v>
      </c>
      <c r="E81" t="s">
        <v>294</v>
      </c>
      <c r="F81" t="s">
        <v>202</v>
      </c>
      <c r="G81" t="s">
        <v>203</v>
      </c>
      <c r="H81" t="s">
        <v>404</v>
      </c>
      <c r="I81" t="s">
        <v>593</v>
      </c>
      <c r="J81">
        <v>1</v>
      </c>
      <c r="K81">
        <v>8498</v>
      </c>
      <c r="L81">
        <v>20031</v>
      </c>
      <c r="M81" t="s">
        <v>883</v>
      </c>
      <c r="N81" s="1">
        <v>46169</v>
      </c>
      <c r="O81" s="2">
        <v>0.69798611111111108</v>
      </c>
      <c r="Q81">
        <v>10020</v>
      </c>
      <c r="R81" t="str">
        <f>HYPERLINK("https://7lm.cvcrm.com.br/gestor/relatorios/associado/html?q[1|r.idreserva]=7080","ANA LÚCIA RIBEIRO DA SILVA")</f>
        <v>ANA LÚCIA RIBEIRO DA SILVA</v>
      </c>
      <c r="S81">
        <v>4296727133</v>
      </c>
      <c r="T81">
        <v>556191561597</v>
      </c>
      <c r="U81">
        <v>5561992264462</v>
      </c>
      <c r="V81" t="s">
        <v>884</v>
      </c>
      <c r="W81" t="s">
        <v>187</v>
      </c>
      <c r="X81" t="s">
        <v>885</v>
      </c>
      <c r="Y81" t="s">
        <v>189</v>
      </c>
      <c r="Z81" t="s">
        <v>208</v>
      </c>
      <c r="AA81" t="s">
        <v>886</v>
      </c>
      <c r="AB81" t="s">
        <v>887</v>
      </c>
      <c r="AC81" t="s">
        <v>613</v>
      </c>
      <c r="AF81" t="s">
        <v>399</v>
      </c>
      <c r="AG81" t="s">
        <v>195</v>
      </c>
      <c r="AH81" s="3">
        <v>221999.54</v>
      </c>
      <c r="AI81" s="3">
        <v>221999.54</v>
      </c>
      <c r="AJ81" s="1">
        <v>46218</v>
      </c>
      <c r="AN81" t="s">
        <v>172</v>
      </c>
      <c r="AR81" s="7" t="s">
        <v>353</v>
      </c>
      <c r="AT81" t="s">
        <v>196</v>
      </c>
      <c r="AU81" t="s">
        <v>888</v>
      </c>
      <c r="AW81">
        <v>0</v>
      </c>
      <c r="AX81" s="1">
        <v>46164</v>
      </c>
      <c r="AY81" s="2">
        <v>0.58486111111111116</v>
      </c>
      <c r="AZ81">
        <v>183285</v>
      </c>
      <c r="BA81" s="1">
        <v>46032</v>
      </c>
      <c r="BC81" t="s">
        <v>0</v>
      </c>
      <c r="BD81" s="1">
        <v>46154</v>
      </c>
      <c r="BE81" t="s">
        <v>889</v>
      </c>
      <c r="BL81" s="4">
        <v>0</v>
      </c>
      <c r="BM81" s="1">
        <v>46808</v>
      </c>
      <c r="BN81" s="1">
        <v>46164</v>
      </c>
      <c r="BO81">
        <v>0</v>
      </c>
      <c r="BP81">
        <v>32162</v>
      </c>
      <c r="BQ81" t="s">
        <v>156</v>
      </c>
      <c r="BR81" s="3">
        <v>109284.84</v>
      </c>
      <c r="BS81" s="3">
        <v>53509</v>
      </c>
      <c r="BT81">
        <v>0</v>
      </c>
      <c r="BU81" s="3">
        <v>162793.84</v>
      </c>
      <c r="BV81" s="3">
        <v>221999.54</v>
      </c>
      <c r="BX81">
        <v>0</v>
      </c>
      <c r="BZ81">
        <v>0</v>
      </c>
      <c r="CA81">
        <v>0</v>
      </c>
      <c r="CB81">
        <v>0</v>
      </c>
      <c r="CC81" s="3">
        <v>221999.54</v>
      </c>
      <c r="CD81" s="5">
        <v>0</v>
      </c>
      <c r="CF81" s="6">
        <v>46143</v>
      </c>
      <c r="CH81">
        <v>0</v>
      </c>
      <c r="CI81">
        <v>0</v>
      </c>
      <c r="CJ81">
        <v>0</v>
      </c>
      <c r="CK81">
        <v>0</v>
      </c>
      <c r="CL81">
        <v>0</v>
      </c>
      <c r="CM81">
        <v>0</v>
      </c>
      <c r="CN81">
        <v>0</v>
      </c>
      <c r="CO81">
        <v>0</v>
      </c>
      <c r="CP81">
        <v>0</v>
      </c>
      <c r="CQ81">
        <v>0</v>
      </c>
      <c r="CR81">
        <v>0</v>
      </c>
      <c r="CS81" t="s">
        <v>360</v>
      </c>
      <c r="CT81" t="s">
        <v>214</v>
      </c>
      <c r="CU81" t="s">
        <v>593</v>
      </c>
      <c r="CW81">
        <v>-54.452300000000001</v>
      </c>
      <c r="CZ81" s="1">
        <v>46154</v>
      </c>
      <c r="DA81" t="s">
        <v>172</v>
      </c>
      <c r="DB81" t="s">
        <v>172</v>
      </c>
      <c r="DC81" t="s">
        <v>172</v>
      </c>
      <c r="DD81" t="s">
        <v>172</v>
      </c>
      <c r="DG81" s="1">
        <v>46154</v>
      </c>
      <c r="DH81">
        <v>0</v>
      </c>
      <c r="DI81">
        <v>0</v>
      </c>
      <c r="DJ81" s="1">
        <v>46164</v>
      </c>
      <c r="DL81" t="s">
        <v>215</v>
      </c>
      <c r="DM81" t="s">
        <v>172</v>
      </c>
      <c r="DN81" t="s">
        <v>525</v>
      </c>
      <c r="DV81" s="3">
        <v>221999.54</v>
      </c>
      <c r="DW81">
        <v>0</v>
      </c>
      <c r="DX81" s="3">
        <v>221999.54</v>
      </c>
      <c r="DY81">
        <v>0</v>
      </c>
      <c r="EF81" s="1">
        <v>46169</v>
      </c>
      <c r="EG81" s="1">
        <v>46163</v>
      </c>
      <c r="EK81" s="1">
        <v>46169</v>
      </c>
      <c r="EN81" t="s">
        <v>156</v>
      </c>
      <c r="EP81" s="1">
        <v>46163</v>
      </c>
      <c r="ER81" s="1">
        <v>46163</v>
      </c>
      <c r="ES81" t="s">
        <v>890</v>
      </c>
    </row>
    <row r="82" spans="1:153" ht="246.5" x14ac:dyDescent="0.35">
      <c r="A82" t="str">
        <f>HYPERLINK("https://7lm.cvcrm.com.br/gestor/comercial/reservas/7079/administrar","7079")</f>
        <v>7079</v>
      </c>
      <c r="B82" t="s">
        <v>156</v>
      </c>
      <c r="C82" s="1">
        <v>46153</v>
      </c>
      <c r="D82" s="2">
        <v>0.84326388888888892</v>
      </c>
      <c r="E82" t="s">
        <v>294</v>
      </c>
      <c r="F82" t="s">
        <v>182</v>
      </c>
      <c r="G82" t="s">
        <v>159</v>
      </c>
      <c r="H82" t="s">
        <v>538</v>
      </c>
      <c r="I82" t="s">
        <v>891</v>
      </c>
      <c r="J82">
        <v>1</v>
      </c>
      <c r="K82">
        <v>8477</v>
      </c>
      <c r="L82">
        <v>30151</v>
      </c>
      <c r="M82" t="s">
        <v>892</v>
      </c>
      <c r="N82" s="1">
        <v>46162</v>
      </c>
      <c r="O82" s="2">
        <v>0.57902777777777781</v>
      </c>
      <c r="R82" t="str">
        <f>HYPERLINK("https://7lm.cvcrm.com.br/gestor/relatorios/associado/html?q[1|r.idreserva]=7079","YASMIN BEATRIZ OLIVEIRA QUEIROZ")</f>
        <v>YASMIN BEATRIZ OLIVEIRA QUEIROZ</v>
      </c>
      <c r="S82">
        <v>10431430500</v>
      </c>
      <c r="T82">
        <v>556199346665</v>
      </c>
      <c r="U82">
        <v>555499710401</v>
      </c>
      <c r="V82" t="s">
        <v>893</v>
      </c>
      <c r="W82" t="s">
        <v>187</v>
      </c>
      <c r="X82" t="s">
        <v>894</v>
      </c>
      <c r="Y82" t="s">
        <v>189</v>
      </c>
      <c r="Z82" t="s">
        <v>190</v>
      </c>
      <c r="AA82" t="s">
        <v>270</v>
      </c>
      <c r="AB82" t="s">
        <v>895</v>
      </c>
      <c r="AC82" t="s">
        <v>896</v>
      </c>
      <c r="AF82" t="s">
        <v>273</v>
      </c>
      <c r="AG82" t="s">
        <v>195</v>
      </c>
      <c r="AH82" s="3">
        <v>240655.79</v>
      </c>
      <c r="AI82" s="3">
        <v>240655.79</v>
      </c>
      <c r="AJ82" s="1">
        <v>46228</v>
      </c>
      <c r="AN82" t="s">
        <v>172</v>
      </c>
      <c r="AR82" s="7" t="s">
        <v>353</v>
      </c>
      <c r="AT82" t="s">
        <v>196</v>
      </c>
      <c r="AU82" t="s">
        <v>292</v>
      </c>
      <c r="AW82">
        <v>0</v>
      </c>
      <c r="AX82" s="1">
        <v>46162</v>
      </c>
      <c r="AY82" s="2">
        <v>0.42888888888888888</v>
      </c>
      <c r="AZ82">
        <v>133859</v>
      </c>
      <c r="BA82" s="1">
        <v>45567</v>
      </c>
      <c r="BB82" s="1">
        <v>45731</v>
      </c>
      <c r="BC82" t="s">
        <v>0</v>
      </c>
      <c r="BD82" s="1">
        <v>46153</v>
      </c>
      <c r="BE82" t="s">
        <v>317</v>
      </c>
      <c r="BL82" s="4">
        <v>0</v>
      </c>
      <c r="BM82" s="1">
        <v>46899</v>
      </c>
      <c r="BN82" s="1">
        <v>46162</v>
      </c>
      <c r="BO82">
        <v>0</v>
      </c>
      <c r="BP82">
        <v>31994</v>
      </c>
      <c r="BQ82" t="s">
        <v>156</v>
      </c>
      <c r="BR82" s="3">
        <v>137266.07</v>
      </c>
      <c r="BS82" s="3">
        <v>19050</v>
      </c>
      <c r="BT82">
        <v>0</v>
      </c>
      <c r="BU82" s="3">
        <v>156316.07</v>
      </c>
      <c r="BV82" s="3">
        <v>240655.79</v>
      </c>
      <c r="BX82">
        <v>0</v>
      </c>
      <c r="BZ82">
        <v>0</v>
      </c>
      <c r="CA82">
        <v>0</v>
      </c>
      <c r="CB82">
        <v>0</v>
      </c>
      <c r="CC82" s="3">
        <v>240655.79</v>
      </c>
      <c r="CD82" s="5">
        <v>0</v>
      </c>
      <c r="CF82" s="6">
        <v>46143</v>
      </c>
      <c r="CH82">
        <v>0</v>
      </c>
      <c r="CI82">
        <v>0</v>
      </c>
      <c r="CJ82">
        <v>0</v>
      </c>
      <c r="CK82">
        <v>0</v>
      </c>
      <c r="CL82">
        <v>0</v>
      </c>
      <c r="CM82">
        <v>0</v>
      </c>
      <c r="CN82">
        <v>0</v>
      </c>
      <c r="CO82">
        <v>0</v>
      </c>
      <c r="CP82">
        <v>0</v>
      </c>
      <c r="CQ82">
        <v>0</v>
      </c>
      <c r="CR82">
        <v>0</v>
      </c>
      <c r="CS82" t="s">
        <v>360</v>
      </c>
      <c r="CT82" t="s">
        <v>190</v>
      </c>
      <c r="CU82" t="s">
        <v>891</v>
      </c>
      <c r="CW82">
        <v>-51.491900000000001</v>
      </c>
      <c r="CZ82" s="1">
        <v>46153</v>
      </c>
      <c r="DA82" t="s">
        <v>172</v>
      </c>
      <c r="DB82" t="s">
        <v>172</v>
      </c>
      <c r="DC82" t="s">
        <v>172</v>
      </c>
      <c r="DD82" t="s">
        <v>172</v>
      </c>
      <c r="DG82" s="1">
        <v>46153</v>
      </c>
      <c r="DH82">
        <v>0</v>
      </c>
      <c r="DI82">
        <v>0</v>
      </c>
      <c r="DJ82" s="1">
        <v>46162</v>
      </c>
      <c r="DK82" t="s">
        <v>179</v>
      </c>
      <c r="DL82" t="s">
        <v>200</v>
      </c>
      <c r="DM82" t="s">
        <v>172</v>
      </c>
      <c r="DN82" t="s">
        <v>201</v>
      </c>
      <c r="DV82" s="3">
        <v>240655.79</v>
      </c>
      <c r="DW82">
        <v>0</v>
      </c>
      <c r="DX82" s="3">
        <v>240655.79</v>
      </c>
      <c r="DY82">
        <v>0</v>
      </c>
      <c r="EG82" s="1">
        <v>46157</v>
      </c>
      <c r="EN82" t="s">
        <v>156</v>
      </c>
      <c r="EP82" s="1">
        <v>46160</v>
      </c>
      <c r="ER82" s="1">
        <v>46160</v>
      </c>
      <c r="ES82" t="s">
        <v>897</v>
      </c>
      <c r="ET82" t="s">
        <v>898</v>
      </c>
      <c r="EU82" s="1">
        <v>46156</v>
      </c>
      <c r="EW82" s="1">
        <v>46156</v>
      </c>
    </row>
    <row r="83" spans="1:153" ht="261" x14ac:dyDescent="0.35">
      <c r="A83" t="str">
        <f>HYPERLINK("https://7lm.cvcrm.com.br/gestor/comercial/reservas/7078/administrar","7078")</f>
        <v>7078</v>
      </c>
      <c r="B83" t="s">
        <v>156</v>
      </c>
      <c r="C83" s="1">
        <v>46153</v>
      </c>
      <c r="D83" s="2">
        <v>0.82890046296296294</v>
      </c>
      <c r="E83" t="s">
        <v>157</v>
      </c>
      <c r="F83" t="s">
        <v>182</v>
      </c>
      <c r="G83" t="s">
        <v>159</v>
      </c>
      <c r="H83" t="s">
        <v>643</v>
      </c>
      <c r="I83" t="s">
        <v>899</v>
      </c>
      <c r="J83">
        <v>1</v>
      </c>
      <c r="L83">
        <v>30151</v>
      </c>
      <c r="M83" t="s">
        <v>900</v>
      </c>
      <c r="N83" s="1">
        <v>46156</v>
      </c>
      <c r="O83" s="2">
        <v>0.68835648148148143</v>
      </c>
      <c r="R83" t="str">
        <f>HYPERLINK("https://7lm.cvcrm.com.br/gestor/relatorios/associado/html?q[1|r.idreserva]=7078","TAIZA GOMES DOURADO")</f>
        <v>TAIZA GOMES DOURADO</v>
      </c>
      <c r="S83">
        <v>3608695133</v>
      </c>
      <c r="T83">
        <v>556196083225</v>
      </c>
      <c r="U83">
        <v>5561996083225</v>
      </c>
      <c r="V83" t="s">
        <v>901</v>
      </c>
      <c r="W83" t="s">
        <v>187</v>
      </c>
      <c r="X83" t="s">
        <v>331</v>
      </c>
      <c r="Y83" t="s">
        <v>189</v>
      </c>
      <c r="Z83" t="s">
        <v>190</v>
      </c>
      <c r="AA83" t="s">
        <v>902</v>
      </c>
      <c r="AB83" t="s">
        <v>903</v>
      </c>
      <c r="AC83" t="s">
        <v>334</v>
      </c>
      <c r="AF83" t="s">
        <v>273</v>
      </c>
      <c r="AG83" t="s">
        <v>251</v>
      </c>
      <c r="AH83" s="3">
        <v>261000.55</v>
      </c>
      <c r="AI83" s="3">
        <v>261000.55</v>
      </c>
      <c r="AJ83" s="1">
        <v>46214</v>
      </c>
      <c r="AN83" t="s">
        <v>172</v>
      </c>
      <c r="AR83" s="7" t="s">
        <v>904</v>
      </c>
      <c r="AT83" t="s">
        <v>196</v>
      </c>
      <c r="AU83" t="s">
        <v>335</v>
      </c>
      <c r="AW83">
        <v>0</v>
      </c>
      <c r="AX83" s="1">
        <v>46156</v>
      </c>
      <c r="AY83" s="2">
        <v>0.72354166666666664</v>
      </c>
      <c r="AZ83">
        <v>208165</v>
      </c>
      <c r="BA83" s="1">
        <v>46147</v>
      </c>
      <c r="BC83" t="s">
        <v>0</v>
      </c>
      <c r="BD83" s="1">
        <v>46153</v>
      </c>
      <c r="BE83" t="s">
        <v>317</v>
      </c>
      <c r="BL83" s="4">
        <v>0</v>
      </c>
      <c r="BM83" s="1">
        <v>46899</v>
      </c>
      <c r="BO83">
        <v>0</v>
      </c>
      <c r="BP83">
        <v>32097</v>
      </c>
      <c r="BQ83" t="s">
        <v>156</v>
      </c>
      <c r="BR83" s="3">
        <v>135626.56</v>
      </c>
      <c r="BS83" s="3">
        <v>20237</v>
      </c>
      <c r="BT83">
        <v>0</v>
      </c>
      <c r="BU83" s="3">
        <v>155863.56</v>
      </c>
      <c r="BV83" s="3">
        <v>261000.55</v>
      </c>
      <c r="BX83">
        <v>0</v>
      </c>
      <c r="BZ83">
        <v>0</v>
      </c>
      <c r="CA83">
        <v>0</v>
      </c>
      <c r="CB83">
        <v>0</v>
      </c>
      <c r="CC83" s="3">
        <v>261000.55</v>
      </c>
      <c r="CD83" s="5">
        <v>0</v>
      </c>
      <c r="CF83" s="6">
        <v>46143</v>
      </c>
      <c r="CH83">
        <v>0</v>
      </c>
      <c r="CI83">
        <v>0</v>
      </c>
      <c r="CJ83">
        <v>0</v>
      </c>
      <c r="CK83">
        <v>0</v>
      </c>
      <c r="CL83">
        <v>0</v>
      </c>
      <c r="CM83">
        <v>0</v>
      </c>
      <c r="CN83">
        <v>0</v>
      </c>
      <c r="CO83">
        <v>0</v>
      </c>
      <c r="CP83">
        <v>0</v>
      </c>
      <c r="CQ83">
        <v>0</v>
      </c>
      <c r="CR83">
        <v>0</v>
      </c>
      <c r="CS83" t="s">
        <v>199</v>
      </c>
      <c r="CT83" t="s">
        <v>190</v>
      </c>
      <c r="CU83" t="s">
        <v>899</v>
      </c>
      <c r="CW83">
        <v>-52.32</v>
      </c>
      <c r="CZ83" s="1">
        <v>46153</v>
      </c>
      <c r="DA83" t="s">
        <v>172</v>
      </c>
      <c r="DB83" t="s">
        <v>172</v>
      </c>
      <c r="DC83" t="s">
        <v>172</v>
      </c>
      <c r="DD83" t="s">
        <v>172</v>
      </c>
      <c r="DG83" s="1">
        <v>46153</v>
      </c>
      <c r="DH83">
        <v>0</v>
      </c>
      <c r="DI83">
        <v>0</v>
      </c>
      <c r="DK83" t="s">
        <v>179</v>
      </c>
      <c r="DL83" t="s">
        <v>200</v>
      </c>
      <c r="DM83" t="s">
        <v>172</v>
      </c>
      <c r="DN83" t="s">
        <v>511</v>
      </c>
      <c r="DV83" s="3">
        <v>261000.55</v>
      </c>
      <c r="DW83">
        <v>0</v>
      </c>
      <c r="DX83" s="3">
        <v>261000.55</v>
      </c>
      <c r="DY83">
        <v>0</v>
      </c>
      <c r="EF83" s="1">
        <v>46161</v>
      </c>
      <c r="EG83" s="1">
        <v>46156</v>
      </c>
      <c r="EK83" s="1">
        <v>46161</v>
      </c>
      <c r="EL83" s="1">
        <v>46161</v>
      </c>
      <c r="EN83" t="s">
        <v>156</v>
      </c>
      <c r="ER83" s="1">
        <v>46156</v>
      </c>
      <c r="ES83" t="s">
        <v>905</v>
      </c>
      <c r="ET83" t="s">
        <v>906</v>
      </c>
      <c r="EU83" s="1">
        <v>46156</v>
      </c>
      <c r="EW83" s="1">
        <v>46153</v>
      </c>
    </row>
    <row r="84" spans="1:153" ht="246.5" x14ac:dyDescent="0.35">
      <c r="A84" t="str">
        <f>HYPERLINK("https://7lm.cvcrm.com.br/gestor/comercial/reservas/7077/administrar","7077")</f>
        <v>7077</v>
      </c>
      <c r="B84" t="s">
        <v>156</v>
      </c>
      <c r="C84" s="1">
        <v>46153</v>
      </c>
      <c r="D84" s="2">
        <v>0.81974537037037032</v>
      </c>
      <c r="E84" t="s">
        <v>294</v>
      </c>
      <c r="F84" t="s">
        <v>182</v>
      </c>
      <c r="G84" t="s">
        <v>159</v>
      </c>
      <c r="H84" t="s">
        <v>538</v>
      </c>
      <c r="I84" t="s">
        <v>907</v>
      </c>
      <c r="J84">
        <v>1</v>
      </c>
      <c r="K84">
        <v>8557</v>
      </c>
      <c r="L84">
        <v>30151</v>
      </c>
      <c r="M84" t="s">
        <v>908</v>
      </c>
      <c r="N84" s="1">
        <v>46157</v>
      </c>
      <c r="O84" s="2">
        <v>0.78037037037037038</v>
      </c>
      <c r="Q84">
        <v>10055</v>
      </c>
      <c r="R84" t="str">
        <f>HYPERLINK("https://7lm.cvcrm.com.br/gestor/relatorios/associado/html?q[1|r.idreserva]=7077","ANA KAROLINE DE OLIVEIRA BORGES")</f>
        <v>ANA KAROLINE DE OLIVEIRA BORGES</v>
      </c>
      <c r="S84">
        <v>70919684173</v>
      </c>
      <c r="T84">
        <v>556199293767</v>
      </c>
      <c r="U84">
        <v>556296469070</v>
      </c>
      <c r="V84" t="s">
        <v>909</v>
      </c>
      <c r="W84" t="s">
        <v>187</v>
      </c>
      <c r="X84" t="s">
        <v>492</v>
      </c>
      <c r="Y84" t="s">
        <v>189</v>
      </c>
      <c r="Z84" t="s">
        <v>190</v>
      </c>
      <c r="AA84" t="s">
        <v>707</v>
      </c>
      <c r="AB84" t="s">
        <v>910</v>
      </c>
      <c r="AC84" t="s">
        <v>833</v>
      </c>
      <c r="AD84" t="s">
        <v>834</v>
      </c>
      <c r="AF84" t="s">
        <v>250</v>
      </c>
      <c r="AG84" t="s">
        <v>195</v>
      </c>
      <c r="AH84" s="3">
        <v>245000.11</v>
      </c>
      <c r="AI84" s="3">
        <v>245000.11</v>
      </c>
      <c r="AJ84" s="1">
        <v>46155</v>
      </c>
      <c r="AN84" t="s">
        <v>172</v>
      </c>
      <c r="AR84" s="7" t="s">
        <v>353</v>
      </c>
      <c r="AT84" t="s">
        <v>173</v>
      </c>
      <c r="AU84" t="s">
        <v>175</v>
      </c>
      <c r="AW84">
        <v>0</v>
      </c>
      <c r="AX84" s="1">
        <v>46170</v>
      </c>
      <c r="AY84" s="2">
        <v>0.57638888888888884</v>
      </c>
      <c r="AZ84">
        <v>211674</v>
      </c>
      <c r="BA84" s="1">
        <v>46153</v>
      </c>
      <c r="BC84" t="s">
        <v>213</v>
      </c>
      <c r="BD84" s="1">
        <v>46153</v>
      </c>
      <c r="BE84" t="s">
        <v>175</v>
      </c>
      <c r="BL84" s="4">
        <v>0</v>
      </c>
      <c r="BM84" s="1">
        <v>46899</v>
      </c>
      <c r="BN84" s="1">
        <v>46170</v>
      </c>
      <c r="BO84">
        <v>0</v>
      </c>
      <c r="BP84">
        <v>32278</v>
      </c>
      <c r="BQ84" t="s">
        <v>156</v>
      </c>
      <c r="BR84">
        <v>0</v>
      </c>
      <c r="BS84">
        <v>0</v>
      </c>
      <c r="BT84">
        <v>0</v>
      </c>
      <c r="BU84">
        <v>0</v>
      </c>
      <c r="BV84" s="3">
        <v>245000.11</v>
      </c>
      <c r="BX84">
        <v>0</v>
      </c>
      <c r="BZ84">
        <v>0</v>
      </c>
      <c r="CA84">
        <v>0</v>
      </c>
      <c r="CB84">
        <v>0</v>
      </c>
      <c r="CC84" s="3">
        <v>245000.11</v>
      </c>
      <c r="CD84" s="5">
        <v>0</v>
      </c>
      <c r="CF84" s="6">
        <v>46143</v>
      </c>
      <c r="CH84">
        <v>0</v>
      </c>
      <c r="CI84">
        <v>0</v>
      </c>
      <c r="CJ84">
        <v>0</v>
      </c>
      <c r="CK84">
        <v>0</v>
      </c>
      <c r="CL84">
        <v>0</v>
      </c>
      <c r="CM84">
        <v>0</v>
      </c>
      <c r="CN84">
        <v>0</v>
      </c>
      <c r="CO84">
        <v>0</v>
      </c>
      <c r="CP84">
        <v>0</v>
      </c>
      <c r="CQ84">
        <v>0</v>
      </c>
      <c r="CR84">
        <v>0</v>
      </c>
      <c r="CS84" t="s">
        <v>599</v>
      </c>
      <c r="CT84" t="s">
        <v>190</v>
      </c>
      <c r="CU84" t="s">
        <v>907</v>
      </c>
      <c r="CW84">
        <v>-53.981900000000003</v>
      </c>
      <c r="CZ84" s="1">
        <v>46153</v>
      </c>
      <c r="DA84" t="s">
        <v>172</v>
      </c>
      <c r="DB84" t="s">
        <v>172</v>
      </c>
      <c r="DC84" t="s">
        <v>172</v>
      </c>
      <c r="DD84" t="s">
        <v>172</v>
      </c>
      <c r="DG84" s="1">
        <v>46153</v>
      </c>
      <c r="DH84">
        <v>0</v>
      </c>
      <c r="DI84">
        <v>0</v>
      </c>
      <c r="DJ84" s="1">
        <v>46170</v>
      </c>
      <c r="DK84" t="s">
        <v>179</v>
      </c>
      <c r="DL84" t="s">
        <v>200</v>
      </c>
      <c r="DM84" t="s">
        <v>172</v>
      </c>
      <c r="DN84" t="s">
        <v>225</v>
      </c>
      <c r="DV84" s="3">
        <v>245000.11</v>
      </c>
      <c r="DW84">
        <v>0</v>
      </c>
      <c r="DX84" s="3">
        <v>245000.11</v>
      </c>
      <c r="DY84">
        <v>0</v>
      </c>
      <c r="EF84" s="1">
        <v>46163</v>
      </c>
      <c r="EG84" s="1">
        <v>46161</v>
      </c>
      <c r="EK84" s="1">
        <v>46163</v>
      </c>
      <c r="EL84" s="1">
        <v>46163</v>
      </c>
      <c r="EM84" s="1">
        <v>46168</v>
      </c>
      <c r="EN84" t="s">
        <v>156</v>
      </c>
      <c r="EP84" s="1">
        <v>46167</v>
      </c>
      <c r="ER84" s="1">
        <v>46165</v>
      </c>
      <c r="ES84" t="s">
        <v>911</v>
      </c>
      <c r="ET84" t="s">
        <v>912</v>
      </c>
      <c r="EU84" s="1">
        <v>46157</v>
      </c>
      <c r="EW84" s="1">
        <v>46155</v>
      </c>
    </row>
    <row r="85" spans="1:153" ht="246.5" x14ac:dyDescent="0.35">
      <c r="A85" t="str">
        <f>HYPERLINK("https://7lm.cvcrm.com.br/gestor/comercial/reservas/7076/administrar","7076")</f>
        <v>7076</v>
      </c>
      <c r="B85" t="s">
        <v>156</v>
      </c>
      <c r="C85" s="1">
        <v>46153</v>
      </c>
      <c r="D85" s="2">
        <v>0.72263888888888894</v>
      </c>
      <c r="E85" t="s">
        <v>294</v>
      </c>
      <c r="F85" t="s">
        <v>182</v>
      </c>
      <c r="G85" t="s">
        <v>159</v>
      </c>
      <c r="H85" t="s">
        <v>183</v>
      </c>
      <c r="I85" t="s">
        <v>913</v>
      </c>
      <c r="J85">
        <v>1</v>
      </c>
      <c r="K85">
        <v>8427</v>
      </c>
      <c r="L85">
        <v>30151</v>
      </c>
      <c r="M85" t="s">
        <v>914</v>
      </c>
      <c r="N85" s="1">
        <v>46160</v>
      </c>
      <c r="O85" s="2">
        <v>0.41744212962962962</v>
      </c>
      <c r="R85" t="str">
        <f>HYPERLINK("https://7lm.cvcrm.com.br/gestor/relatorios/associado/html?q[1|r.idreserva]=7076","VALCIRENE FERNANDES DE OLIVEIRA")</f>
        <v>VALCIRENE FERNANDES DE OLIVEIRA</v>
      </c>
      <c r="S85">
        <v>1865701122</v>
      </c>
      <c r="T85">
        <v>5561998770407</v>
      </c>
      <c r="U85">
        <v>556199862104</v>
      </c>
      <c r="V85" t="s">
        <v>915</v>
      </c>
      <c r="W85" t="s">
        <v>187</v>
      </c>
      <c r="X85" t="s">
        <v>376</v>
      </c>
      <c r="Y85" t="s">
        <v>189</v>
      </c>
      <c r="Z85" t="s">
        <v>190</v>
      </c>
      <c r="AA85" t="s">
        <v>349</v>
      </c>
      <c r="AB85" t="s">
        <v>916</v>
      </c>
      <c r="AC85" t="s">
        <v>917</v>
      </c>
      <c r="AF85" t="s">
        <v>273</v>
      </c>
      <c r="AG85" t="s">
        <v>195</v>
      </c>
      <c r="AH85" s="3">
        <v>240627.73</v>
      </c>
      <c r="AI85" s="3">
        <v>240627.73</v>
      </c>
      <c r="AJ85" s="1">
        <v>46214</v>
      </c>
      <c r="AN85" t="s">
        <v>172</v>
      </c>
      <c r="AR85" s="7" t="s">
        <v>353</v>
      </c>
      <c r="AT85" t="s">
        <v>196</v>
      </c>
      <c r="AU85" t="s">
        <v>335</v>
      </c>
      <c r="AW85">
        <v>0</v>
      </c>
      <c r="AX85" s="1">
        <v>46156</v>
      </c>
      <c r="AY85" s="2">
        <v>0.45223379629629629</v>
      </c>
      <c r="AZ85">
        <v>199876</v>
      </c>
      <c r="BA85" s="1">
        <v>46119</v>
      </c>
      <c r="BC85" t="s">
        <v>0</v>
      </c>
      <c r="BD85" s="1">
        <v>46153</v>
      </c>
      <c r="BE85" t="s">
        <v>466</v>
      </c>
      <c r="BL85" s="4">
        <v>0</v>
      </c>
      <c r="BM85" s="1">
        <v>46899</v>
      </c>
      <c r="BN85" s="1">
        <v>46156</v>
      </c>
      <c r="BO85">
        <v>0</v>
      </c>
      <c r="BP85">
        <v>30781</v>
      </c>
      <c r="BQ85" t="s">
        <v>156</v>
      </c>
      <c r="BR85">
        <v>0</v>
      </c>
      <c r="BS85">
        <v>0</v>
      </c>
      <c r="BT85">
        <v>0</v>
      </c>
      <c r="BU85">
        <v>0</v>
      </c>
      <c r="BV85" s="3">
        <v>240627.73</v>
      </c>
      <c r="BX85">
        <v>0</v>
      </c>
      <c r="BZ85">
        <v>0</v>
      </c>
      <c r="CA85">
        <v>0</v>
      </c>
      <c r="CB85">
        <v>0</v>
      </c>
      <c r="CC85" s="3">
        <v>240627.73</v>
      </c>
      <c r="CD85" s="5">
        <v>0</v>
      </c>
      <c r="CF85" s="6">
        <v>46143</v>
      </c>
      <c r="CH85">
        <v>0</v>
      </c>
      <c r="CI85">
        <v>0</v>
      </c>
      <c r="CJ85">
        <v>0</v>
      </c>
      <c r="CK85">
        <v>0</v>
      </c>
      <c r="CL85">
        <v>0</v>
      </c>
      <c r="CM85">
        <v>0</v>
      </c>
      <c r="CN85">
        <v>0</v>
      </c>
      <c r="CO85">
        <v>0</v>
      </c>
      <c r="CP85">
        <v>0</v>
      </c>
      <c r="CQ85">
        <v>0</v>
      </c>
      <c r="CR85">
        <v>0</v>
      </c>
      <c r="CS85" t="s">
        <v>360</v>
      </c>
      <c r="CT85" t="s">
        <v>190</v>
      </c>
      <c r="CU85" t="s">
        <v>913</v>
      </c>
      <c r="CW85">
        <v>-52.469900000000003</v>
      </c>
      <c r="CZ85" s="1">
        <v>46153</v>
      </c>
      <c r="DA85" t="s">
        <v>172</v>
      </c>
      <c r="DB85" t="s">
        <v>172</v>
      </c>
      <c r="DC85" t="s">
        <v>172</v>
      </c>
      <c r="DD85" t="s">
        <v>172</v>
      </c>
      <c r="DG85" s="1">
        <v>46153</v>
      </c>
      <c r="DH85">
        <v>0</v>
      </c>
      <c r="DI85">
        <v>0</v>
      </c>
      <c r="DJ85" s="1">
        <v>46156</v>
      </c>
      <c r="DK85" t="s">
        <v>179</v>
      </c>
      <c r="DL85" t="s">
        <v>200</v>
      </c>
      <c r="DM85" t="s">
        <v>172</v>
      </c>
      <c r="DN85" t="s">
        <v>201</v>
      </c>
      <c r="DV85" s="3">
        <v>240627.73</v>
      </c>
      <c r="DW85">
        <v>0</v>
      </c>
      <c r="DX85" s="3">
        <v>240627.73</v>
      </c>
      <c r="DY85">
        <v>0</v>
      </c>
      <c r="EG85" s="1">
        <v>46155</v>
      </c>
      <c r="EN85" t="s">
        <v>156</v>
      </c>
      <c r="EP85" s="1">
        <v>46155</v>
      </c>
      <c r="ER85" s="1">
        <v>46155</v>
      </c>
      <c r="ES85" t="s">
        <v>918</v>
      </c>
      <c r="ET85" t="s">
        <v>919</v>
      </c>
      <c r="EU85" s="1">
        <v>46155</v>
      </c>
      <c r="EW85" s="1">
        <v>46154</v>
      </c>
    </row>
    <row r="86" spans="1:153" ht="246.5" x14ac:dyDescent="0.35">
      <c r="A86" t="str">
        <f>HYPERLINK("https://7lm.cvcrm.com.br/gestor/comercial/reservas/7075/administrar","7075")</f>
        <v>7075</v>
      </c>
      <c r="B86" t="s">
        <v>156</v>
      </c>
      <c r="C86" s="1">
        <v>46153</v>
      </c>
      <c r="D86" s="2">
        <v>0.58743055555555557</v>
      </c>
      <c r="E86" t="s">
        <v>294</v>
      </c>
      <c r="F86" t="s">
        <v>202</v>
      </c>
      <c r="G86" t="s">
        <v>203</v>
      </c>
      <c r="H86" t="s">
        <v>404</v>
      </c>
      <c r="I86" t="s">
        <v>920</v>
      </c>
      <c r="J86">
        <v>1</v>
      </c>
      <c r="K86">
        <v>8462</v>
      </c>
      <c r="L86">
        <v>20031</v>
      </c>
      <c r="M86" t="s">
        <v>921</v>
      </c>
      <c r="N86" s="1">
        <v>46162</v>
      </c>
      <c r="O86" s="2">
        <v>0.66232638888888884</v>
      </c>
      <c r="Q86">
        <v>9965</v>
      </c>
      <c r="R86" t="str">
        <f>HYPERLINK("https://7lm.cvcrm.com.br/gestor/relatorios/associado/html?q[1|r.idreserva]=7075","FERMIN URBIETA")</f>
        <v>FERMIN URBIETA</v>
      </c>
      <c r="S86">
        <v>70599772107</v>
      </c>
      <c r="T86">
        <v>5561981247062</v>
      </c>
      <c r="U86">
        <v>5561993069986</v>
      </c>
      <c r="V86" t="s">
        <v>922</v>
      </c>
      <c r="W86" t="s">
        <v>163</v>
      </c>
      <c r="Y86" t="s">
        <v>165</v>
      </c>
      <c r="Z86" t="s">
        <v>565</v>
      </c>
      <c r="AA86" t="s">
        <v>923</v>
      </c>
      <c r="AB86" t="s">
        <v>924</v>
      </c>
      <c r="AC86" t="s">
        <v>568</v>
      </c>
      <c r="AF86" t="s">
        <v>389</v>
      </c>
      <c r="AG86" t="s">
        <v>195</v>
      </c>
      <c r="AH86" s="3">
        <v>214999.91</v>
      </c>
      <c r="AI86" s="3">
        <v>214999.91</v>
      </c>
      <c r="AJ86" s="1">
        <v>46218</v>
      </c>
      <c r="AN86" t="s">
        <v>172</v>
      </c>
      <c r="AR86" s="7" t="s">
        <v>353</v>
      </c>
      <c r="AT86" t="s">
        <v>196</v>
      </c>
      <c r="AU86" t="s">
        <v>197</v>
      </c>
      <c r="AW86">
        <v>0</v>
      </c>
      <c r="AX86" s="1">
        <v>46160</v>
      </c>
      <c r="AY86" s="2">
        <v>0.50629629629629624</v>
      </c>
      <c r="AZ86">
        <v>210642</v>
      </c>
      <c r="BA86" s="1">
        <v>46149</v>
      </c>
      <c r="BC86" t="s">
        <v>0</v>
      </c>
      <c r="BD86" s="1">
        <v>46153</v>
      </c>
      <c r="BE86" t="s">
        <v>276</v>
      </c>
      <c r="BL86" s="4">
        <v>0</v>
      </c>
      <c r="BM86" s="1">
        <v>46808</v>
      </c>
      <c r="BN86" s="1">
        <v>46160</v>
      </c>
      <c r="BO86">
        <v>0</v>
      </c>
      <c r="BP86">
        <v>32109</v>
      </c>
      <c r="BQ86" t="s">
        <v>156</v>
      </c>
      <c r="BR86" s="3">
        <v>98113.82</v>
      </c>
      <c r="BS86" s="3">
        <v>55000</v>
      </c>
      <c r="BT86">
        <v>0</v>
      </c>
      <c r="BU86" s="3">
        <v>153113.82</v>
      </c>
      <c r="BV86" s="3">
        <v>214999.91</v>
      </c>
      <c r="BX86">
        <v>0</v>
      </c>
      <c r="BZ86">
        <v>0</v>
      </c>
      <c r="CA86">
        <v>0</v>
      </c>
      <c r="CB86">
        <v>0</v>
      </c>
      <c r="CC86" s="3">
        <v>214999.91</v>
      </c>
      <c r="CD86" s="5">
        <v>0</v>
      </c>
      <c r="CF86" s="6">
        <v>46143</v>
      </c>
      <c r="CH86">
        <v>0</v>
      </c>
      <c r="CI86">
        <v>0</v>
      </c>
      <c r="CJ86">
        <v>0</v>
      </c>
      <c r="CK86">
        <v>0</v>
      </c>
      <c r="CL86">
        <v>0</v>
      </c>
      <c r="CM86">
        <v>0</v>
      </c>
      <c r="CN86">
        <v>0</v>
      </c>
      <c r="CO86">
        <v>0</v>
      </c>
      <c r="CP86">
        <v>0</v>
      </c>
      <c r="CQ86">
        <v>0</v>
      </c>
      <c r="CR86">
        <v>0</v>
      </c>
      <c r="CS86" t="s">
        <v>360</v>
      </c>
      <c r="CT86" t="s">
        <v>214</v>
      </c>
      <c r="CU86" t="s">
        <v>920</v>
      </c>
      <c r="CW86">
        <v>-55.142200000000003</v>
      </c>
      <c r="CZ86" s="1">
        <v>46153</v>
      </c>
      <c r="DA86" t="s">
        <v>172</v>
      </c>
      <c r="DB86" t="s">
        <v>172</v>
      </c>
      <c r="DC86" t="s">
        <v>172</v>
      </c>
      <c r="DD86" t="s">
        <v>172</v>
      </c>
      <c r="DG86" s="1">
        <v>46153</v>
      </c>
      <c r="DH86">
        <v>0</v>
      </c>
      <c r="DI86">
        <v>0</v>
      </c>
      <c r="DJ86" s="1">
        <v>46160</v>
      </c>
      <c r="DL86" t="s">
        <v>215</v>
      </c>
      <c r="DM86" t="s">
        <v>172</v>
      </c>
      <c r="DN86" t="s">
        <v>225</v>
      </c>
      <c r="DV86" s="3">
        <v>214999.91</v>
      </c>
      <c r="DW86">
        <v>0</v>
      </c>
      <c r="DX86" s="3">
        <v>214999.91</v>
      </c>
      <c r="DY86">
        <v>0</v>
      </c>
      <c r="EF86" s="1">
        <v>46162</v>
      </c>
      <c r="EG86" s="1">
        <v>46157</v>
      </c>
      <c r="EK86" s="1">
        <v>46162</v>
      </c>
      <c r="EL86" s="1">
        <v>46162</v>
      </c>
      <c r="EM86" s="1">
        <v>46162</v>
      </c>
      <c r="EN86" t="s">
        <v>172</v>
      </c>
      <c r="EP86" s="1">
        <v>46160</v>
      </c>
      <c r="ER86" s="1">
        <v>46158</v>
      </c>
      <c r="ES86" t="s">
        <v>925</v>
      </c>
      <c r="ET86" t="s">
        <v>926</v>
      </c>
      <c r="EU86" s="1">
        <v>46167</v>
      </c>
      <c r="EW86" s="1">
        <v>46153</v>
      </c>
    </row>
    <row r="87" spans="1:153" x14ac:dyDescent="0.35">
      <c r="A87" t="str">
        <f>HYPERLINK("https://7lm.cvcrm.com.br/gestor/comercial/reservas/7074/administrar","7074")</f>
        <v>7074</v>
      </c>
      <c r="B87" t="s">
        <v>172</v>
      </c>
      <c r="C87" s="1">
        <v>46152</v>
      </c>
      <c r="D87" s="2">
        <v>0.61557870370370371</v>
      </c>
      <c r="E87" t="s">
        <v>527</v>
      </c>
      <c r="F87" t="s">
        <v>158</v>
      </c>
      <c r="G87" t="s">
        <v>159</v>
      </c>
      <c r="H87" t="s">
        <v>160</v>
      </c>
      <c r="I87">
        <v>904</v>
      </c>
      <c r="J87">
        <v>1</v>
      </c>
      <c r="L87">
        <v>10001</v>
      </c>
      <c r="M87" t="s">
        <v>927</v>
      </c>
      <c r="R87" t="str">
        <f>HYPERLINK("https://7lm.cvcrm.com.br/gestor/relatorios/associado/html?q[1|r.idreserva]=7074","LAILLA FEITOSA LIRA")</f>
        <v>LAILLA FEITOSA LIRA</v>
      </c>
      <c r="S87">
        <v>3249315141</v>
      </c>
      <c r="T87">
        <v>556198336166</v>
      </c>
      <c r="U87">
        <v>556198336166</v>
      </c>
      <c r="V87" t="s">
        <v>928</v>
      </c>
      <c r="W87" t="s">
        <v>187</v>
      </c>
      <c r="X87" t="s">
        <v>929</v>
      </c>
      <c r="Y87" t="s">
        <v>165</v>
      </c>
      <c r="Z87" t="s">
        <v>238</v>
      </c>
      <c r="AA87" t="s">
        <v>930</v>
      </c>
      <c r="AB87" t="s">
        <v>931</v>
      </c>
      <c r="AC87" t="s">
        <v>169</v>
      </c>
      <c r="AE87" t="s">
        <v>169</v>
      </c>
      <c r="AF87" t="s">
        <v>170</v>
      </c>
      <c r="AG87" t="s">
        <v>171</v>
      </c>
      <c r="AH87">
        <v>0</v>
      </c>
      <c r="AI87">
        <v>0</v>
      </c>
      <c r="AJ87" s="1">
        <v>46118</v>
      </c>
      <c r="AN87" t="s">
        <v>172</v>
      </c>
      <c r="AO87" t="s">
        <v>932</v>
      </c>
      <c r="AP87" t="s">
        <v>933</v>
      </c>
      <c r="AT87" t="s">
        <v>196</v>
      </c>
      <c r="AU87" t="s">
        <v>197</v>
      </c>
      <c r="AW87">
        <v>0</v>
      </c>
      <c r="AX87" s="1">
        <v>46156</v>
      </c>
      <c r="AY87" s="2">
        <v>0.69443287037037038</v>
      </c>
      <c r="AZ87">
        <v>206857</v>
      </c>
      <c r="BA87" s="1">
        <v>46144</v>
      </c>
      <c r="BC87" t="s">
        <v>0</v>
      </c>
      <c r="BD87" s="1">
        <v>46152</v>
      </c>
      <c r="BE87" t="s">
        <v>176</v>
      </c>
      <c r="BL87" s="4">
        <v>0</v>
      </c>
      <c r="BM87" s="1">
        <v>46387</v>
      </c>
      <c r="BO87">
        <v>0</v>
      </c>
      <c r="BP87">
        <v>31848</v>
      </c>
      <c r="BQ87" t="s">
        <v>156</v>
      </c>
      <c r="BR87">
        <v>0</v>
      </c>
      <c r="BS87">
        <v>0</v>
      </c>
      <c r="BT87">
        <v>0</v>
      </c>
      <c r="BU87">
        <v>0</v>
      </c>
      <c r="BV87">
        <v>0</v>
      </c>
      <c r="BX87">
        <v>0</v>
      </c>
      <c r="BZ87">
        <v>0</v>
      </c>
      <c r="CA87">
        <v>0</v>
      </c>
      <c r="CB87">
        <v>0</v>
      </c>
      <c r="CC87">
        <v>0</v>
      </c>
      <c r="CD87" s="5">
        <v>0</v>
      </c>
      <c r="CF87" s="6">
        <v>46143</v>
      </c>
      <c r="CH87">
        <v>0</v>
      </c>
      <c r="CI87">
        <v>0</v>
      </c>
      <c r="CJ87">
        <v>0</v>
      </c>
      <c r="CK87">
        <v>0</v>
      </c>
      <c r="CL87">
        <v>0</v>
      </c>
      <c r="CM87">
        <v>0</v>
      </c>
      <c r="CN87">
        <v>0</v>
      </c>
      <c r="CO87">
        <v>0</v>
      </c>
      <c r="CP87">
        <v>0</v>
      </c>
      <c r="CQ87">
        <v>0</v>
      </c>
      <c r="CR87">
        <v>0</v>
      </c>
      <c r="CT87" t="s">
        <v>178</v>
      </c>
      <c r="CU87">
        <v>904</v>
      </c>
      <c r="CW87">
        <v>0</v>
      </c>
      <c r="CZ87" s="1">
        <v>46152</v>
      </c>
      <c r="DA87" t="s">
        <v>172</v>
      </c>
      <c r="DB87" t="s">
        <v>172</v>
      </c>
      <c r="DC87" t="s">
        <v>172</v>
      </c>
      <c r="DD87" t="s">
        <v>172</v>
      </c>
      <c r="DG87" s="1">
        <v>46152</v>
      </c>
      <c r="DH87">
        <v>0</v>
      </c>
      <c r="DI87">
        <v>0</v>
      </c>
      <c r="DK87" t="s">
        <v>179</v>
      </c>
      <c r="DM87" t="s">
        <v>172</v>
      </c>
      <c r="DN87" t="s">
        <v>553</v>
      </c>
      <c r="DU87" t="s">
        <v>734</v>
      </c>
      <c r="DV87" s="3">
        <v>1042940</v>
      </c>
      <c r="DW87">
        <v>-100</v>
      </c>
      <c r="DX87" s="3">
        <v>1042940</v>
      </c>
      <c r="DY87">
        <v>-100</v>
      </c>
    </row>
    <row r="88" spans="1:153" ht="246.5" x14ac:dyDescent="0.35">
      <c r="A88" t="str">
        <f>HYPERLINK("https://7lm.cvcrm.com.br/gestor/comercial/reservas/7073/administrar","7073")</f>
        <v>7073</v>
      </c>
      <c r="B88" t="s">
        <v>156</v>
      </c>
      <c r="C88" s="1">
        <v>46152</v>
      </c>
      <c r="D88" s="2">
        <v>0.55599537037037039</v>
      </c>
      <c r="E88" t="s">
        <v>294</v>
      </c>
      <c r="F88" t="s">
        <v>216</v>
      </c>
      <c r="G88" t="s">
        <v>159</v>
      </c>
      <c r="H88" t="s">
        <v>277</v>
      </c>
      <c r="I88" t="s">
        <v>934</v>
      </c>
      <c r="J88">
        <v>1</v>
      </c>
      <c r="K88">
        <v>8489</v>
      </c>
      <c r="L88">
        <v>20061</v>
      </c>
      <c r="M88" t="s">
        <v>935</v>
      </c>
      <c r="N88" s="1">
        <v>46162</v>
      </c>
      <c r="O88" s="2">
        <v>0.50671296296296298</v>
      </c>
      <c r="Q88">
        <v>10008</v>
      </c>
      <c r="R88" t="str">
        <f>HYPERLINK("https://7lm.cvcrm.com.br/gestor/relatorios/associado/html?q[1|r.idreserva]=7073","FABIO JUNIOR MARIANO DE CARVALHO")</f>
        <v>FABIO JUNIOR MARIANO DE CARVALHO</v>
      </c>
      <c r="S88">
        <v>74483099191</v>
      </c>
      <c r="T88">
        <v>5561993754206</v>
      </c>
      <c r="U88">
        <v>556194639621</v>
      </c>
      <c r="V88" t="s">
        <v>936</v>
      </c>
      <c r="W88" t="s">
        <v>163</v>
      </c>
      <c r="X88" t="s">
        <v>937</v>
      </c>
      <c r="Y88" t="s">
        <v>165</v>
      </c>
      <c r="Z88" t="s">
        <v>938</v>
      </c>
      <c r="AA88" t="s">
        <v>938</v>
      </c>
      <c r="AB88" t="s">
        <v>939</v>
      </c>
      <c r="AC88" t="s">
        <v>455</v>
      </c>
      <c r="AF88" t="s">
        <v>389</v>
      </c>
      <c r="AG88" t="s">
        <v>195</v>
      </c>
      <c r="AH88" s="3">
        <v>230083.33</v>
      </c>
      <c r="AI88" s="3">
        <v>230083.33</v>
      </c>
      <c r="AJ88" s="1">
        <v>46228</v>
      </c>
      <c r="AN88" t="s">
        <v>172</v>
      </c>
      <c r="AR88" s="7" t="s">
        <v>353</v>
      </c>
      <c r="AT88" t="s">
        <v>196</v>
      </c>
      <c r="AU88" t="s">
        <v>292</v>
      </c>
      <c r="AW88">
        <v>0</v>
      </c>
      <c r="AX88" s="1">
        <v>46163</v>
      </c>
      <c r="AY88" s="2">
        <v>0.49435185185185188</v>
      </c>
      <c r="AZ88">
        <v>187713</v>
      </c>
      <c r="BA88" s="1">
        <v>46058</v>
      </c>
      <c r="BC88" t="s">
        <v>0</v>
      </c>
      <c r="BD88" s="1">
        <v>46152</v>
      </c>
      <c r="BE88" t="s">
        <v>940</v>
      </c>
      <c r="BL88" s="4">
        <v>0</v>
      </c>
      <c r="BM88" s="1">
        <v>46995</v>
      </c>
      <c r="BN88" s="1">
        <v>46163</v>
      </c>
      <c r="BO88">
        <v>0</v>
      </c>
      <c r="BP88">
        <v>32036</v>
      </c>
      <c r="BQ88" t="s">
        <v>156</v>
      </c>
      <c r="BR88" s="3">
        <v>184000</v>
      </c>
      <c r="BS88" s="3">
        <v>2075</v>
      </c>
      <c r="BT88">
        <v>0</v>
      </c>
      <c r="BU88" s="3">
        <v>186075</v>
      </c>
      <c r="BV88" s="3">
        <v>230083.33</v>
      </c>
      <c r="BX88">
        <v>0</v>
      </c>
      <c r="BZ88">
        <v>0</v>
      </c>
      <c r="CA88">
        <v>0</v>
      </c>
      <c r="CB88">
        <v>0</v>
      </c>
      <c r="CC88" s="3">
        <v>230083.33</v>
      </c>
      <c r="CD88" s="5">
        <v>0</v>
      </c>
      <c r="CF88" s="6">
        <v>46143</v>
      </c>
      <c r="CH88">
        <v>0</v>
      </c>
      <c r="CI88">
        <v>0</v>
      </c>
      <c r="CJ88">
        <v>0</v>
      </c>
      <c r="CK88">
        <v>0</v>
      </c>
      <c r="CL88">
        <v>0</v>
      </c>
      <c r="CM88">
        <v>0</v>
      </c>
      <c r="CN88">
        <v>0</v>
      </c>
      <c r="CO88">
        <v>0</v>
      </c>
      <c r="CP88">
        <v>0</v>
      </c>
      <c r="CQ88">
        <v>0</v>
      </c>
      <c r="CR88">
        <v>0</v>
      </c>
      <c r="CS88" t="s">
        <v>428</v>
      </c>
      <c r="CT88" t="s">
        <v>214</v>
      </c>
      <c r="CU88" t="s">
        <v>934</v>
      </c>
      <c r="CW88">
        <v>-52.986699999999999</v>
      </c>
      <c r="CZ88" s="1">
        <v>46152</v>
      </c>
      <c r="DA88" t="s">
        <v>172</v>
      </c>
      <c r="DB88" t="s">
        <v>172</v>
      </c>
      <c r="DC88" t="s">
        <v>172</v>
      </c>
      <c r="DD88" t="s">
        <v>172</v>
      </c>
      <c r="DG88" s="1">
        <v>46152</v>
      </c>
      <c r="DH88">
        <v>0</v>
      </c>
      <c r="DI88">
        <v>0</v>
      </c>
      <c r="DJ88" s="1">
        <v>46163</v>
      </c>
      <c r="DK88" t="s">
        <v>179</v>
      </c>
      <c r="DL88" t="s">
        <v>215</v>
      </c>
      <c r="DM88" t="s">
        <v>172</v>
      </c>
      <c r="DN88" t="s">
        <v>525</v>
      </c>
      <c r="DV88" s="3">
        <v>230083.33</v>
      </c>
      <c r="DW88">
        <v>0</v>
      </c>
      <c r="DX88" s="3">
        <v>230083.33</v>
      </c>
      <c r="DY88">
        <v>0</v>
      </c>
      <c r="EF88" s="1">
        <v>46162</v>
      </c>
      <c r="EG88" s="1">
        <v>46160</v>
      </c>
      <c r="EK88" s="1">
        <v>46163</v>
      </c>
      <c r="EL88" s="1">
        <v>46163</v>
      </c>
      <c r="EM88" s="1">
        <v>46163</v>
      </c>
      <c r="EN88" t="s">
        <v>156</v>
      </c>
      <c r="EP88" s="1">
        <v>46162</v>
      </c>
      <c r="ET88" t="s">
        <v>941</v>
      </c>
      <c r="EU88" s="1">
        <v>46156</v>
      </c>
      <c r="EW88" s="1">
        <v>46152</v>
      </c>
    </row>
    <row r="89" spans="1:153" ht="246.5" x14ac:dyDescent="0.35">
      <c r="A89" t="str">
        <f>HYPERLINK("https://7lm.cvcrm.com.br/gestor/comercial/reservas/7072/administrar","7072")</f>
        <v>7072</v>
      </c>
      <c r="B89" t="s">
        <v>156</v>
      </c>
      <c r="C89" s="1">
        <v>46151</v>
      </c>
      <c r="D89" s="2">
        <v>0.75315972222222227</v>
      </c>
      <c r="E89" t="s">
        <v>294</v>
      </c>
      <c r="F89" t="s">
        <v>202</v>
      </c>
      <c r="G89" t="s">
        <v>203</v>
      </c>
      <c r="H89" t="s">
        <v>404</v>
      </c>
      <c r="I89" t="s">
        <v>942</v>
      </c>
      <c r="J89">
        <v>1</v>
      </c>
      <c r="K89">
        <v>8429</v>
      </c>
      <c r="L89">
        <v>20031</v>
      </c>
      <c r="M89" t="s">
        <v>943</v>
      </c>
      <c r="N89" s="1">
        <v>46157</v>
      </c>
      <c r="O89" s="2">
        <v>0.65370370370370368</v>
      </c>
      <c r="R89" t="str">
        <f>HYPERLINK("https://7lm.cvcrm.com.br/gestor/relatorios/associado/html?q[1|r.idreserva]=7072","JAMESON WERBET FERREIRA ALVES")</f>
        <v>JAMESON WERBET FERREIRA ALVES</v>
      </c>
      <c r="S89">
        <v>9281103117</v>
      </c>
      <c r="T89">
        <v>5561995758592</v>
      </c>
      <c r="U89">
        <v>5561991482328</v>
      </c>
      <c r="V89" t="s">
        <v>944</v>
      </c>
      <c r="W89" t="s">
        <v>163</v>
      </c>
      <c r="Y89" t="s">
        <v>189</v>
      </c>
      <c r="Z89" t="s">
        <v>214</v>
      </c>
      <c r="AA89" t="s">
        <v>945</v>
      </c>
      <c r="AB89" t="s">
        <v>946</v>
      </c>
      <c r="AC89" t="s">
        <v>473</v>
      </c>
      <c r="AF89" t="s">
        <v>399</v>
      </c>
      <c r="AG89" t="s">
        <v>195</v>
      </c>
      <c r="AH89" s="3">
        <v>216000.03</v>
      </c>
      <c r="AI89" s="3">
        <v>216000.03</v>
      </c>
      <c r="AJ89" s="1">
        <v>46218</v>
      </c>
      <c r="AN89" t="s">
        <v>172</v>
      </c>
      <c r="AR89" s="7" t="s">
        <v>353</v>
      </c>
      <c r="AT89" t="s">
        <v>196</v>
      </c>
      <c r="AU89" t="s">
        <v>316</v>
      </c>
      <c r="AW89">
        <v>0</v>
      </c>
      <c r="AX89" s="1">
        <v>46156</v>
      </c>
      <c r="AY89" s="2">
        <v>0.45555555555555555</v>
      </c>
      <c r="AZ89">
        <v>154007</v>
      </c>
      <c r="BA89" s="1">
        <v>45743</v>
      </c>
      <c r="BC89" t="s">
        <v>0</v>
      </c>
      <c r="BD89" s="1">
        <v>46151</v>
      </c>
      <c r="BE89" t="s">
        <v>317</v>
      </c>
      <c r="BL89" s="4">
        <v>0</v>
      </c>
      <c r="BM89" s="1">
        <v>46808</v>
      </c>
      <c r="BN89" s="1">
        <v>46156</v>
      </c>
      <c r="BO89">
        <v>0</v>
      </c>
      <c r="BP89">
        <v>32139</v>
      </c>
      <c r="BQ89" t="s">
        <v>156</v>
      </c>
      <c r="BR89" s="3">
        <v>102248.35</v>
      </c>
      <c r="BS89" s="3">
        <v>55000</v>
      </c>
      <c r="BT89">
        <v>0</v>
      </c>
      <c r="BU89" s="3">
        <v>157248.35</v>
      </c>
      <c r="BV89" s="3">
        <v>216000.03</v>
      </c>
      <c r="BX89">
        <v>0</v>
      </c>
      <c r="BZ89">
        <v>0</v>
      </c>
      <c r="CA89">
        <v>0</v>
      </c>
      <c r="CB89">
        <v>0</v>
      </c>
      <c r="CC89" s="3">
        <v>216000.03</v>
      </c>
      <c r="CD89" s="5">
        <v>0</v>
      </c>
      <c r="CF89" s="6">
        <v>46143</v>
      </c>
      <c r="CH89">
        <v>0</v>
      </c>
      <c r="CI89">
        <v>0</v>
      </c>
      <c r="CJ89">
        <v>0</v>
      </c>
      <c r="CK89">
        <v>0</v>
      </c>
      <c r="CL89">
        <v>0</v>
      </c>
      <c r="CM89">
        <v>0</v>
      </c>
      <c r="CN89">
        <v>0</v>
      </c>
      <c r="CO89">
        <v>0</v>
      </c>
      <c r="CP89">
        <v>0</v>
      </c>
      <c r="CQ89">
        <v>0</v>
      </c>
      <c r="CR89">
        <v>0</v>
      </c>
      <c r="CS89" t="s">
        <v>360</v>
      </c>
      <c r="CT89" t="s">
        <v>214</v>
      </c>
      <c r="CU89" t="s">
        <v>942</v>
      </c>
      <c r="CW89">
        <v>-53.278399999999998</v>
      </c>
      <c r="CZ89" s="1">
        <v>46151</v>
      </c>
      <c r="DA89" t="s">
        <v>172</v>
      </c>
      <c r="DB89" t="s">
        <v>172</v>
      </c>
      <c r="DC89" t="s">
        <v>172</v>
      </c>
      <c r="DD89" t="s">
        <v>172</v>
      </c>
      <c r="DG89" s="1">
        <v>46151</v>
      </c>
      <c r="DH89">
        <v>0</v>
      </c>
      <c r="DI89">
        <v>0</v>
      </c>
      <c r="DJ89" s="1">
        <v>46156</v>
      </c>
      <c r="DL89" t="s">
        <v>215</v>
      </c>
      <c r="DM89" t="s">
        <v>172</v>
      </c>
      <c r="DN89" t="s">
        <v>201</v>
      </c>
      <c r="DV89" s="3">
        <v>216000.03</v>
      </c>
      <c r="DW89">
        <v>0</v>
      </c>
      <c r="DX89" s="3">
        <v>216000.03</v>
      </c>
      <c r="DY89">
        <v>0</v>
      </c>
      <c r="EF89" s="1">
        <v>46157</v>
      </c>
      <c r="EG89" s="1">
        <v>46155</v>
      </c>
      <c r="EK89" s="1">
        <v>46157</v>
      </c>
      <c r="EN89" t="s">
        <v>156</v>
      </c>
      <c r="EP89" s="1">
        <v>46154</v>
      </c>
      <c r="ER89" s="1">
        <v>46153</v>
      </c>
      <c r="ES89" t="s">
        <v>947</v>
      </c>
    </row>
    <row r="90" spans="1:153" ht="246.5" x14ac:dyDescent="0.35">
      <c r="A90" t="str">
        <f>HYPERLINK("https://7lm.cvcrm.com.br/gestor/comercial/reservas/7071/administrar","7071")</f>
        <v>7071</v>
      </c>
      <c r="B90" t="s">
        <v>156</v>
      </c>
      <c r="C90" s="1">
        <v>46151</v>
      </c>
      <c r="D90" s="2">
        <v>0.56054398148148143</v>
      </c>
      <c r="E90" t="s">
        <v>294</v>
      </c>
      <c r="F90" t="s">
        <v>458</v>
      </c>
      <c r="G90" t="s">
        <v>203</v>
      </c>
      <c r="H90" t="s">
        <v>204</v>
      </c>
      <c r="I90" t="s">
        <v>948</v>
      </c>
      <c r="J90">
        <v>1</v>
      </c>
      <c r="K90">
        <v>8528</v>
      </c>
      <c r="L90">
        <v>20001</v>
      </c>
      <c r="M90" t="s">
        <v>949</v>
      </c>
      <c r="N90" s="1">
        <v>46161</v>
      </c>
      <c r="O90" s="2">
        <v>0.60855324074074069</v>
      </c>
      <c r="Q90">
        <v>10039</v>
      </c>
      <c r="R90" t="str">
        <f>HYPERLINK("https://7lm.cvcrm.com.br/gestor/relatorios/associado/html?q[1|r.idreserva]=7071","IARA DO NASCIMENTO SANTOS")</f>
        <v>IARA DO NASCIMENTO SANTOS</v>
      </c>
      <c r="S90">
        <v>6717513101</v>
      </c>
      <c r="T90">
        <v>5561993350161</v>
      </c>
      <c r="U90">
        <v>5561994336414</v>
      </c>
      <c r="V90" t="s">
        <v>950</v>
      </c>
      <c r="W90" t="s">
        <v>187</v>
      </c>
      <c r="X90" t="s">
        <v>299</v>
      </c>
      <c r="Y90" t="s">
        <v>189</v>
      </c>
      <c r="Z90" t="s">
        <v>214</v>
      </c>
      <c r="AA90" t="s">
        <v>951</v>
      </c>
      <c r="AB90" t="s">
        <v>952</v>
      </c>
      <c r="AC90" t="s">
        <v>696</v>
      </c>
      <c r="AD90" t="s">
        <v>697</v>
      </c>
      <c r="AF90" t="s">
        <v>315</v>
      </c>
      <c r="AG90" t="s">
        <v>195</v>
      </c>
      <c r="AH90" s="3">
        <v>229851.43</v>
      </c>
      <c r="AI90" s="3">
        <v>229851.43</v>
      </c>
      <c r="AJ90" s="1">
        <v>46228</v>
      </c>
      <c r="AN90" t="s">
        <v>172</v>
      </c>
      <c r="AR90" s="7" t="s">
        <v>353</v>
      </c>
      <c r="AT90" t="s">
        <v>196</v>
      </c>
      <c r="AU90" t="s">
        <v>953</v>
      </c>
      <c r="AW90">
        <v>0</v>
      </c>
      <c r="AX90" s="1">
        <v>46169</v>
      </c>
      <c r="AY90" s="2">
        <v>0.42964120370370368</v>
      </c>
      <c r="AZ90">
        <v>208209</v>
      </c>
      <c r="BA90" s="1">
        <v>46147</v>
      </c>
      <c r="BC90" t="s">
        <v>275</v>
      </c>
      <c r="BD90" s="1">
        <v>46147</v>
      </c>
      <c r="BE90" t="s">
        <v>198</v>
      </c>
      <c r="BL90" s="4">
        <v>0</v>
      </c>
      <c r="BM90" s="1">
        <v>46572</v>
      </c>
      <c r="BN90" s="1">
        <v>46169</v>
      </c>
      <c r="BO90">
        <v>0</v>
      </c>
      <c r="BP90">
        <v>32018</v>
      </c>
      <c r="BQ90" t="s">
        <v>156</v>
      </c>
      <c r="BR90" s="3">
        <v>116751.28</v>
      </c>
      <c r="BS90" s="3">
        <v>47354</v>
      </c>
      <c r="BT90">
        <v>0</v>
      </c>
      <c r="BU90" s="3">
        <v>164105.28</v>
      </c>
      <c r="BV90" s="3">
        <v>229851.43</v>
      </c>
      <c r="BX90">
        <v>0</v>
      </c>
      <c r="BZ90">
        <v>0</v>
      </c>
      <c r="CA90">
        <v>0</v>
      </c>
      <c r="CB90">
        <v>0</v>
      </c>
      <c r="CC90" s="3">
        <v>229851.43</v>
      </c>
      <c r="CD90" s="5">
        <v>0</v>
      </c>
      <c r="CE90" t="s">
        <v>467</v>
      </c>
      <c r="CF90" s="6">
        <v>46143</v>
      </c>
      <c r="CH90">
        <v>0</v>
      </c>
      <c r="CI90">
        <v>0</v>
      </c>
      <c r="CJ90">
        <v>0</v>
      </c>
      <c r="CK90">
        <v>0</v>
      </c>
      <c r="CL90">
        <v>0</v>
      </c>
      <c r="CM90">
        <v>0</v>
      </c>
      <c r="CN90">
        <v>0</v>
      </c>
      <c r="CO90">
        <v>0</v>
      </c>
      <c r="CP90">
        <v>0</v>
      </c>
      <c r="CQ90">
        <v>0</v>
      </c>
      <c r="CR90">
        <v>0</v>
      </c>
      <c r="CS90" t="s">
        <v>360</v>
      </c>
      <c r="CT90" t="s">
        <v>214</v>
      </c>
      <c r="CU90" t="s">
        <v>948</v>
      </c>
      <c r="CW90">
        <v>0</v>
      </c>
      <c r="CZ90" s="1">
        <v>46151</v>
      </c>
      <c r="DA90" t="s">
        <v>172</v>
      </c>
      <c r="DB90" t="s">
        <v>172</v>
      </c>
      <c r="DC90" t="s">
        <v>172</v>
      </c>
      <c r="DD90" t="s">
        <v>172</v>
      </c>
      <c r="DG90" s="1">
        <v>46151</v>
      </c>
      <c r="DH90">
        <v>0</v>
      </c>
      <c r="DI90">
        <v>0</v>
      </c>
      <c r="DJ90" s="1">
        <v>46169</v>
      </c>
      <c r="DL90" t="s">
        <v>794</v>
      </c>
      <c r="DM90" t="s">
        <v>172</v>
      </c>
      <c r="DN90" t="s">
        <v>795</v>
      </c>
      <c r="DV90" s="3">
        <v>229851.43</v>
      </c>
      <c r="DW90">
        <v>0</v>
      </c>
      <c r="DX90" s="3">
        <v>229851.43</v>
      </c>
      <c r="DY90">
        <v>0</v>
      </c>
      <c r="EF90" s="1">
        <v>46161</v>
      </c>
      <c r="EG90" s="1">
        <v>46156</v>
      </c>
      <c r="EK90" s="1">
        <v>46161</v>
      </c>
      <c r="EL90" s="1">
        <v>46161</v>
      </c>
      <c r="EM90" s="1">
        <v>46157</v>
      </c>
      <c r="EN90" t="s">
        <v>172</v>
      </c>
      <c r="EP90" s="1">
        <v>46156</v>
      </c>
      <c r="ET90" t="s">
        <v>417</v>
      </c>
      <c r="EU90" s="1">
        <v>46157</v>
      </c>
      <c r="EW90" s="1">
        <v>46151</v>
      </c>
    </row>
    <row r="91" spans="1:153" x14ac:dyDescent="0.35">
      <c r="A91" t="str">
        <f>HYPERLINK("https://7lm.cvcrm.com.br/gestor/comercial/reservas/7070/administrar","7070")</f>
        <v>7070</v>
      </c>
      <c r="B91" t="s">
        <v>172</v>
      </c>
      <c r="C91" s="1">
        <v>46151</v>
      </c>
      <c r="D91" s="2">
        <v>0.51747685185185188</v>
      </c>
      <c r="E91" t="s">
        <v>527</v>
      </c>
      <c r="F91" t="s">
        <v>182</v>
      </c>
      <c r="G91" t="s">
        <v>159</v>
      </c>
      <c r="H91" t="s">
        <v>183</v>
      </c>
      <c r="I91" t="s">
        <v>442</v>
      </c>
      <c r="J91">
        <v>1</v>
      </c>
      <c r="L91">
        <v>30151</v>
      </c>
      <c r="M91" t="s">
        <v>443</v>
      </c>
      <c r="R91" t="str">
        <f>HYPERLINK("https://7lm.cvcrm.com.br/gestor/relatorios/associado/html?q[1|r.idreserva]=7070","BRUNO CANDIDO DE MORAIS")</f>
        <v>BRUNO CANDIDO DE MORAIS</v>
      </c>
      <c r="S91">
        <v>71257914170</v>
      </c>
      <c r="T91">
        <v>556196678781</v>
      </c>
      <c r="U91">
        <v>5561996625272</v>
      </c>
      <c r="V91" t="s">
        <v>954</v>
      </c>
      <c r="W91" t="s">
        <v>163</v>
      </c>
      <c r="X91" t="s">
        <v>376</v>
      </c>
      <c r="AA91" t="s">
        <v>190</v>
      </c>
      <c r="AB91" t="s">
        <v>955</v>
      </c>
      <c r="AC91" t="s">
        <v>435</v>
      </c>
      <c r="AD91" t="s">
        <v>435</v>
      </c>
      <c r="AF91" t="s">
        <v>352</v>
      </c>
      <c r="AG91" t="s">
        <v>251</v>
      </c>
      <c r="AH91" s="3">
        <v>246000.39</v>
      </c>
      <c r="AI91" s="3">
        <v>246000.39</v>
      </c>
      <c r="AJ91" s="1">
        <v>46208</v>
      </c>
      <c r="AN91" t="s">
        <v>172</v>
      </c>
      <c r="AO91" t="s">
        <v>816</v>
      </c>
      <c r="AR91" t="s">
        <v>956</v>
      </c>
      <c r="AT91" t="s">
        <v>261</v>
      </c>
      <c r="AU91" t="s">
        <v>292</v>
      </c>
      <c r="AW91">
        <v>0</v>
      </c>
      <c r="AX91" s="1">
        <v>46157</v>
      </c>
      <c r="AY91" s="2">
        <v>0.62046296296296299</v>
      </c>
      <c r="AZ91">
        <v>209583</v>
      </c>
      <c r="BA91" s="1">
        <v>46148</v>
      </c>
      <c r="BC91" t="s">
        <v>0</v>
      </c>
      <c r="BD91" s="1">
        <v>46151</v>
      </c>
      <c r="BE91" t="s">
        <v>198</v>
      </c>
      <c r="BL91" s="4">
        <v>0</v>
      </c>
      <c r="BM91" s="1">
        <v>46899</v>
      </c>
      <c r="BO91">
        <v>0</v>
      </c>
      <c r="BP91">
        <v>32099</v>
      </c>
      <c r="BQ91" t="s">
        <v>156</v>
      </c>
      <c r="BR91" s="3">
        <v>137266.07</v>
      </c>
      <c r="BS91" s="3">
        <v>23107</v>
      </c>
      <c r="BT91">
        <v>0</v>
      </c>
      <c r="BU91" s="3">
        <v>160373.07</v>
      </c>
      <c r="BV91" s="3">
        <v>246000.39</v>
      </c>
      <c r="BX91">
        <v>0</v>
      </c>
      <c r="BZ91">
        <v>0</v>
      </c>
      <c r="CA91">
        <v>0</v>
      </c>
      <c r="CB91">
        <v>0</v>
      </c>
      <c r="CC91" s="3">
        <v>246000.39</v>
      </c>
      <c r="CD91" s="5">
        <v>0</v>
      </c>
      <c r="CF91" s="6">
        <v>46143</v>
      </c>
      <c r="CH91">
        <v>0</v>
      </c>
      <c r="CI91">
        <v>0</v>
      </c>
      <c r="CJ91">
        <v>0</v>
      </c>
      <c r="CK91">
        <v>0</v>
      </c>
      <c r="CL91">
        <v>0</v>
      </c>
      <c r="CM91">
        <v>0</v>
      </c>
      <c r="CN91">
        <v>0</v>
      </c>
      <c r="CO91">
        <v>0</v>
      </c>
      <c r="CP91">
        <v>0</v>
      </c>
      <c r="CQ91">
        <v>0</v>
      </c>
      <c r="CR91">
        <v>0</v>
      </c>
      <c r="CT91" t="s">
        <v>190</v>
      </c>
      <c r="CU91" t="s">
        <v>442</v>
      </c>
      <c r="CW91">
        <v>0</v>
      </c>
      <c r="CZ91" s="1">
        <v>46151</v>
      </c>
      <c r="DA91" t="s">
        <v>172</v>
      </c>
      <c r="DB91" t="s">
        <v>172</v>
      </c>
      <c r="DC91" t="s">
        <v>172</v>
      </c>
      <c r="DD91" t="s">
        <v>172</v>
      </c>
      <c r="DG91" s="1">
        <v>46151</v>
      </c>
      <c r="DH91">
        <v>0</v>
      </c>
      <c r="DI91">
        <v>0</v>
      </c>
      <c r="DK91" t="s">
        <v>179</v>
      </c>
      <c r="DL91" t="s">
        <v>200</v>
      </c>
      <c r="DM91" t="s">
        <v>172</v>
      </c>
      <c r="DN91" t="s">
        <v>201</v>
      </c>
      <c r="DU91" t="s">
        <v>440</v>
      </c>
      <c r="DV91" s="3">
        <v>281399.61</v>
      </c>
      <c r="DW91">
        <v>-53.36</v>
      </c>
      <c r="DX91" s="3">
        <v>281399.61</v>
      </c>
      <c r="DY91">
        <v>-53.36</v>
      </c>
      <c r="EN91" t="s">
        <v>156</v>
      </c>
      <c r="EU91" s="1">
        <v>46155</v>
      </c>
      <c r="EW91" s="1">
        <v>46151</v>
      </c>
    </row>
    <row r="92" spans="1:153" ht="246.5" x14ac:dyDescent="0.35">
      <c r="A92" t="str">
        <f>HYPERLINK("https://7lm.cvcrm.com.br/gestor/comercial/reservas/7069/administrar","7069")</f>
        <v>7069</v>
      </c>
      <c r="B92" t="s">
        <v>156</v>
      </c>
      <c r="C92" s="1">
        <v>46151</v>
      </c>
      <c r="D92" s="2">
        <v>0.51282407407407404</v>
      </c>
      <c r="E92" t="s">
        <v>294</v>
      </c>
      <c r="F92" t="s">
        <v>957</v>
      </c>
      <c r="G92" t="s">
        <v>159</v>
      </c>
      <c r="H92" t="s">
        <v>958</v>
      </c>
      <c r="I92" t="s">
        <v>959</v>
      </c>
      <c r="J92">
        <v>1</v>
      </c>
      <c r="K92">
        <v>8430</v>
      </c>
      <c r="L92">
        <v>30121</v>
      </c>
      <c r="M92" t="s">
        <v>960</v>
      </c>
      <c r="N92" s="1">
        <v>46155</v>
      </c>
      <c r="O92" s="2">
        <v>0.63266203703703705</v>
      </c>
      <c r="R92" t="str">
        <f>HYPERLINK("https://7lm.cvcrm.com.br/gestor/relatorios/associado/html?q[1|r.idreserva]=7069","CAIO DE SOUSA FÉLIX")</f>
        <v>CAIO DE SOUSA FÉLIX</v>
      </c>
      <c r="S92">
        <v>8296549174</v>
      </c>
      <c r="T92">
        <v>5561998677659</v>
      </c>
      <c r="U92">
        <v>5561999578885</v>
      </c>
      <c r="V92" t="s">
        <v>961</v>
      </c>
      <c r="W92" t="s">
        <v>163</v>
      </c>
      <c r="X92" t="s">
        <v>288</v>
      </c>
      <c r="Y92" t="s">
        <v>189</v>
      </c>
      <c r="Z92" t="s">
        <v>190</v>
      </c>
      <c r="AA92" t="s">
        <v>532</v>
      </c>
      <c r="AB92" t="s">
        <v>962</v>
      </c>
      <c r="AC92" t="s">
        <v>534</v>
      </c>
      <c r="AF92" t="s">
        <v>303</v>
      </c>
      <c r="AG92" t="s">
        <v>195</v>
      </c>
      <c r="AH92" s="3">
        <v>270000</v>
      </c>
      <c r="AI92" s="3">
        <v>270000</v>
      </c>
      <c r="AJ92" s="1">
        <v>46218</v>
      </c>
      <c r="AN92" t="s">
        <v>172</v>
      </c>
      <c r="AR92" s="7" t="s">
        <v>353</v>
      </c>
      <c r="AT92" t="s">
        <v>196</v>
      </c>
      <c r="AU92" t="s">
        <v>292</v>
      </c>
      <c r="AW92">
        <v>0</v>
      </c>
      <c r="AX92" s="1">
        <v>46156</v>
      </c>
      <c r="AY92" s="2">
        <v>0.45854166666666668</v>
      </c>
      <c r="AZ92">
        <v>201736</v>
      </c>
      <c r="BA92" s="1">
        <v>46128</v>
      </c>
      <c r="BC92" t="s">
        <v>176</v>
      </c>
      <c r="BD92" s="1">
        <v>46128</v>
      </c>
      <c r="BE92" t="s">
        <v>176</v>
      </c>
      <c r="BL92" s="4">
        <v>0</v>
      </c>
      <c r="BM92" s="1">
        <v>47031</v>
      </c>
      <c r="BN92" s="1">
        <v>46156</v>
      </c>
      <c r="BO92">
        <v>0</v>
      </c>
      <c r="BP92">
        <v>31116</v>
      </c>
      <c r="BQ92" t="s">
        <v>156</v>
      </c>
      <c r="BR92" s="3">
        <v>180000</v>
      </c>
      <c r="BS92">
        <v>0</v>
      </c>
      <c r="BT92">
        <v>0</v>
      </c>
      <c r="BU92" s="3">
        <v>180000</v>
      </c>
      <c r="BV92" s="3">
        <v>270000</v>
      </c>
      <c r="BX92">
        <v>0</v>
      </c>
      <c r="BZ92">
        <v>0</v>
      </c>
      <c r="CA92">
        <v>0</v>
      </c>
      <c r="CB92">
        <v>0</v>
      </c>
      <c r="CC92" s="3">
        <v>270000</v>
      </c>
      <c r="CD92" s="5">
        <v>0</v>
      </c>
      <c r="CF92" s="6">
        <v>46143</v>
      </c>
      <c r="CH92">
        <v>0</v>
      </c>
      <c r="CI92">
        <v>0</v>
      </c>
      <c r="CJ92">
        <v>0</v>
      </c>
      <c r="CK92">
        <v>0</v>
      </c>
      <c r="CL92">
        <v>0</v>
      </c>
      <c r="CM92">
        <v>0</v>
      </c>
      <c r="CN92">
        <v>0</v>
      </c>
      <c r="CO92">
        <v>0</v>
      </c>
      <c r="CP92">
        <v>0</v>
      </c>
      <c r="CQ92">
        <v>0</v>
      </c>
      <c r="CR92">
        <v>0</v>
      </c>
      <c r="CS92" t="s">
        <v>305</v>
      </c>
      <c r="CT92" t="s">
        <v>190</v>
      </c>
      <c r="CU92" t="s">
        <v>959</v>
      </c>
      <c r="CW92">
        <v>-49.758099999999999</v>
      </c>
      <c r="CZ92" s="1">
        <v>46151</v>
      </c>
      <c r="DA92" t="s">
        <v>172</v>
      </c>
      <c r="DB92" t="s">
        <v>172</v>
      </c>
      <c r="DC92" t="s">
        <v>172</v>
      </c>
      <c r="DD92" t="s">
        <v>172</v>
      </c>
      <c r="DG92" s="1">
        <v>46151</v>
      </c>
      <c r="DH92">
        <v>0</v>
      </c>
      <c r="DI92">
        <v>0</v>
      </c>
      <c r="DJ92" s="1">
        <v>46156</v>
      </c>
      <c r="DL92" t="s">
        <v>963</v>
      </c>
      <c r="DM92" t="s">
        <v>172</v>
      </c>
      <c r="DN92" t="s">
        <v>511</v>
      </c>
      <c r="DP92" s="4">
        <v>1.2E-2</v>
      </c>
      <c r="DV92" s="3">
        <v>270000</v>
      </c>
      <c r="DW92">
        <v>0</v>
      </c>
      <c r="DX92" s="3">
        <v>270000</v>
      </c>
      <c r="DY92">
        <v>0</v>
      </c>
      <c r="EG92" s="1">
        <v>46155</v>
      </c>
      <c r="EN92" t="s">
        <v>156</v>
      </c>
      <c r="EP92" s="1">
        <v>46154</v>
      </c>
      <c r="ER92" s="1">
        <v>46154</v>
      </c>
      <c r="ES92" t="s">
        <v>964</v>
      </c>
      <c r="EW92" s="1">
        <v>46151</v>
      </c>
    </row>
    <row r="93" spans="1:153" x14ac:dyDescent="0.35">
      <c r="A93" t="str">
        <f>HYPERLINK("https://7lm.cvcrm.com.br/gestor/comercial/reservas/7068/administrar","7068")</f>
        <v>7068</v>
      </c>
      <c r="B93" t="s">
        <v>172</v>
      </c>
      <c r="C93" s="1">
        <v>46151</v>
      </c>
      <c r="D93" s="2">
        <v>0.4849074074074074</v>
      </c>
      <c r="E93" t="s">
        <v>527</v>
      </c>
      <c r="F93" t="s">
        <v>158</v>
      </c>
      <c r="G93" t="s">
        <v>159</v>
      </c>
      <c r="H93" t="s">
        <v>160</v>
      </c>
      <c r="I93">
        <v>1305</v>
      </c>
      <c r="J93">
        <v>1</v>
      </c>
      <c r="K93">
        <v>8509</v>
      </c>
      <c r="L93">
        <v>10001</v>
      </c>
      <c r="M93" t="s">
        <v>965</v>
      </c>
      <c r="R93" t="str">
        <f>HYPERLINK("https://7lm.cvcrm.com.br/gestor/relatorios/associado/html?q[1|r.idreserva]=7068","ANDRESSA FERREIRA ALVES")</f>
        <v>ANDRESSA FERREIRA ALVES</v>
      </c>
      <c r="S93">
        <v>8492981725</v>
      </c>
      <c r="T93">
        <v>5527999948457</v>
      </c>
      <c r="U93">
        <v>5527999948457</v>
      </c>
      <c r="V93" t="s">
        <v>728</v>
      </c>
      <c r="W93" t="s">
        <v>187</v>
      </c>
      <c r="X93" t="s">
        <v>729</v>
      </c>
      <c r="Y93" t="s">
        <v>165</v>
      </c>
      <c r="Z93" t="s">
        <v>166</v>
      </c>
      <c r="AA93" t="s">
        <v>730</v>
      </c>
      <c r="AB93" t="s">
        <v>731</v>
      </c>
      <c r="AC93" t="s">
        <v>732</v>
      </c>
      <c r="AE93" t="s">
        <v>733</v>
      </c>
      <c r="AF93" t="s">
        <v>170</v>
      </c>
      <c r="AG93" t="s">
        <v>171</v>
      </c>
      <c r="AH93" s="3">
        <v>525000</v>
      </c>
      <c r="AI93" s="3">
        <v>525000</v>
      </c>
      <c r="AJ93" s="1">
        <v>46142</v>
      </c>
      <c r="AN93" t="s">
        <v>172</v>
      </c>
      <c r="AO93" t="s">
        <v>966</v>
      </c>
      <c r="AT93" t="s">
        <v>196</v>
      </c>
      <c r="AU93" t="s">
        <v>197</v>
      </c>
      <c r="AW93">
        <v>0</v>
      </c>
      <c r="AX93" s="1">
        <v>46156</v>
      </c>
      <c r="AY93" s="2">
        <v>0.6950115740740741</v>
      </c>
      <c r="AZ93">
        <v>208410</v>
      </c>
      <c r="BA93" s="1">
        <v>46147</v>
      </c>
      <c r="BC93" t="s">
        <v>0</v>
      </c>
      <c r="BD93" s="1">
        <v>46151</v>
      </c>
      <c r="BE93" t="s">
        <v>262</v>
      </c>
      <c r="BL93" s="4">
        <v>0</v>
      </c>
      <c r="BM93" s="1">
        <v>46387</v>
      </c>
      <c r="BO93">
        <v>0</v>
      </c>
      <c r="BP93">
        <v>32003</v>
      </c>
      <c r="BQ93" t="s">
        <v>156</v>
      </c>
      <c r="BR93" s="3">
        <v>405364.88</v>
      </c>
      <c r="BS93">
        <v>0</v>
      </c>
      <c r="BT93">
        <v>0</v>
      </c>
      <c r="BU93" s="3">
        <v>405364.88</v>
      </c>
      <c r="BV93" s="3">
        <v>525000</v>
      </c>
      <c r="BX93">
        <v>0</v>
      </c>
      <c r="BZ93">
        <v>0</v>
      </c>
      <c r="CA93">
        <v>0</v>
      </c>
      <c r="CB93">
        <v>0</v>
      </c>
      <c r="CC93" s="3">
        <v>525000</v>
      </c>
      <c r="CD93" s="5">
        <v>0</v>
      </c>
      <c r="CF93" s="6">
        <v>46143</v>
      </c>
      <c r="CH93">
        <v>0</v>
      </c>
      <c r="CI93">
        <v>0</v>
      </c>
      <c r="CJ93">
        <v>0</v>
      </c>
      <c r="CK93">
        <v>0</v>
      </c>
      <c r="CL93">
        <v>0</v>
      </c>
      <c r="CM93">
        <v>0</v>
      </c>
      <c r="CN93">
        <v>0</v>
      </c>
      <c r="CO93">
        <v>0</v>
      </c>
      <c r="CP93">
        <v>0</v>
      </c>
      <c r="CQ93">
        <v>0</v>
      </c>
      <c r="CR93">
        <v>0</v>
      </c>
      <c r="CT93" t="s">
        <v>178</v>
      </c>
      <c r="CU93">
        <v>1305</v>
      </c>
      <c r="CW93">
        <v>0</v>
      </c>
      <c r="CZ93" s="1">
        <v>46151</v>
      </c>
      <c r="DA93" t="s">
        <v>172</v>
      </c>
      <c r="DB93" t="s">
        <v>172</v>
      </c>
      <c r="DC93" t="s">
        <v>172</v>
      </c>
      <c r="DD93" t="s">
        <v>172</v>
      </c>
      <c r="DG93" s="1">
        <v>46151</v>
      </c>
      <c r="DH93">
        <v>0</v>
      </c>
      <c r="DI93">
        <v>0</v>
      </c>
      <c r="DK93" t="s">
        <v>179</v>
      </c>
      <c r="DM93" t="s">
        <v>172</v>
      </c>
      <c r="DN93" t="s">
        <v>180</v>
      </c>
      <c r="DU93" t="s">
        <v>734</v>
      </c>
      <c r="DV93" s="3">
        <v>721940</v>
      </c>
      <c r="DW93">
        <v>-57.9</v>
      </c>
      <c r="DX93" s="3">
        <v>721940</v>
      </c>
      <c r="DY93">
        <v>-57.9</v>
      </c>
    </row>
    <row r="94" spans="1:153" ht="246.5" x14ac:dyDescent="0.35">
      <c r="A94" t="str">
        <f>HYPERLINK("https://7lm.cvcrm.com.br/gestor/comercial/reservas/7067/administrar","7067")</f>
        <v>7067</v>
      </c>
      <c r="B94" t="s">
        <v>156</v>
      </c>
      <c r="C94" s="1">
        <v>46151</v>
      </c>
      <c r="D94" s="2">
        <v>0.42952546296296296</v>
      </c>
      <c r="E94" t="s">
        <v>294</v>
      </c>
      <c r="F94" t="s">
        <v>182</v>
      </c>
      <c r="G94" t="s">
        <v>159</v>
      </c>
      <c r="H94" t="s">
        <v>643</v>
      </c>
      <c r="I94" t="s">
        <v>967</v>
      </c>
      <c r="J94">
        <v>1</v>
      </c>
      <c r="K94">
        <v>8444</v>
      </c>
      <c r="L94">
        <v>30151</v>
      </c>
      <c r="M94" t="s">
        <v>968</v>
      </c>
      <c r="N94" s="1">
        <v>46157</v>
      </c>
      <c r="O94" s="2">
        <v>0.60516203703703708</v>
      </c>
      <c r="Q94">
        <v>9951</v>
      </c>
      <c r="R94" t="str">
        <f>HYPERLINK("https://7lm.cvcrm.com.br/gestor/relatorios/associado/html?q[1|r.idreserva]=7067","KARINE PEREIRA SALDANHA")</f>
        <v>KARINE PEREIRA SALDANHA</v>
      </c>
      <c r="S94">
        <v>7776274186</v>
      </c>
      <c r="T94">
        <v>5561999689423</v>
      </c>
      <c r="U94">
        <v>5561999971747</v>
      </c>
      <c r="V94" t="s">
        <v>969</v>
      </c>
      <c r="W94" t="s">
        <v>187</v>
      </c>
      <c r="X94" t="s">
        <v>970</v>
      </c>
      <c r="Y94" t="s">
        <v>189</v>
      </c>
      <c r="Z94" t="s">
        <v>190</v>
      </c>
      <c r="AA94" t="s">
        <v>270</v>
      </c>
      <c r="AB94" t="s">
        <v>971</v>
      </c>
      <c r="AC94" t="s">
        <v>917</v>
      </c>
      <c r="AF94" t="s">
        <v>273</v>
      </c>
      <c r="AG94" t="s">
        <v>251</v>
      </c>
      <c r="AH94" s="3">
        <v>240634.96</v>
      </c>
      <c r="AI94" s="3">
        <v>240634.96</v>
      </c>
      <c r="AJ94" s="1">
        <v>46212</v>
      </c>
      <c r="AN94" t="s">
        <v>172</v>
      </c>
      <c r="AR94" s="7" t="s">
        <v>353</v>
      </c>
      <c r="AT94" t="s">
        <v>196</v>
      </c>
      <c r="AU94" t="s">
        <v>292</v>
      </c>
      <c r="AW94">
        <v>0</v>
      </c>
      <c r="AX94" s="1">
        <v>46157</v>
      </c>
      <c r="AY94" s="2">
        <v>0.58718749999999997</v>
      </c>
      <c r="AZ94">
        <v>138864</v>
      </c>
      <c r="BA94" s="1">
        <v>45607</v>
      </c>
      <c r="BC94" t="s">
        <v>972</v>
      </c>
      <c r="BD94" s="1">
        <v>45609</v>
      </c>
      <c r="BE94" t="s">
        <v>317</v>
      </c>
      <c r="BL94" s="4">
        <v>0</v>
      </c>
      <c r="BM94" s="1">
        <v>46899</v>
      </c>
      <c r="BN94" s="1">
        <v>46157</v>
      </c>
      <c r="BO94">
        <v>0</v>
      </c>
      <c r="BP94">
        <v>31761</v>
      </c>
      <c r="BQ94" t="s">
        <v>156</v>
      </c>
      <c r="BR94" s="3">
        <v>134262.92000000001</v>
      </c>
      <c r="BS94" s="3">
        <v>26021</v>
      </c>
      <c r="BT94">
        <v>0</v>
      </c>
      <c r="BU94" s="3">
        <v>160283.92000000001</v>
      </c>
      <c r="BV94" s="3">
        <v>240634.96</v>
      </c>
      <c r="BX94">
        <v>0</v>
      </c>
      <c r="BZ94">
        <v>0</v>
      </c>
      <c r="CA94">
        <v>0</v>
      </c>
      <c r="CB94">
        <v>0</v>
      </c>
      <c r="CC94" s="3">
        <v>240634.96</v>
      </c>
      <c r="CD94" s="5">
        <v>0</v>
      </c>
      <c r="CF94" s="6">
        <v>46143</v>
      </c>
      <c r="CH94">
        <v>0</v>
      </c>
      <c r="CI94">
        <v>0</v>
      </c>
      <c r="CJ94">
        <v>0</v>
      </c>
      <c r="CK94">
        <v>0</v>
      </c>
      <c r="CL94">
        <v>0</v>
      </c>
      <c r="CM94">
        <v>0</v>
      </c>
      <c r="CN94">
        <v>0</v>
      </c>
      <c r="CO94">
        <v>0</v>
      </c>
      <c r="CP94">
        <v>0</v>
      </c>
      <c r="CQ94">
        <v>0</v>
      </c>
      <c r="CR94">
        <v>0</v>
      </c>
      <c r="CS94" t="s">
        <v>360</v>
      </c>
      <c r="CT94" t="s">
        <v>190</v>
      </c>
      <c r="CU94" t="s">
        <v>967</v>
      </c>
      <c r="CW94">
        <v>-52.301099999999998</v>
      </c>
      <c r="CZ94" s="1">
        <v>46151</v>
      </c>
      <c r="DA94" t="s">
        <v>172</v>
      </c>
      <c r="DB94" t="s">
        <v>172</v>
      </c>
      <c r="DC94" t="s">
        <v>172</v>
      </c>
      <c r="DD94" t="s">
        <v>172</v>
      </c>
      <c r="DG94" s="1">
        <v>46151</v>
      </c>
      <c r="DH94">
        <v>0</v>
      </c>
      <c r="DI94">
        <v>0</v>
      </c>
      <c r="DJ94" s="1">
        <v>46157</v>
      </c>
      <c r="DK94" t="s">
        <v>179</v>
      </c>
      <c r="DL94" t="s">
        <v>200</v>
      </c>
      <c r="DM94" t="s">
        <v>172</v>
      </c>
      <c r="DN94" t="s">
        <v>201</v>
      </c>
      <c r="DV94" s="3">
        <v>240634.96</v>
      </c>
      <c r="DW94">
        <v>0</v>
      </c>
      <c r="DX94" s="3">
        <v>240634.96</v>
      </c>
      <c r="DY94">
        <v>0</v>
      </c>
      <c r="EG94" s="1">
        <v>46155</v>
      </c>
      <c r="EN94" t="s">
        <v>156</v>
      </c>
      <c r="EP94" s="1">
        <v>46155</v>
      </c>
      <c r="ER94" s="1">
        <v>46155</v>
      </c>
      <c r="ES94" t="s">
        <v>973</v>
      </c>
      <c r="EU94" s="1">
        <v>46154</v>
      </c>
      <c r="EW94" s="1">
        <v>46151</v>
      </c>
    </row>
    <row r="95" spans="1:153" x14ac:dyDescent="0.35">
      <c r="A95" t="str">
        <f>HYPERLINK("https://7lm.cvcrm.com.br/gestor/comercial/reservas/7066/administrar","7066")</f>
        <v>7066</v>
      </c>
      <c r="B95" t="s">
        <v>156</v>
      </c>
      <c r="C95" s="1">
        <v>46150</v>
      </c>
      <c r="D95" s="2">
        <v>0.8028819444444445</v>
      </c>
      <c r="E95" t="s">
        <v>974</v>
      </c>
      <c r="F95" t="s">
        <v>182</v>
      </c>
      <c r="G95" t="s">
        <v>159</v>
      </c>
      <c r="H95" t="s">
        <v>975</v>
      </c>
      <c r="I95" t="s">
        <v>976</v>
      </c>
      <c r="J95">
        <v>1</v>
      </c>
      <c r="L95">
        <v>30151</v>
      </c>
      <c r="M95" t="s">
        <v>977</v>
      </c>
      <c r="N95" s="1">
        <v>46171</v>
      </c>
      <c r="O95" s="2">
        <v>0.42478009259259258</v>
      </c>
      <c r="R95" t="str">
        <f>HYPERLINK("https://7lm.cvcrm.com.br/gestor/relatorios/associado/html?q[1|r.idreserva]=7066","VANUZA DE SOUZA SANTOS")</f>
        <v>VANUZA DE SOUZA SANTOS</v>
      </c>
      <c r="S95">
        <v>1028688164</v>
      </c>
      <c r="T95">
        <v>5538998130637</v>
      </c>
      <c r="U95">
        <v>5561996711009</v>
      </c>
      <c r="V95" t="s">
        <v>978</v>
      </c>
      <c r="W95" t="s">
        <v>187</v>
      </c>
      <c r="X95" t="s">
        <v>979</v>
      </c>
      <c r="Y95" t="s">
        <v>189</v>
      </c>
      <c r="Z95" t="s">
        <v>190</v>
      </c>
      <c r="AA95" t="s">
        <v>980</v>
      </c>
      <c r="AB95" t="s">
        <v>981</v>
      </c>
      <c r="AC95" t="s">
        <v>291</v>
      </c>
      <c r="AF95" t="s">
        <v>273</v>
      </c>
      <c r="AG95" t="s">
        <v>251</v>
      </c>
      <c r="AH95" s="3">
        <v>241027.28</v>
      </c>
      <c r="AI95" s="3">
        <v>241027.28</v>
      </c>
      <c r="AJ95" s="1">
        <v>46151</v>
      </c>
      <c r="AN95" t="s">
        <v>172</v>
      </c>
      <c r="AR95" t="s">
        <v>982</v>
      </c>
      <c r="AT95" t="s">
        <v>196</v>
      </c>
      <c r="AU95" t="s">
        <v>262</v>
      </c>
      <c r="AW95">
        <v>0</v>
      </c>
      <c r="AX95" s="1">
        <v>46171</v>
      </c>
      <c r="AY95" s="2">
        <v>0.42493055555555553</v>
      </c>
      <c r="AZ95">
        <v>204218</v>
      </c>
      <c r="BA95" s="1">
        <v>46136</v>
      </c>
      <c r="BC95" t="s">
        <v>275</v>
      </c>
      <c r="BD95" s="1">
        <v>46142</v>
      </c>
      <c r="BE95" t="s">
        <v>317</v>
      </c>
      <c r="BL95" s="4">
        <v>0</v>
      </c>
      <c r="BM95" s="1">
        <v>46899</v>
      </c>
      <c r="BO95">
        <v>0</v>
      </c>
      <c r="BP95">
        <v>31785</v>
      </c>
      <c r="BQ95" t="s">
        <v>156</v>
      </c>
      <c r="BR95" s="3">
        <v>107377.13</v>
      </c>
      <c r="BS95" s="3">
        <v>47595</v>
      </c>
      <c r="BT95">
        <v>0</v>
      </c>
      <c r="BU95" s="3">
        <v>154972.13</v>
      </c>
      <c r="BV95" s="3">
        <v>241027.28</v>
      </c>
      <c r="BX95">
        <v>0</v>
      </c>
      <c r="BZ95">
        <v>0</v>
      </c>
      <c r="CA95">
        <v>0</v>
      </c>
      <c r="CB95">
        <v>0</v>
      </c>
      <c r="CC95" s="3">
        <v>241027.28</v>
      </c>
      <c r="CD95" s="5">
        <v>0</v>
      </c>
      <c r="CF95" s="6">
        <v>46143</v>
      </c>
      <c r="CH95">
        <v>0</v>
      </c>
      <c r="CI95">
        <v>0</v>
      </c>
      <c r="CJ95">
        <v>0</v>
      </c>
      <c r="CK95">
        <v>0</v>
      </c>
      <c r="CL95">
        <v>0</v>
      </c>
      <c r="CM95">
        <v>0</v>
      </c>
      <c r="CN95">
        <v>0</v>
      </c>
      <c r="CO95">
        <v>0</v>
      </c>
      <c r="CP95">
        <v>0</v>
      </c>
      <c r="CQ95">
        <v>0</v>
      </c>
      <c r="CR95">
        <v>0</v>
      </c>
      <c r="CS95" t="s">
        <v>199</v>
      </c>
      <c r="CT95" t="s">
        <v>190</v>
      </c>
      <c r="CU95" t="s">
        <v>976</v>
      </c>
      <c r="CW95">
        <v>-54.728200000000001</v>
      </c>
      <c r="CZ95" s="1">
        <v>46150</v>
      </c>
      <c r="DA95" t="s">
        <v>172</v>
      </c>
      <c r="DB95" t="s">
        <v>172</v>
      </c>
      <c r="DC95" t="s">
        <v>172</v>
      </c>
      <c r="DD95" t="s">
        <v>172</v>
      </c>
      <c r="DG95" s="1">
        <v>46150</v>
      </c>
      <c r="DH95">
        <v>0</v>
      </c>
      <c r="DI95">
        <v>0</v>
      </c>
      <c r="DK95" t="s">
        <v>179</v>
      </c>
      <c r="DL95" t="s">
        <v>200</v>
      </c>
      <c r="DM95" t="s">
        <v>172</v>
      </c>
      <c r="DN95" t="s">
        <v>201</v>
      </c>
      <c r="DV95" s="3">
        <v>241027.28</v>
      </c>
      <c r="DW95">
        <v>0</v>
      </c>
      <c r="DX95" s="3">
        <v>241027.28</v>
      </c>
      <c r="DY95">
        <v>0</v>
      </c>
      <c r="EF95" s="1">
        <v>46169</v>
      </c>
      <c r="EG95" s="1">
        <v>46167</v>
      </c>
      <c r="EK95" s="1">
        <v>46169</v>
      </c>
      <c r="EL95" s="1">
        <v>46169</v>
      </c>
      <c r="EM95" s="1">
        <v>46167</v>
      </c>
      <c r="EN95" t="s">
        <v>156</v>
      </c>
      <c r="EP95" s="1">
        <v>46167</v>
      </c>
      <c r="EQ95" s="1">
        <v>46171</v>
      </c>
      <c r="ER95" s="1">
        <v>46163</v>
      </c>
      <c r="ES95" t="s">
        <v>983</v>
      </c>
      <c r="ET95" t="s">
        <v>984</v>
      </c>
      <c r="EU95" s="1">
        <v>46156</v>
      </c>
      <c r="EW95" s="1">
        <v>46151</v>
      </c>
    </row>
    <row r="96" spans="1:153" ht="116" x14ac:dyDescent="0.35">
      <c r="A96" t="str">
        <f>HYPERLINK("https://7lm.cvcrm.com.br/gestor/comercial/reservas/7065/administrar","7065")</f>
        <v>7065</v>
      </c>
      <c r="B96" t="s">
        <v>156</v>
      </c>
      <c r="C96" s="1">
        <v>46150</v>
      </c>
      <c r="D96" s="2">
        <v>0.74710648148148151</v>
      </c>
      <c r="E96" t="s">
        <v>294</v>
      </c>
      <c r="F96" t="s">
        <v>182</v>
      </c>
      <c r="G96" t="s">
        <v>159</v>
      </c>
      <c r="H96" t="s">
        <v>759</v>
      </c>
      <c r="I96" t="s">
        <v>780</v>
      </c>
      <c r="J96">
        <v>1</v>
      </c>
      <c r="K96">
        <v>8559</v>
      </c>
      <c r="L96">
        <v>30151</v>
      </c>
      <c r="M96" t="s">
        <v>985</v>
      </c>
      <c r="N96" s="1">
        <v>46150</v>
      </c>
      <c r="O96" s="2">
        <v>0.75258101851851855</v>
      </c>
      <c r="Q96">
        <v>10056</v>
      </c>
      <c r="R96" t="str">
        <f>HYPERLINK("https://7lm.cvcrm.com.br/gestor/relatorios/associado/html?q[1|r.idreserva]=7065","ELIZABETE NEYLA FERREIRA EVANGELISTA")</f>
        <v>ELIZABETE NEYLA FERREIRA EVANGELISTA</v>
      </c>
      <c r="S96">
        <v>7346837150</v>
      </c>
      <c r="T96">
        <v>5561999843851</v>
      </c>
      <c r="U96">
        <v>5561999943725</v>
      </c>
      <c r="V96" t="s">
        <v>986</v>
      </c>
      <c r="W96" t="s">
        <v>187</v>
      </c>
      <c r="X96" t="s">
        <v>366</v>
      </c>
      <c r="Y96" t="s">
        <v>189</v>
      </c>
      <c r="Z96" t="s">
        <v>190</v>
      </c>
      <c r="AA96" t="s">
        <v>596</v>
      </c>
      <c r="AB96" t="s">
        <v>987</v>
      </c>
      <c r="AC96" t="s">
        <v>988</v>
      </c>
      <c r="AF96" t="s">
        <v>250</v>
      </c>
      <c r="AG96" t="s">
        <v>251</v>
      </c>
      <c r="AH96" s="3">
        <v>246000.32</v>
      </c>
      <c r="AI96" s="3">
        <v>246000.32</v>
      </c>
      <c r="AJ96" s="1">
        <v>46211</v>
      </c>
      <c r="AN96" t="s">
        <v>172</v>
      </c>
      <c r="AR96" s="7" t="s">
        <v>989</v>
      </c>
      <c r="AT96" t="s">
        <v>196</v>
      </c>
      <c r="AU96" t="s">
        <v>292</v>
      </c>
      <c r="AW96">
        <v>0</v>
      </c>
      <c r="AX96" s="1">
        <v>46170</v>
      </c>
      <c r="AY96" s="2">
        <v>0.57809027777777777</v>
      </c>
      <c r="AZ96" t="s">
        <v>990</v>
      </c>
      <c r="BA96" t="s">
        <v>991</v>
      </c>
      <c r="BB96" t="s">
        <v>992</v>
      </c>
      <c r="BC96" t="s">
        <v>993</v>
      </c>
      <c r="BD96" t="s">
        <v>994</v>
      </c>
      <c r="BE96" t="s">
        <v>995</v>
      </c>
      <c r="BL96" s="4">
        <v>0</v>
      </c>
      <c r="BM96" s="1">
        <v>46899</v>
      </c>
      <c r="BN96" s="1">
        <v>46170</v>
      </c>
      <c r="BO96">
        <v>0</v>
      </c>
      <c r="BP96">
        <v>32062</v>
      </c>
      <c r="BQ96" t="s">
        <v>156</v>
      </c>
      <c r="BR96" s="3">
        <v>134262.92000000001</v>
      </c>
      <c r="BS96" s="3">
        <v>26115</v>
      </c>
      <c r="BT96">
        <v>0</v>
      </c>
      <c r="BU96" s="3">
        <v>160377.92000000001</v>
      </c>
      <c r="BV96" s="3">
        <v>246000.32</v>
      </c>
      <c r="BX96">
        <v>0</v>
      </c>
      <c r="BZ96">
        <v>0</v>
      </c>
      <c r="CA96">
        <v>0</v>
      </c>
      <c r="CB96">
        <v>0</v>
      </c>
      <c r="CC96" s="3">
        <v>246000.32</v>
      </c>
      <c r="CD96" s="5">
        <v>0</v>
      </c>
      <c r="CF96" s="6">
        <v>46143</v>
      </c>
      <c r="CH96">
        <v>0</v>
      </c>
      <c r="CI96">
        <v>0</v>
      </c>
      <c r="CJ96">
        <v>0</v>
      </c>
      <c r="CK96">
        <v>0</v>
      </c>
      <c r="CL96">
        <v>0</v>
      </c>
      <c r="CM96">
        <v>0</v>
      </c>
      <c r="CN96">
        <v>0</v>
      </c>
      <c r="CO96">
        <v>0</v>
      </c>
      <c r="CP96">
        <v>0</v>
      </c>
      <c r="CQ96">
        <v>0</v>
      </c>
      <c r="CR96">
        <v>0</v>
      </c>
      <c r="CS96" t="s">
        <v>199</v>
      </c>
      <c r="CT96" t="s">
        <v>190</v>
      </c>
      <c r="CU96" t="s">
        <v>780</v>
      </c>
      <c r="CW96">
        <v>-53.7941</v>
      </c>
      <c r="CZ96" s="1">
        <v>46150</v>
      </c>
      <c r="DA96" t="s">
        <v>172</v>
      </c>
      <c r="DB96" t="s">
        <v>172</v>
      </c>
      <c r="DC96" t="s">
        <v>172</v>
      </c>
      <c r="DD96" t="s">
        <v>172</v>
      </c>
      <c r="DG96" s="1">
        <v>46150</v>
      </c>
      <c r="DH96">
        <v>0</v>
      </c>
      <c r="DI96">
        <v>0</v>
      </c>
      <c r="DJ96" s="1">
        <v>46170</v>
      </c>
      <c r="DK96" t="s">
        <v>179</v>
      </c>
      <c r="DL96" t="s">
        <v>200</v>
      </c>
      <c r="DM96" t="s">
        <v>172</v>
      </c>
      <c r="DN96" t="s">
        <v>225</v>
      </c>
      <c r="DV96" s="3">
        <v>246000.32</v>
      </c>
      <c r="DW96">
        <v>0</v>
      </c>
      <c r="DX96" s="3">
        <v>246000.32</v>
      </c>
      <c r="DY96">
        <v>0</v>
      </c>
      <c r="EF96" s="1">
        <v>46161</v>
      </c>
      <c r="EG96" s="1">
        <v>46156</v>
      </c>
      <c r="EK96" s="1">
        <v>46161</v>
      </c>
      <c r="EL96" s="1">
        <v>46161</v>
      </c>
      <c r="EM96" s="1">
        <v>46169</v>
      </c>
      <c r="EN96" t="s">
        <v>156</v>
      </c>
      <c r="EP96" s="1">
        <v>46162</v>
      </c>
      <c r="EQ96" s="1">
        <v>46163</v>
      </c>
      <c r="ER96" s="1">
        <v>46161</v>
      </c>
      <c r="ES96" t="s">
        <v>996</v>
      </c>
      <c r="ET96" t="s">
        <v>997</v>
      </c>
      <c r="EU96" s="1">
        <v>46156</v>
      </c>
      <c r="EV96" s="1">
        <v>46163</v>
      </c>
      <c r="EW96" s="1">
        <v>46150</v>
      </c>
    </row>
    <row r="97" spans="1:153" x14ac:dyDescent="0.35">
      <c r="A97" t="str">
        <f>HYPERLINK("https://7lm.cvcrm.com.br/gestor/comercial/reservas/7064/administrar","7064")</f>
        <v>7064</v>
      </c>
      <c r="B97" t="s">
        <v>156</v>
      </c>
      <c r="C97" s="1">
        <v>46150</v>
      </c>
      <c r="D97" s="2">
        <v>0.72988425925925926</v>
      </c>
      <c r="E97" t="s">
        <v>157</v>
      </c>
      <c r="F97" t="s">
        <v>202</v>
      </c>
      <c r="G97" t="s">
        <v>203</v>
      </c>
      <c r="H97" t="s">
        <v>391</v>
      </c>
      <c r="I97" t="s">
        <v>328</v>
      </c>
      <c r="J97">
        <v>1</v>
      </c>
      <c r="L97">
        <v>20031</v>
      </c>
      <c r="M97" t="s">
        <v>998</v>
      </c>
      <c r="N97" s="1">
        <v>46169</v>
      </c>
      <c r="O97" s="2">
        <v>0.65181712962962968</v>
      </c>
      <c r="R97" t="str">
        <f>HYPERLINK("https://7lm.cvcrm.com.br/gestor/relatorios/associado/html?q[1|r.idreserva]=7064","MAURICIO SANTOS DE CARVALHO")</f>
        <v>MAURICIO SANTOS DE CARVALHO</v>
      </c>
      <c r="S97">
        <v>8058356107</v>
      </c>
      <c r="T97">
        <v>5561991699247</v>
      </c>
      <c r="U97">
        <v>556192758773</v>
      </c>
      <c r="V97" t="s">
        <v>999</v>
      </c>
      <c r="W97" t="s">
        <v>163</v>
      </c>
      <c r="Y97" t="s">
        <v>189</v>
      </c>
      <c r="Z97" t="s">
        <v>214</v>
      </c>
      <c r="AA97" t="s">
        <v>1000</v>
      </c>
      <c r="AB97" t="s">
        <v>1001</v>
      </c>
      <c r="AC97" t="s">
        <v>776</v>
      </c>
      <c r="AD97" t="s">
        <v>776</v>
      </c>
      <c r="AF97" t="s">
        <v>212</v>
      </c>
      <c r="AG97" t="s">
        <v>284</v>
      </c>
      <c r="AH97" s="3">
        <v>221844.1</v>
      </c>
      <c r="AI97" s="3">
        <v>221844.1</v>
      </c>
      <c r="AJ97" s="1">
        <v>47041</v>
      </c>
      <c r="AN97" t="s">
        <v>172</v>
      </c>
      <c r="AT97" t="s">
        <v>196</v>
      </c>
      <c r="AU97" t="s">
        <v>175</v>
      </c>
      <c r="AW97">
        <v>0</v>
      </c>
      <c r="AX97" s="1">
        <v>46150</v>
      </c>
      <c r="AY97" s="2">
        <v>0.72988425925925926</v>
      </c>
      <c r="AZ97" t="s">
        <v>1002</v>
      </c>
      <c r="BA97" t="s">
        <v>1003</v>
      </c>
      <c r="BB97" t="s">
        <v>356</v>
      </c>
      <c r="BC97" t="s">
        <v>1004</v>
      </c>
      <c r="BD97" t="s">
        <v>1003</v>
      </c>
      <c r="BE97" t="s">
        <v>1005</v>
      </c>
      <c r="BL97" s="4">
        <v>0</v>
      </c>
      <c r="BM97" s="1">
        <v>46808</v>
      </c>
      <c r="BO97">
        <v>0</v>
      </c>
      <c r="BP97">
        <v>32185</v>
      </c>
      <c r="BQ97" t="s">
        <v>156</v>
      </c>
      <c r="BR97" s="3">
        <v>154541.9</v>
      </c>
      <c r="BS97" s="3">
        <v>6515</v>
      </c>
      <c r="BT97">
        <v>0</v>
      </c>
      <c r="BU97" s="3">
        <v>161056.9</v>
      </c>
      <c r="BV97" s="3">
        <v>221844.1</v>
      </c>
      <c r="BX97">
        <v>0</v>
      </c>
      <c r="BZ97">
        <v>0</v>
      </c>
      <c r="CA97">
        <v>0</v>
      </c>
      <c r="CB97">
        <v>0</v>
      </c>
      <c r="CC97" s="3">
        <v>221844.1</v>
      </c>
      <c r="CD97" s="5">
        <v>0</v>
      </c>
      <c r="CF97" s="6">
        <v>46143</v>
      </c>
      <c r="CH97">
        <v>0</v>
      </c>
      <c r="CI97">
        <v>0</v>
      </c>
      <c r="CJ97">
        <v>0</v>
      </c>
      <c r="CK97">
        <v>0</v>
      </c>
      <c r="CL97">
        <v>0</v>
      </c>
      <c r="CM97">
        <v>0</v>
      </c>
      <c r="CN97">
        <v>0</v>
      </c>
      <c r="CO97">
        <v>0</v>
      </c>
      <c r="CP97">
        <v>0</v>
      </c>
      <c r="CQ97">
        <v>0</v>
      </c>
      <c r="CR97">
        <v>0</v>
      </c>
      <c r="CS97" t="s">
        <v>649</v>
      </c>
      <c r="CT97" t="s">
        <v>214</v>
      </c>
      <c r="CU97" t="s">
        <v>328</v>
      </c>
      <c r="CW97">
        <v>-53.335299999999997</v>
      </c>
      <c r="CZ97" s="1">
        <v>46150</v>
      </c>
      <c r="DA97" t="s">
        <v>172</v>
      </c>
      <c r="DB97" t="s">
        <v>172</v>
      </c>
      <c r="DC97" t="s">
        <v>172</v>
      </c>
      <c r="DD97" t="s">
        <v>172</v>
      </c>
      <c r="DG97" s="1">
        <v>46150</v>
      </c>
      <c r="DH97">
        <v>0</v>
      </c>
      <c r="DI97">
        <v>0</v>
      </c>
      <c r="DL97" t="s">
        <v>215</v>
      </c>
      <c r="DM97" t="s">
        <v>172</v>
      </c>
      <c r="DN97" t="s">
        <v>201</v>
      </c>
      <c r="DV97" s="3">
        <v>221844.1</v>
      </c>
      <c r="DW97">
        <v>0</v>
      </c>
      <c r="DX97" s="3">
        <v>221844.1</v>
      </c>
      <c r="DY97">
        <v>0</v>
      </c>
      <c r="EN97" t="s">
        <v>172</v>
      </c>
      <c r="EU97" s="1">
        <v>46160</v>
      </c>
      <c r="EW97" s="1">
        <v>46150</v>
      </c>
    </row>
    <row r="98" spans="1:153" ht="246.5" x14ac:dyDescent="0.35">
      <c r="A98" t="str">
        <f>HYPERLINK("https://7lm.cvcrm.com.br/gestor/comercial/reservas/7063/administrar","7063")</f>
        <v>7063</v>
      </c>
      <c r="B98" t="s">
        <v>156</v>
      </c>
      <c r="C98" s="1">
        <v>46150</v>
      </c>
      <c r="D98" s="2">
        <v>0.55687500000000001</v>
      </c>
      <c r="E98" t="s">
        <v>294</v>
      </c>
      <c r="F98" t="s">
        <v>202</v>
      </c>
      <c r="G98" t="s">
        <v>203</v>
      </c>
      <c r="H98" t="s">
        <v>217</v>
      </c>
      <c r="I98" t="s">
        <v>253</v>
      </c>
      <c r="J98">
        <v>1</v>
      </c>
      <c r="K98">
        <v>8529</v>
      </c>
      <c r="L98">
        <v>20031</v>
      </c>
      <c r="M98" t="s">
        <v>1006</v>
      </c>
      <c r="N98" s="1">
        <v>46169</v>
      </c>
      <c r="O98" s="2">
        <v>0.51891203703703703</v>
      </c>
      <c r="Q98">
        <v>10040</v>
      </c>
      <c r="R98" t="str">
        <f>HYPERLINK("https://7lm.cvcrm.com.br/gestor/relatorios/associado/html?q[1|r.idreserva]=7063","ALAN DAVYD ROCHA DA SILVA")</f>
        <v>ALAN DAVYD ROCHA DA SILVA</v>
      </c>
      <c r="S98">
        <v>11365635473</v>
      </c>
      <c r="T98">
        <v>5561998383546</v>
      </c>
      <c r="U98">
        <v>5561992526492</v>
      </c>
      <c r="V98" t="s">
        <v>1007</v>
      </c>
      <c r="W98" t="s">
        <v>163</v>
      </c>
      <c r="Y98" t="s">
        <v>189</v>
      </c>
      <c r="Z98" t="s">
        <v>214</v>
      </c>
      <c r="AA98" t="s">
        <v>1008</v>
      </c>
      <c r="AB98" t="s">
        <v>214</v>
      </c>
      <c r="AC98" t="s">
        <v>1009</v>
      </c>
      <c r="AD98" t="s">
        <v>1009</v>
      </c>
      <c r="AF98" t="s">
        <v>212</v>
      </c>
      <c r="AG98" t="s">
        <v>195</v>
      </c>
      <c r="AH98" s="3">
        <v>218949.35</v>
      </c>
      <c r="AI98" s="3">
        <v>218949.35</v>
      </c>
      <c r="AJ98" s="1">
        <v>46208</v>
      </c>
      <c r="AN98" t="s">
        <v>172</v>
      </c>
      <c r="AR98" s="7" t="s">
        <v>353</v>
      </c>
      <c r="AT98" t="s">
        <v>196</v>
      </c>
      <c r="AU98" t="s">
        <v>175</v>
      </c>
      <c r="AW98">
        <v>0</v>
      </c>
      <c r="AX98" s="1">
        <v>46169</v>
      </c>
      <c r="AY98" s="2">
        <v>0.43170138888888887</v>
      </c>
      <c r="BL98" s="4">
        <v>0</v>
      </c>
      <c r="BM98" s="1">
        <v>46808</v>
      </c>
      <c r="BN98" s="1">
        <v>46169</v>
      </c>
      <c r="BO98">
        <v>0</v>
      </c>
      <c r="BP98">
        <v>31930</v>
      </c>
      <c r="BQ98" t="s">
        <v>156</v>
      </c>
      <c r="BR98" s="3">
        <v>166370.73000000001</v>
      </c>
      <c r="BS98" s="3">
        <v>2279</v>
      </c>
      <c r="BT98">
        <v>0</v>
      </c>
      <c r="BU98" s="3">
        <v>168649.73</v>
      </c>
      <c r="BV98" s="3">
        <v>218949.35</v>
      </c>
      <c r="BX98">
        <v>0</v>
      </c>
      <c r="BZ98">
        <v>0</v>
      </c>
      <c r="CA98">
        <v>0</v>
      </c>
      <c r="CB98">
        <v>0</v>
      </c>
      <c r="CC98" s="3">
        <v>218949.35</v>
      </c>
      <c r="CD98" s="5">
        <v>0</v>
      </c>
      <c r="CF98" s="6">
        <v>46143</v>
      </c>
      <c r="CH98">
        <v>0</v>
      </c>
      <c r="CI98">
        <v>0</v>
      </c>
      <c r="CJ98">
        <v>0</v>
      </c>
      <c r="CK98">
        <v>0</v>
      </c>
      <c r="CL98">
        <v>0</v>
      </c>
      <c r="CM98">
        <v>0</v>
      </c>
      <c r="CN98">
        <v>0</v>
      </c>
      <c r="CO98">
        <v>0</v>
      </c>
      <c r="CP98">
        <v>0</v>
      </c>
      <c r="CQ98">
        <v>0</v>
      </c>
      <c r="CR98">
        <v>0</v>
      </c>
      <c r="CS98" t="s">
        <v>360</v>
      </c>
      <c r="CT98" t="s">
        <v>214</v>
      </c>
      <c r="CU98" t="s">
        <v>253</v>
      </c>
      <c r="CW98">
        <v>-55.070700000000002</v>
      </c>
      <c r="CZ98" s="1">
        <v>46150</v>
      </c>
      <c r="DA98" t="s">
        <v>172</v>
      </c>
      <c r="DB98" t="s">
        <v>172</v>
      </c>
      <c r="DC98" t="s">
        <v>172</v>
      </c>
      <c r="DD98" t="s">
        <v>172</v>
      </c>
      <c r="DG98" s="1">
        <v>46150</v>
      </c>
      <c r="DH98">
        <v>0</v>
      </c>
      <c r="DI98">
        <v>0</v>
      </c>
      <c r="DJ98" s="1">
        <v>46169</v>
      </c>
      <c r="DL98" t="s">
        <v>224</v>
      </c>
      <c r="DM98" t="s">
        <v>172</v>
      </c>
      <c r="DN98" t="s">
        <v>525</v>
      </c>
      <c r="DV98" s="3">
        <v>218949.35</v>
      </c>
      <c r="DW98">
        <v>0</v>
      </c>
      <c r="DX98" s="3">
        <v>218949.35</v>
      </c>
      <c r="DY98">
        <v>0</v>
      </c>
      <c r="EF98" s="1">
        <v>46169</v>
      </c>
      <c r="EG98" s="1">
        <v>46167</v>
      </c>
      <c r="EK98" s="1">
        <v>46169</v>
      </c>
      <c r="EM98" s="1">
        <v>46167</v>
      </c>
      <c r="EN98" t="s">
        <v>172</v>
      </c>
      <c r="EP98" s="1">
        <v>46167</v>
      </c>
      <c r="EU98" s="1">
        <v>46167</v>
      </c>
      <c r="EW98" s="1">
        <v>46150</v>
      </c>
    </row>
    <row r="99" spans="1:153" x14ac:dyDescent="0.35">
      <c r="A99" t="str">
        <f>HYPERLINK("https://7lm.cvcrm.com.br/gestor/comercial/reservas/7062/administrar","7062")</f>
        <v>7062</v>
      </c>
      <c r="B99" t="s">
        <v>172</v>
      </c>
      <c r="C99" s="1">
        <v>46149</v>
      </c>
      <c r="D99" s="2">
        <v>0.97862268518518514</v>
      </c>
      <c r="E99" t="s">
        <v>527</v>
      </c>
      <c r="F99" t="s">
        <v>1010</v>
      </c>
      <c r="G99" t="s">
        <v>159</v>
      </c>
      <c r="H99" t="s">
        <v>759</v>
      </c>
      <c r="I99" t="s">
        <v>1011</v>
      </c>
      <c r="J99">
        <v>40.19</v>
      </c>
      <c r="K99">
        <v>8182</v>
      </c>
      <c r="L99">
        <v>40001</v>
      </c>
      <c r="M99" t="s">
        <v>1012</v>
      </c>
      <c r="R99" t="str">
        <f>HYPERLINK("https://7lm.cvcrm.com.br/gestor/relatorios/associado/html?q[1|r.idreserva]=7062","JORDAN RIBEIRO VASCONCELOS - LEAD TESTE")</f>
        <v>JORDAN RIBEIRO VASCONCELOS - LEAD TESTE</v>
      </c>
      <c r="S99">
        <v>4484982196</v>
      </c>
      <c r="T99">
        <v>5561998319769</v>
      </c>
      <c r="V99" t="s">
        <v>1013</v>
      </c>
      <c r="W99" t="s">
        <v>163</v>
      </c>
      <c r="X99" t="s">
        <v>521</v>
      </c>
      <c r="Y99" t="s">
        <v>189</v>
      </c>
      <c r="Z99" t="s">
        <v>190</v>
      </c>
      <c r="AA99" t="s">
        <v>377</v>
      </c>
      <c r="AB99" t="s">
        <v>1014</v>
      </c>
      <c r="AC99" t="s">
        <v>1015</v>
      </c>
      <c r="AF99" t="s">
        <v>1016</v>
      </c>
      <c r="AG99" t="s">
        <v>284</v>
      </c>
      <c r="AH99" s="3">
        <v>195000</v>
      </c>
      <c r="AI99" s="3">
        <v>195000</v>
      </c>
      <c r="AJ99" s="1">
        <v>46180</v>
      </c>
      <c r="AN99" t="s">
        <v>172</v>
      </c>
      <c r="AO99" t="s">
        <v>1017</v>
      </c>
      <c r="AP99" t="s">
        <v>1017</v>
      </c>
      <c r="AT99" t="s">
        <v>196</v>
      </c>
      <c r="AU99" t="s">
        <v>292</v>
      </c>
      <c r="AW99">
        <v>0</v>
      </c>
      <c r="AX99" s="1">
        <v>46168</v>
      </c>
      <c r="AY99" s="2">
        <v>0.52690972222222221</v>
      </c>
      <c r="AZ99">
        <v>104545</v>
      </c>
      <c r="BA99" s="1">
        <v>45307</v>
      </c>
      <c r="BC99" t="s">
        <v>213</v>
      </c>
      <c r="BD99" s="1">
        <v>45307</v>
      </c>
      <c r="BE99" t="s">
        <v>213</v>
      </c>
      <c r="BL99" s="4">
        <v>0</v>
      </c>
      <c r="BM99" s="1">
        <v>47239</v>
      </c>
      <c r="BO99">
        <v>0</v>
      </c>
      <c r="BP99">
        <v>32136</v>
      </c>
      <c r="BQ99" t="s">
        <v>156</v>
      </c>
      <c r="BR99">
        <v>0</v>
      </c>
      <c r="BS99">
        <v>0</v>
      </c>
      <c r="BT99">
        <v>0</v>
      </c>
      <c r="BU99">
        <v>0</v>
      </c>
      <c r="BV99" s="3">
        <v>195000</v>
      </c>
      <c r="BX99">
        <v>0</v>
      </c>
      <c r="BZ99">
        <v>0</v>
      </c>
      <c r="CA99">
        <v>0</v>
      </c>
      <c r="CB99">
        <v>0</v>
      </c>
      <c r="CC99" s="3">
        <v>195000</v>
      </c>
      <c r="CD99" s="5">
        <v>0</v>
      </c>
      <c r="CF99" s="6">
        <v>46143</v>
      </c>
      <c r="CH99">
        <v>0</v>
      </c>
      <c r="CI99">
        <v>0</v>
      </c>
      <c r="CJ99">
        <v>0</v>
      </c>
      <c r="CK99">
        <v>0</v>
      </c>
      <c r="CL99">
        <v>0</v>
      </c>
      <c r="CM99">
        <v>0</v>
      </c>
      <c r="CN99">
        <v>0</v>
      </c>
      <c r="CO99">
        <v>0</v>
      </c>
      <c r="CP99">
        <v>0</v>
      </c>
      <c r="CQ99">
        <v>0</v>
      </c>
      <c r="CR99">
        <v>0</v>
      </c>
      <c r="CT99" t="s">
        <v>1018</v>
      </c>
      <c r="CU99" t="s">
        <v>1011</v>
      </c>
      <c r="CW99">
        <v>0</v>
      </c>
      <c r="CZ99" s="1">
        <v>46149</v>
      </c>
      <c r="DA99" t="s">
        <v>172</v>
      </c>
      <c r="DB99" t="s">
        <v>172</v>
      </c>
      <c r="DC99" t="s">
        <v>172</v>
      </c>
      <c r="DD99" t="s">
        <v>172</v>
      </c>
      <c r="DG99" s="1">
        <v>46149</v>
      </c>
      <c r="DH99">
        <v>0</v>
      </c>
      <c r="DI99">
        <v>0</v>
      </c>
      <c r="DL99" t="s">
        <v>1019</v>
      </c>
      <c r="DM99" t="s">
        <v>172</v>
      </c>
      <c r="DN99" t="s">
        <v>201</v>
      </c>
      <c r="DV99" s="3">
        <v>195000</v>
      </c>
      <c r="DW99">
        <v>0</v>
      </c>
      <c r="DX99" s="3">
        <v>195000</v>
      </c>
      <c r="DY99">
        <v>0</v>
      </c>
    </row>
    <row r="100" spans="1:153" ht="246.5" x14ac:dyDescent="0.35">
      <c r="A100" t="str">
        <f>HYPERLINK("https://7lm.cvcrm.com.br/gestor/comercial/reservas/7061/administrar","7061")</f>
        <v>7061</v>
      </c>
      <c r="B100" t="s">
        <v>156</v>
      </c>
      <c r="C100" s="1">
        <v>46149</v>
      </c>
      <c r="D100" s="2">
        <v>0.78850694444444447</v>
      </c>
      <c r="E100" t="s">
        <v>294</v>
      </c>
      <c r="F100" t="s">
        <v>182</v>
      </c>
      <c r="G100" t="s">
        <v>159</v>
      </c>
      <c r="H100" t="s">
        <v>592</v>
      </c>
      <c r="I100" t="s">
        <v>1020</v>
      </c>
      <c r="J100">
        <v>1</v>
      </c>
      <c r="K100">
        <v>8530</v>
      </c>
      <c r="L100">
        <v>30151</v>
      </c>
      <c r="M100" t="s">
        <v>1021</v>
      </c>
      <c r="N100" s="1">
        <v>46164</v>
      </c>
      <c r="O100" s="2">
        <v>0.68851851851851853</v>
      </c>
      <c r="Q100">
        <v>10041</v>
      </c>
      <c r="R100" t="str">
        <f>HYPERLINK("https://7lm.cvcrm.com.br/gestor/relatorios/associado/html?q[1|r.idreserva]=7061","ILMA FERREIRA DOS SANTOS")</f>
        <v>ILMA FERREIRA DOS SANTOS</v>
      </c>
      <c r="S100">
        <v>1577142179</v>
      </c>
      <c r="T100">
        <v>5561996397294</v>
      </c>
      <c r="U100">
        <v>5561996160283</v>
      </c>
      <c r="V100" t="s">
        <v>1022</v>
      </c>
      <c r="W100" t="s">
        <v>187</v>
      </c>
      <c r="X100" t="s">
        <v>1023</v>
      </c>
      <c r="Y100" t="s">
        <v>189</v>
      </c>
      <c r="Z100" t="s">
        <v>190</v>
      </c>
      <c r="AA100" t="s">
        <v>1024</v>
      </c>
      <c r="AB100" t="s">
        <v>1025</v>
      </c>
      <c r="AC100" t="s">
        <v>857</v>
      </c>
      <c r="AD100" t="s">
        <v>857</v>
      </c>
      <c r="AF100" t="s">
        <v>250</v>
      </c>
      <c r="AG100" t="s">
        <v>195</v>
      </c>
      <c r="AH100" s="3">
        <v>240634.49</v>
      </c>
      <c r="AI100" s="3">
        <v>240634.49</v>
      </c>
      <c r="AJ100" s="1">
        <v>46180</v>
      </c>
      <c r="AN100" t="s">
        <v>172</v>
      </c>
      <c r="AR100" s="7" t="s">
        <v>353</v>
      </c>
      <c r="AT100" t="s">
        <v>173</v>
      </c>
      <c r="AU100" t="s">
        <v>175</v>
      </c>
      <c r="AW100">
        <v>0</v>
      </c>
      <c r="AX100" s="1">
        <v>46169</v>
      </c>
      <c r="AY100" s="2">
        <v>0.43462962962962964</v>
      </c>
      <c r="AZ100">
        <v>200271</v>
      </c>
      <c r="BA100" s="1">
        <v>46121</v>
      </c>
      <c r="BC100" t="s">
        <v>213</v>
      </c>
      <c r="BD100" s="1">
        <v>46121</v>
      </c>
      <c r="BE100" t="s">
        <v>175</v>
      </c>
      <c r="BL100" s="4">
        <v>0</v>
      </c>
      <c r="BM100" s="1">
        <v>46899</v>
      </c>
      <c r="BN100" s="1">
        <v>46169</v>
      </c>
      <c r="BO100">
        <v>0</v>
      </c>
      <c r="BP100">
        <v>30761</v>
      </c>
      <c r="BQ100" t="s">
        <v>156</v>
      </c>
      <c r="BR100" s="3">
        <v>119260.36</v>
      </c>
      <c r="BS100" s="3">
        <v>42507</v>
      </c>
      <c r="BT100">
        <v>0</v>
      </c>
      <c r="BU100" s="3">
        <v>161767.35999999999</v>
      </c>
      <c r="BV100" s="3">
        <v>240634.49</v>
      </c>
      <c r="BX100">
        <v>0</v>
      </c>
      <c r="BZ100">
        <v>0</v>
      </c>
      <c r="CA100">
        <v>0</v>
      </c>
      <c r="CB100">
        <v>0</v>
      </c>
      <c r="CC100" s="3">
        <v>240634.49</v>
      </c>
      <c r="CD100" s="5">
        <v>0</v>
      </c>
      <c r="CF100" s="6">
        <v>46143</v>
      </c>
      <c r="CH100">
        <v>0</v>
      </c>
      <c r="CI100">
        <v>0</v>
      </c>
      <c r="CJ100">
        <v>0</v>
      </c>
      <c r="CK100">
        <v>0</v>
      </c>
      <c r="CL100">
        <v>0</v>
      </c>
      <c r="CM100">
        <v>0</v>
      </c>
      <c r="CN100">
        <v>0</v>
      </c>
      <c r="CO100">
        <v>0</v>
      </c>
      <c r="CP100">
        <v>0</v>
      </c>
      <c r="CQ100">
        <v>0</v>
      </c>
      <c r="CR100">
        <v>0</v>
      </c>
      <c r="CS100" t="s">
        <v>360</v>
      </c>
      <c r="CT100" t="s">
        <v>190</v>
      </c>
      <c r="CU100" t="s">
        <v>1020</v>
      </c>
      <c r="CW100">
        <v>-51.051099999999998</v>
      </c>
      <c r="CZ100" s="1">
        <v>46149</v>
      </c>
      <c r="DA100" t="s">
        <v>172</v>
      </c>
      <c r="DB100" t="s">
        <v>172</v>
      </c>
      <c r="DC100" t="s">
        <v>172</v>
      </c>
      <c r="DD100" t="s">
        <v>172</v>
      </c>
      <c r="DG100" s="1">
        <v>46149</v>
      </c>
      <c r="DH100">
        <v>0</v>
      </c>
      <c r="DI100">
        <v>0</v>
      </c>
      <c r="DJ100" s="1">
        <v>46169</v>
      </c>
      <c r="DK100" t="s">
        <v>179</v>
      </c>
      <c r="DL100" t="s">
        <v>200</v>
      </c>
      <c r="DM100" t="s">
        <v>172</v>
      </c>
      <c r="DN100" t="s">
        <v>201</v>
      </c>
      <c r="DV100" s="3">
        <v>240634.49</v>
      </c>
      <c r="DW100">
        <v>0</v>
      </c>
      <c r="DX100" s="3">
        <v>240634.49</v>
      </c>
      <c r="DY100">
        <v>0</v>
      </c>
      <c r="EF100" s="1">
        <v>46164</v>
      </c>
      <c r="EG100" s="1">
        <v>46161</v>
      </c>
      <c r="EK100" s="1">
        <v>46164</v>
      </c>
      <c r="EL100" s="1">
        <v>46164</v>
      </c>
      <c r="EN100" t="s">
        <v>156</v>
      </c>
      <c r="EP100" s="1">
        <v>46167</v>
      </c>
      <c r="EQ100" s="1">
        <v>46167</v>
      </c>
      <c r="ER100" s="1">
        <v>46164</v>
      </c>
      <c r="ES100" t="s">
        <v>688</v>
      </c>
      <c r="ET100" t="s">
        <v>1026</v>
      </c>
      <c r="EU100" s="1">
        <v>46156</v>
      </c>
      <c r="EV100" s="1">
        <v>46167</v>
      </c>
      <c r="EW100" s="1">
        <v>46149</v>
      </c>
    </row>
    <row r="101" spans="1:153" ht="246.5" x14ac:dyDescent="0.35">
      <c r="A101" t="str">
        <f>HYPERLINK("https://7lm.cvcrm.com.br/gestor/comercial/reservas/7060/administrar","7060")</f>
        <v>7060</v>
      </c>
      <c r="B101" t="s">
        <v>156</v>
      </c>
      <c r="C101" s="1">
        <v>46149</v>
      </c>
      <c r="D101" s="2">
        <v>0.77633101851851849</v>
      </c>
      <c r="E101" t="s">
        <v>294</v>
      </c>
      <c r="F101" t="s">
        <v>202</v>
      </c>
      <c r="G101" t="s">
        <v>203</v>
      </c>
      <c r="H101" t="s">
        <v>404</v>
      </c>
      <c r="I101" t="s">
        <v>1027</v>
      </c>
      <c r="J101">
        <v>1</v>
      </c>
      <c r="K101">
        <v>8449</v>
      </c>
      <c r="L101">
        <v>20031</v>
      </c>
      <c r="M101" t="s">
        <v>1028</v>
      </c>
      <c r="N101" s="1">
        <v>46161</v>
      </c>
      <c r="O101" s="2">
        <v>0.611724537037037</v>
      </c>
      <c r="Q101">
        <v>9956</v>
      </c>
      <c r="R101" t="str">
        <f>HYPERLINK("https://7lm.cvcrm.com.br/gestor/relatorios/associado/html?q[1|r.idreserva]=7060","NATHALIA OLIVEIRA FERREIRA")</f>
        <v>NATHALIA OLIVEIRA FERREIRA</v>
      </c>
      <c r="S101">
        <v>7748255105</v>
      </c>
      <c r="T101">
        <v>5561995063970</v>
      </c>
      <c r="U101">
        <v>5561995168166</v>
      </c>
      <c r="V101" t="s">
        <v>1029</v>
      </c>
      <c r="W101" t="s">
        <v>163</v>
      </c>
      <c r="X101" t="s">
        <v>299</v>
      </c>
      <c r="Y101" t="s">
        <v>165</v>
      </c>
      <c r="Z101" t="s">
        <v>1030</v>
      </c>
      <c r="AA101" t="s">
        <v>1031</v>
      </c>
      <c r="AB101" t="s">
        <v>1032</v>
      </c>
      <c r="AC101" t="s">
        <v>425</v>
      </c>
      <c r="AF101" t="s">
        <v>389</v>
      </c>
      <c r="AG101" t="s">
        <v>195</v>
      </c>
      <c r="AH101" s="3">
        <v>219998.69</v>
      </c>
      <c r="AI101" s="3">
        <v>219998.69</v>
      </c>
      <c r="AJ101" s="1">
        <v>46218</v>
      </c>
      <c r="AN101" t="s">
        <v>172</v>
      </c>
      <c r="AR101" s="7" t="s">
        <v>353</v>
      </c>
      <c r="AT101" t="s">
        <v>400</v>
      </c>
      <c r="AU101" t="s">
        <v>292</v>
      </c>
      <c r="AW101">
        <v>0</v>
      </c>
      <c r="AX101" s="1">
        <v>46157</v>
      </c>
      <c r="AY101" s="2">
        <v>0.60440972222222222</v>
      </c>
      <c r="AZ101">
        <v>207332</v>
      </c>
      <c r="BA101" s="1">
        <v>46146</v>
      </c>
      <c r="BC101" t="s">
        <v>0</v>
      </c>
      <c r="BD101" s="1">
        <v>46149</v>
      </c>
      <c r="BE101" t="s">
        <v>198</v>
      </c>
      <c r="BL101" s="4">
        <v>0</v>
      </c>
      <c r="BM101" s="1">
        <v>46808</v>
      </c>
      <c r="BN101" s="1">
        <v>46157</v>
      </c>
      <c r="BO101">
        <v>0</v>
      </c>
      <c r="BP101">
        <v>32037</v>
      </c>
      <c r="BQ101" t="s">
        <v>156</v>
      </c>
      <c r="BR101" s="3">
        <v>110648.61</v>
      </c>
      <c r="BS101" s="3">
        <v>53508</v>
      </c>
      <c r="BT101">
        <v>0</v>
      </c>
      <c r="BU101" s="3">
        <v>164156.60999999999</v>
      </c>
      <c r="BV101" s="3">
        <v>219998.69</v>
      </c>
      <c r="BX101">
        <v>0</v>
      </c>
      <c r="BZ101">
        <v>0</v>
      </c>
      <c r="CA101">
        <v>0</v>
      </c>
      <c r="CB101">
        <v>0</v>
      </c>
      <c r="CC101" s="3">
        <v>219998.69</v>
      </c>
      <c r="CD101" s="5">
        <v>0</v>
      </c>
      <c r="CF101" s="6">
        <v>46143</v>
      </c>
      <c r="CH101">
        <v>0</v>
      </c>
      <c r="CI101">
        <v>0</v>
      </c>
      <c r="CJ101">
        <v>0</v>
      </c>
      <c r="CK101">
        <v>0</v>
      </c>
      <c r="CL101">
        <v>0</v>
      </c>
      <c r="CM101">
        <v>0</v>
      </c>
      <c r="CN101">
        <v>0</v>
      </c>
      <c r="CO101">
        <v>0</v>
      </c>
      <c r="CP101">
        <v>0</v>
      </c>
      <c r="CQ101">
        <v>0</v>
      </c>
      <c r="CR101">
        <v>0</v>
      </c>
      <c r="CS101" t="s">
        <v>360</v>
      </c>
      <c r="CT101" t="s">
        <v>214</v>
      </c>
      <c r="CU101" t="s">
        <v>1027</v>
      </c>
      <c r="CW101">
        <v>-54.991</v>
      </c>
      <c r="CZ101" s="1">
        <v>46149</v>
      </c>
      <c r="DA101" t="s">
        <v>172</v>
      </c>
      <c r="DB101" t="s">
        <v>172</v>
      </c>
      <c r="DC101" t="s">
        <v>172</v>
      </c>
      <c r="DD101" t="s">
        <v>172</v>
      </c>
      <c r="DG101" s="1">
        <v>46149</v>
      </c>
      <c r="DH101">
        <v>0</v>
      </c>
      <c r="DI101">
        <v>0</v>
      </c>
      <c r="DJ101" s="1">
        <v>46157</v>
      </c>
      <c r="DL101" t="s">
        <v>215</v>
      </c>
      <c r="DM101" t="s">
        <v>172</v>
      </c>
      <c r="DN101" t="s">
        <v>225</v>
      </c>
      <c r="DV101" s="3">
        <v>219998.69</v>
      </c>
      <c r="DW101">
        <v>0</v>
      </c>
      <c r="DX101" s="3">
        <v>219998.69</v>
      </c>
      <c r="DY101">
        <v>0</v>
      </c>
      <c r="EF101" s="1">
        <v>46161</v>
      </c>
      <c r="EG101" s="1">
        <v>46157</v>
      </c>
      <c r="EK101" s="1">
        <v>46161</v>
      </c>
      <c r="EM101" s="1">
        <v>46157</v>
      </c>
      <c r="EN101" t="s">
        <v>156</v>
      </c>
      <c r="EP101" s="1">
        <v>46156</v>
      </c>
      <c r="ET101" t="s">
        <v>1033</v>
      </c>
      <c r="EU101" s="1">
        <v>46157</v>
      </c>
      <c r="EW101" s="1">
        <v>46154</v>
      </c>
    </row>
    <row r="102" spans="1:153" ht="246.5" x14ac:dyDescent="0.35">
      <c r="A102" t="str">
        <f>HYPERLINK("https://7lm.cvcrm.com.br/gestor/comercial/reservas/7059/administrar","7059")</f>
        <v>7059</v>
      </c>
      <c r="B102" t="s">
        <v>156</v>
      </c>
      <c r="C102" s="1">
        <v>46149</v>
      </c>
      <c r="D102" s="2">
        <v>0.76149305555555558</v>
      </c>
      <c r="E102" t="s">
        <v>294</v>
      </c>
      <c r="F102" t="s">
        <v>202</v>
      </c>
      <c r="G102" t="s">
        <v>203</v>
      </c>
      <c r="H102" t="s">
        <v>277</v>
      </c>
      <c r="I102" t="s">
        <v>682</v>
      </c>
      <c r="J102">
        <v>1</v>
      </c>
      <c r="K102">
        <v>8463</v>
      </c>
      <c r="L102">
        <v>20031</v>
      </c>
      <c r="M102" t="s">
        <v>1034</v>
      </c>
      <c r="N102" s="1">
        <v>46161</v>
      </c>
      <c r="O102" s="2">
        <v>0.62386574074074075</v>
      </c>
      <c r="Q102">
        <v>9966</v>
      </c>
      <c r="R102" t="str">
        <f>HYPERLINK("https://7lm.cvcrm.com.br/gestor/relatorios/associado/html?q[1|r.idreserva]=7059","BRUNO GUILHERME DA ROCHA")</f>
        <v>BRUNO GUILHERME DA ROCHA</v>
      </c>
      <c r="S102">
        <v>70344451178</v>
      </c>
      <c r="T102">
        <v>5562999574616</v>
      </c>
      <c r="U102">
        <v>5538998156322</v>
      </c>
      <c r="V102" t="s">
        <v>1035</v>
      </c>
      <c r="W102" t="s">
        <v>163</v>
      </c>
      <c r="X102" t="s">
        <v>1036</v>
      </c>
      <c r="Y102" t="s">
        <v>165</v>
      </c>
      <c r="Z102" t="s">
        <v>1030</v>
      </c>
      <c r="AA102" t="s">
        <v>1031</v>
      </c>
      <c r="AB102" t="s">
        <v>1032</v>
      </c>
      <c r="AC102" t="s">
        <v>425</v>
      </c>
      <c r="AF102" t="s">
        <v>389</v>
      </c>
      <c r="AG102" t="s">
        <v>195</v>
      </c>
      <c r="AH102" s="3">
        <v>222695.62</v>
      </c>
      <c r="AI102" s="3">
        <v>222695.62</v>
      </c>
      <c r="AJ102" s="1">
        <v>46522</v>
      </c>
      <c r="AN102" t="s">
        <v>172</v>
      </c>
      <c r="AR102" s="7" t="s">
        <v>353</v>
      </c>
      <c r="AT102" t="s">
        <v>196</v>
      </c>
      <c r="AU102" t="s">
        <v>262</v>
      </c>
      <c r="AW102">
        <v>0</v>
      </c>
      <c r="AX102" s="1">
        <v>46160</v>
      </c>
      <c r="AY102" s="2">
        <v>0.51238425925925923</v>
      </c>
      <c r="AZ102">
        <v>210681</v>
      </c>
      <c r="BA102" s="1">
        <v>46149</v>
      </c>
      <c r="BC102" t="s">
        <v>0</v>
      </c>
      <c r="BD102" s="1">
        <v>46149</v>
      </c>
      <c r="BE102" t="s">
        <v>213</v>
      </c>
      <c r="BL102" s="4">
        <v>0</v>
      </c>
      <c r="BM102" s="1">
        <v>46808</v>
      </c>
      <c r="BN102" s="1">
        <v>46160</v>
      </c>
      <c r="BO102">
        <v>0</v>
      </c>
      <c r="BP102">
        <v>32102</v>
      </c>
      <c r="BQ102" t="s">
        <v>156</v>
      </c>
      <c r="BR102" s="3">
        <v>145250.92000000001</v>
      </c>
      <c r="BS102" s="3">
        <v>21861</v>
      </c>
      <c r="BT102">
        <v>0</v>
      </c>
      <c r="BU102" s="3">
        <v>167111.92000000001</v>
      </c>
      <c r="BV102" s="3">
        <v>222695.62</v>
      </c>
      <c r="BX102">
        <v>0</v>
      </c>
      <c r="BZ102">
        <v>0</v>
      </c>
      <c r="CA102">
        <v>0</v>
      </c>
      <c r="CB102">
        <v>0</v>
      </c>
      <c r="CC102" s="3">
        <v>222695.62</v>
      </c>
      <c r="CD102" s="5">
        <v>0</v>
      </c>
      <c r="CF102" s="6">
        <v>46143</v>
      </c>
      <c r="CH102">
        <v>0</v>
      </c>
      <c r="CI102">
        <v>0</v>
      </c>
      <c r="CJ102">
        <v>0</v>
      </c>
      <c r="CK102">
        <v>0</v>
      </c>
      <c r="CL102">
        <v>0</v>
      </c>
      <c r="CM102">
        <v>0</v>
      </c>
      <c r="CN102">
        <v>0</v>
      </c>
      <c r="CO102">
        <v>0</v>
      </c>
      <c r="CP102">
        <v>0</v>
      </c>
      <c r="CQ102">
        <v>0</v>
      </c>
      <c r="CR102">
        <v>0</v>
      </c>
      <c r="CS102" t="s">
        <v>360</v>
      </c>
      <c r="CT102" t="s">
        <v>214</v>
      </c>
      <c r="CU102" t="s">
        <v>682</v>
      </c>
      <c r="CW102">
        <v>-54.3095</v>
      </c>
      <c r="CZ102" s="1">
        <v>46149</v>
      </c>
      <c r="DA102" t="s">
        <v>172</v>
      </c>
      <c r="DB102" t="s">
        <v>172</v>
      </c>
      <c r="DC102" t="s">
        <v>172</v>
      </c>
      <c r="DD102" t="s">
        <v>172</v>
      </c>
      <c r="DG102" s="1">
        <v>46149</v>
      </c>
      <c r="DH102">
        <v>0</v>
      </c>
      <c r="DI102">
        <v>0</v>
      </c>
      <c r="DJ102" s="1">
        <v>46160</v>
      </c>
      <c r="DL102" t="s">
        <v>215</v>
      </c>
      <c r="DM102" t="s">
        <v>172</v>
      </c>
      <c r="DN102" t="s">
        <v>225</v>
      </c>
      <c r="DV102" s="3">
        <v>222695.62</v>
      </c>
      <c r="DW102">
        <v>0</v>
      </c>
      <c r="DX102" s="3">
        <v>222695.62</v>
      </c>
      <c r="DY102">
        <v>0</v>
      </c>
      <c r="EF102" s="1">
        <v>46161</v>
      </c>
      <c r="EG102" s="1">
        <v>46157</v>
      </c>
      <c r="EK102" s="1">
        <v>46161</v>
      </c>
      <c r="EM102" s="1">
        <v>46157</v>
      </c>
      <c r="EN102" t="s">
        <v>156</v>
      </c>
      <c r="EP102" s="1">
        <v>46156</v>
      </c>
      <c r="ER102" s="1">
        <v>46156</v>
      </c>
      <c r="ES102" t="s">
        <v>1037</v>
      </c>
      <c r="ET102" t="s">
        <v>1038</v>
      </c>
      <c r="EU102" s="1">
        <v>46155</v>
      </c>
      <c r="EW102" s="1">
        <v>46149</v>
      </c>
    </row>
    <row r="103" spans="1:153" ht="246.5" x14ac:dyDescent="0.35">
      <c r="A103" t="str">
        <f>HYPERLINK("https://7lm.cvcrm.com.br/gestor/comercial/reservas/7058/administrar","7058")</f>
        <v>7058</v>
      </c>
      <c r="B103" t="s">
        <v>156</v>
      </c>
      <c r="C103" s="1">
        <v>46149</v>
      </c>
      <c r="D103" s="2">
        <v>0.5825231481481481</v>
      </c>
      <c r="E103" t="s">
        <v>294</v>
      </c>
      <c r="F103" t="s">
        <v>202</v>
      </c>
      <c r="G103" t="s">
        <v>203</v>
      </c>
      <c r="H103" t="s">
        <v>319</v>
      </c>
      <c r="I103" t="s">
        <v>1039</v>
      </c>
      <c r="J103">
        <v>1</v>
      </c>
      <c r="K103">
        <v>8459</v>
      </c>
      <c r="L103">
        <v>20031</v>
      </c>
      <c r="M103" t="s">
        <v>1040</v>
      </c>
      <c r="N103" s="1">
        <v>46161</v>
      </c>
      <c r="O103" s="2">
        <v>0.30635416666666665</v>
      </c>
      <c r="Q103">
        <v>9962</v>
      </c>
      <c r="R103" t="str">
        <f>HYPERLINK("https://7lm.cvcrm.com.br/gestor/relatorios/associado/html?q[1|r.idreserva]=7058","GABRIELLE MACHADO FERRO ROCHA")</f>
        <v>GABRIELLE MACHADO FERRO ROCHA</v>
      </c>
      <c r="S103">
        <v>8233456101</v>
      </c>
      <c r="T103">
        <v>5561986128718</v>
      </c>
      <c r="U103">
        <v>5561984765340</v>
      </c>
      <c r="V103" t="s">
        <v>1041</v>
      </c>
      <c r="W103" t="s">
        <v>187</v>
      </c>
      <c r="Y103" t="s">
        <v>189</v>
      </c>
      <c r="Z103" t="s">
        <v>214</v>
      </c>
      <c r="AA103" t="s">
        <v>1042</v>
      </c>
      <c r="AB103" t="s">
        <v>1043</v>
      </c>
      <c r="AC103" t="s">
        <v>1044</v>
      </c>
      <c r="AD103" t="s">
        <v>1045</v>
      </c>
      <c r="AF103" t="s">
        <v>212</v>
      </c>
      <c r="AG103" t="s">
        <v>195</v>
      </c>
      <c r="AH103" s="3">
        <v>214219.74</v>
      </c>
      <c r="AI103" s="3">
        <v>214219.74</v>
      </c>
      <c r="AJ103" s="1">
        <v>46208</v>
      </c>
      <c r="AN103" t="s">
        <v>172</v>
      </c>
      <c r="AR103" s="7" t="s">
        <v>353</v>
      </c>
      <c r="AT103" t="s">
        <v>196</v>
      </c>
      <c r="AU103" t="s">
        <v>175</v>
      </c>
      <c r="AW103">
        <v>0</v>
      </c>
      <c r="AX103" s="1">
        <v>46157</v>
      </c>
      <c r="AY103" s="2">
        <v>0.78187499999999999</v>
      </c>
      <c r="AZ103">
        <v>210627</v>
      </c>
      <c r="BA103" s="1">
        <v>46149</v>
      </c>
      <c r="BC103" t="s">
        <v>213</v>
      </c>
      <c r="BD103" s="1">
        <v>46149</v>
      </c>
      <c r="BE103" t="s">
        <v>175</v>
      </c>
      <c r="BL103" s="4">
        <v>0</v>
      </c>
      <c r="BM103" s="1">
        <v>46808</v>
      </c>
      <c r="BN103" s="1">
        <v>46157</v>
      </c>
      <c r="BO103">
        <v>0</v>
      </c>
      <c r="BP103">
        <v>32093</v>
      </c>
      <c r="BQ103" t="s">
        <v>156</v>
      </c>
      <c r="BR103" s="3">
        <v>122937.75</v>
      </c>
      <c r="BS103" s="3">
        <v>42743</v>
      </c>
      <c r="BT103">
        <v>0</v>
      </c>
      <c r="BU103" s="3">
        <v>165680.75</v>
      </c>
      <c r="BV103" s="3">
        <v>214219.74</v>
      </c>
      <c r="BX103">
        <v>0</v>
      </c>
      <c r="BZ103">
        <v>0</v>
      </c>
      <c r="CA103">
        <v>0</v>
      </c>
      <c r="CB103">
        <v>0</v>
      </c>
      <c r="CC103" s="3">
        <v>214219.74</v>
      </c>
      <c r="CD103" s="5">
        <v>0</v>
      </c>
      <c r="CF103" s="6">
        <v>46143</v>
      </c>
      <c r="CH103">
        <v>0</v>
      </c>
      <c r="CI103">
        <v>0</v>
      </c>
      <c r="CJ103">
        <v>0</v>
      </c>
      <c r="CK103">
        <v>0</v>
      </c>
      <c r="CL103">
        <v>0</v>
      </c>
      <c r="CM103">
        <v>0</v>
      </c>
      <c r="CN103">
        <v>0</v>
      </c>
      <c r="CO103">
        <v>0</v>
      </c>
      <c r="CP103">
        <v>0</v>
      </c>
      <c r="CQ103">
        <v>0</v>
      </c>
      <c r="CR103">
        <v>0</v>
      </c>
      <c r="CS103" t="s">
        <v>360</v>
      </c>
      <c r="CT103" t="s">
        <v>214</v>
      </c>
      <c r="CU103" t="s">
        <v>1039</v>
      </c>
      <c r="CW103">
        <v>-56.180999999999997</v>
      </c>
      <c r="CZ103" s="1">
        <v>46149</v>
      </c>
      <c r="DA103" t="s">
        <v>172</v>
      </c>
      <c r="DB103" t="s">
        <v>172</v>
      </c>
      <c r="DC103" t="s">
        <v>172</v>
      </c>
      <c r="DD103" t="s">
        <v>172</v>
      </c>
      <c r="DG103" s="1">
        <v>46149</v>
      </c>
      <c r="DH103">
        <v>0</v>
      </c>
      <c r="DI103">
        <v>0</v>
      </c>
      <c r="DJ103" s="1">
        <v>46157</v>
      </c>
      <c r="DL103" t="s">
        <v>224</v>
      </c>
      <c r="DM103" t="s">
        <v>172</v>
      </c>
      <c r="DN103" t="s">
        <v>525</v>
      </c>
      <c r="DV103" s="3">
        <v>214219.74</v>
      </c>
      <c r="DW103">
        <v>0</v>
      </c>
      <c r="DX103" s="3">
        <v>214219.74</v>
      </c>
      <c r="DY103">
        <v>0</v>
      </c>
      <c r="EG103" s="1">
        <v>46156</v>
      </c>
      <c r="EM103" s="1">
        <v>46157</v>
      </c>
      <c r="EN103" t="s">
        <v>156</v>
      </c>
      <c r="EP103" s="1">
        <v>46156</v>
      </c>
      <c r="EU103" s="1">
        <v>46155</v>
      </c>
      <c r="EV103" s="1">
        <v>46149</v>
      </c>
      <c r="EW103" s="1">
        <v>46149</v>
      </c>
    </row>
    <row r="104" spans="1:153" ht="246.5" x14ac:dyDescent="0.35">
      <c r="A104" t="str">
        <f>HYPERLINK("https://7lm.cvcrm.com.br/gestor/comercial/reservas/7057/administrar","7057")</f>
        <v>7057</v>
      </c>
      <c r="B104" t="s">
        <v>156</v>
      </c>
      <c r="C104" s="1">
        <v>46149</v>
      </c>
      <c r="D104" s="2">
        <v>0.52633101851851849</v>
      </c>
      <c r="E104" t="s">
        <v>294</v>
      </c>
      <c r="F104" t="s">
        <v>202</v>
      </c>
      <c r="G104" t="s">
        <v>203</v>
      </c>
      <c r="H104" t="s">
        <v>391</v>
      </c>
      <c r="I104" t="s">
        <v>503</v>
      </c>
      <c r="J104">
        <v>1</v>
      </c>
      <c r="K104">
        <v>8425</v>
      </c>
      <c r="L104">
        <v>20031</v>
      </c>
      <c r="M104" t="s">
        <v>1046</v>
      </c>
      <c r="N104" s="1">
        <v>46156</v>
      </c>
      <c r="O104" s="2">
        <v>0.53290509259259256</v>
      </c>
      <c r="R104" t="str">
        <f>HYPERLINK("https://7lm.cvcrm.com.br/gestor/relatorios/associado/html?q[1|r.idreserva]=7057","JUCIELLE LIMA FERREIRA")</f>
        <v>JUCIELLE LIMA FERREIRA</v>
      </c>
      <c r="S104">
        <v>6611314164</v>
      </c>
      <c r="T104">
        <v>5561995267158</v>
      </c>
      <c r="U104">
        <v>5561998454806</v>
      </c>
      <c r="V104" t="s">
        <v>1047</v>
      </c>
      <c r="W104" t="s">
        <v>187</v>
      </c>
      <c r="X104" t="s">
        <v>1048</v>
      </c>
      <c r="Y104" t="s">
        <v>189</v>
      </c>
      <c r="Z104" t="s">
        <v>214</v>
      </c>
      <c r="AA104" t="s">
        <v>1049</v>
      </c>
      <c r="AB104" t="s">
        <v>1050</v>
      </c>
      <c r="AC104" t="s">
        <v>314</v>
      </c>
      <c r="AF104" t="s">
        <v>315</v>
      </c>
      <c r="AG104" t="s">
        <v>195</v>
      </c>
      <c r="AH104" s="3">
        <v>223900.16</v>
      </c>
      <c r="AI104" s="3">
        <v>223900.16</v>
      </c>
      <c r="AJ104" s="1">
        <v>46218</v>
      </c>
      <c r="AN104" t="s">
        <v>172</v>
      </c>
      <c r="AR104" s="7" t="s">
        <v>353</v>
      </c>
      <c r="AT104" t="s">
        <v>196</v>
      </c>
      <c r="AU104" t="s">
        <v>316</v>
      </c>
      <c r="AW104">
        <v>0</v>
      </c>
      <c r="AX104" s="1">
        <v>46154</v>
      </c>
      <c r="AY104" s="2">
        <v>0.45586805555555554</v>
      </c>
      <c r="AZ104">
        <v>206087</v>
      </c>
      <c r="BA104" s="1">
        <v>46140</v>
      </c>
      <c r="BC104" t="s">
        <v>0</v>
      </c>
      <c r="BD104" s="1">
        <v>46149</v>
      </c>
      <c r="BE104" t="s">
        <v>198</v>
      </c>
      <c r="BL104" s="4">
        <v>0</v>
      </c>
      <c r="BM104" s="1">
        <v>46808</v>
      </c>
      <c r="BN104" s="1">
        <v>46154</v>
      </c>
      <c r="BO104">
        <v>0</v>
      </c>
      <c r="BP104">
        <v>31945</v>
      </c>
      <c r="BQ104" t="s">
        <v>156</v>
      </c>
      <c r="BR104" s="3">
        <v>113875.88</v>
      </c>
      <c r="BS104" s="3">
        <v>50166</v>
      </c>
      <c r="BT104">
        <v>0</v>
      </c>
      <c r="BU104" s="3">
        <v>164041.88</v>
      </c>
      <c r="BV104" s="3">
        <v>223900.16</v>
      </c>
      <c r="BX104">
        <v>0</v>
      </c>
      <c r="BZ104">
        <v>0</v>
      </c>
      <c r="CA104">
        <v>0</v>
      </c>
      <c r="CB104">
        <v>0</v>
      </c>
      <c r="CC104" s="3">
        <v>223900.16</v>
      </c>
      <c r="CD104" s="5">
        <v>0</v>
      </c>
      <c r="CF104" s="6">
        <v>46143</v>
      </c>
      <c r="CH104">
        <v>0</v>
      </c>
      <c r="CI104">
        <v>0</v>
      </c>
      <c r="CJ104">
        <v>0</v>
      </c>
      <c r="CK104">
        <v>0</v>
      </c>
      <c r="CL104">
        <v>0</v>
      </c>
      <c r="CM104">
        <v>0</v>
      </c>
      <c r="CN104">
        <v>0</v>
      </c>
      <c r="CO104">
        <v>0</v>
      </c>
      <c r="CP104">
        <v>0</v>
      </c>
      <c r="CQ104">
        <v>0</v>
      </c>
      <c r="CR104">
        <v>0</v>
      </c>
      <c r="CS104" t="s">
        <v>360</v>
      </c>
      <c r="CT104" t="s">
        <v>214</v>
      </c>
      <c r="CU104" t="s">
        <v>503</v>
      </c>
      <c r="CW104">
        <v>-52.8536</v>
      </c>
      <c r="CZ104" s="1">
        <v>46149</v>
      </c>
      <c r="DA104" t="s">
        <v>172</v>
      </c>
      <c r="DB104" t="s">
        <v>172</v>
      </c>
      <c r="DC104" t="s">
        <v>172</v>
      </c>
      <c r="DD104" t="s">
        <v>172</v>
      </c>
      <c r="DG104" s="1">
        <v>46149</v>
      </c>
      <c r="DH104">
        <v>0</v>
      </c>
      <c r="DI104">
        <v>0</v>
      </c>
      <c r="DJ104" s="1">
        <v>46154</v>
      </c>
      <c r="DL104" t="s">
        <v>215</v>
      </c>
      <c r="DM104" t="s">
        <v>172</v>
      </c>
      <c r="DN104" t="s">
        <v>225</v>
      </c>
      <c r="DV104" s="3">
        <v>223900.16</v>
      </c>
      <c r="DW104">
        <v>0</v>
      </c>
      <c r="DX104" s="3">
        <v>223900.16</v>
      </c>
      <c r="DY104">
        <v>0</v>
      </c>
      <c r="EG104" s="1">
        <v>46154</v>
      </c>
      <c r="EN104" t="s">
        <v>156</v>
      </c>
      <c r="EP104" s="1">
        <v>46153</v>
      </c>
      <c r="ER104" s="1">
        <v>46153</v>
      </c>
      <c r="ES104" t="s">
        <v>1051</v>
      </c>
      <c r="EW104" s="1">
        <v>46149</v>
      </c>
    </row>
    <row r="105" spans="1:153" ht="246.5" x14ac:dyDescent="0.35">
      <c r="A105" t="str">
        <f>HYPERLINK("https://7lm.cvcrm.com.br/gestor/comercial/reservas/7056/administrar","7056")</f>
        <v>7056</v>
      </c>
      <c r="B105" t="s">
        <v>156</v>
      </c>
      <c r="C105" s="1">
        <v>46149</v>
      </c>
      <c r="D105" s="2">
        <v>0.51131944444444444</v>
      </c>
      <c r="E105" t="s">
        <v>294</v>
      </c>
      <c r="F105" t="s">
        <v>182</v>
      </c>
      <c r="G105" t="s">
        <v>159</v>
      </c>
      <c r="H105" t="s">
        <v>704</v>
      </c>
      <c r="I105" t="s">
        <v>1052</v>
      </c>
      <c r="J105">
        <v>1</v>
      </c>
      <c r="K105">
        <v>8471</v>
      </c>
      <c r="L105">
        <v>30151</v>
      </c>
      <c r="M105" t="s">
        <v>1053</v>
      </c>
      <c r="N105" s="1">
        <v>46169</v>
      </c>
      <c r="O105" s="2">
        <v>0.68277777777777782</v>
      </c>
      <c r="Q105">
        <v>9972</v>
      </c>
      <c r="R105" t="str">
        <f>HYPERLINK("https://7lm.cvcrm.com.br/gestor/relatorios/associado/html?q[1|r.idreserva]=7056","SANTA PEREIRA DOS SANTOS")</f>
        <v>SANTA PEREIRA DOS SANTOS</v>
      </c>
      <c r="S105">
        <v>4955264107</v>
      </c>
      <c r="T105">
        <v>556199141413</v>
      </c>
      <c r="U105">
        <v>556198220357</v>
      </c>
      <c r="V105" t="s">
        <v>1054</v>
      </c>
      <c r="W105" t="s">
        <v>187</v>
      </c>
      <c r="X105" t="s">
        <v>269</v>
      </c>
      <c r="Y105" t="s">
        <v>189</v>
      </c>
      <c r="Z105" t="s">
        <v>190</v>
      </c>
      <c r="AA105" t="s">
        <v>332</v>
      </c>
      <c r="AB105" t="s">
        <v>1055</v>
      </c>
      <c r="AC105" t="s">
        <v>1056</v>
      </c>
      <c r="AF105" t="s">
        <v>399</v>
      </c>
      <c r="AG105" t="s">
        <v>251</v>
      </c>
      <c r="AH105" s="3">
        <v>256074.53</v>
      </c>
      <c r="AI105" s="3">
        <v>256074.53</v>
      </c>
      <c r="AJ105" s="1">
        <v>46148</v>
      </c>
      <c r="AN105" t="s">
        <v>172</v>
      </c>
      <c r="AR105" s="7" t="s">
        <v>353</v>
      </c>
      <c r="AT105" t="s">
        <v>400</v>
      </c>
      <c r="AU105" t="s">
        <v>316</v>
      </c>
      <c r="AW105">
        <v>0</v>
      </c>
      <c r="AX105" s="1">
        <v>46161</v>
      </c>
      <c r="AY105" s="2">
        <v>0.65652777777777782</v>
      </c>
      <c r="AZ105" t="s">
        <v>1057</v>
      </c>
      <c r="BA105" t="s">
        <v>1058</v>
      </c>
      <c r="BB105" t="s">
        <v>1059</v>
      </c>
      <c r="BC105" t="s">
        <v>485</v>
      </c>
      <c r="BD105" t="s">
        <v>1060</v>
      </c>
      <c r="BE105" t="s">
        <v>1061</v>
      </c>
      <c r="BL105" s="4">
        <v>0</v>
      </c>
      <c r="BM105" s="1">
        <v>46899</v>
      </c>
      <c r="BN105" s="1">
        <v>46161</v>
      </c>
      <c r="BO105">
        <v>0</v>
      </c>
      <c r="BP105">
        <v>31638</v>
      </c>
      <c r="BQ105" t="s">
        <v>156</v>
      </c>
      <c r="BR105" s="3">
        <v>138647.25</v>
      </c>
      <c r="BS105" s="3">
        <v>22310</v>
      </c>
      <c r="BT105">
        <v>0</v>
      </c>
      <c r="BU105" s="3">
        <v>160957.25</v>
      </c>
      <c r="BV105" s="3">
        <v>256074.53</v>
      </c>
      <c r="BX105">
        <v>0</v>
      </c>
      <c r="BZ105">
        <v>0</v>
      </c>
      <c r="CA105">
        <v>0</v>
      </c>
      <c r="CB105">
        <v>0</v>
      </c>
      <c r="CC105" s="3">
        <v>256074.53</v>
      </c>
      <c r="CD105" s="5">
        <v>0</v>
      </c>
      <c r="CF105" s="6">
        <v>46143</v>
      </c>
      <c r="CH105">
        <v>0</v>
      </c>
      <c r="CI105">
        <v>0</v>
      </c>
      <c r="CJ105">
        <v>0</v>
      </c>
      <c r="CK105">
        <v>0</v>
      </c>
      <c r="CL105">
        <v>0</v>
      </c>
      <c r="CM105">
        <v>0</v>
      </c>
      <c r="CN105">
        <v>0</v>
      </c>
      <c r="CO105">
        <v>0</v>
      </c>
      <c r="CP105">
        <v>0</v>
      </c>
      <c r="CQ105">
        <v>0</v>
      </c>
      <c r="CR105">
        <v>0</v>
      </c>
      <c r="CS105" t="s">
        <v>360</v>
      </c>
      <c r="CT105" t="s">
        <v>190</v>
      </c>
      <c r="CU105" t="s">
        <v>1052</v>
      </c>
      <c r="CW105">
        <v>-48.990099999999998</v>
      </c>
      <c r="CZ105" s="1">
        <v>46149</v>
      </c>
      <c r="DA105" t="s">
        <v>172</v>
      </c>
      <c r="DB105" t="s">
        <v>172</v>
      </c>
      <c r="DC105" t="s">
        <v>172</v>
      </c>
      <c r="DD105" t="s">
        <v>172</v>
      </c>
      <c r="DG105" s="1">
        <v>46149</v>
      </c>
      <c r="DH105">
        <v>0</v>
      </c>
      <c r="DI105">
        <v>0</v>
      </c>
      <c r="DJ105" s="1">
        <v>46161</v>
      </c>
      <c r="DK105" t="s">
        <v>179</v>
      </c>
      <c r="DL105" t="s">
        <v>200</v>
      </c>
      <c r="DM105" t="s">
        <v>172</v>
      </c>
      <c r="DN105" t="s">
        <v>525</v>
      </c>
      <c r="DV105" s="3">
        <v>256074.53</v>
      </c>
      <c r="DW105">
        <v>0</v>
      </c>
      <c r="DX105" s="3">
        <v>256074.53</v>
      </c>
      <c r="DY105">
        <v>0</v>
      </c>
      <c r="EG105" s="1">
        <v>46161</v>
      </c>
      <c r="EN105" t="s">
        <v>156</v>
      </c>
      <c r="EP105" s="1">
        <v>46157</v>
      </c>
      <c r="EQ105" s="1">
        <v>46157</v>
      </c>
      <c r="ER105" s="1">
        <v>46154</v>
      </c>
      <c r="ES105" t="s">
        <v>1062</v>
      </c>
      <c r="EV105" s="1">
        <v>46157</v>
      </c>
      <c r="EW105" s="1">
        <v>46150</v>
      </c>
    </row>
    <row r="106" spans="1:153" ht="246.5" x14ac:dyDescent="0.35">
      <c r="A106" t="str">
        <f>HYPERLINK("https://7lm.cvcrm.com.br/gestor/comercial/reservas/7055/administrar","7055")</f>
        <v>7055</v>
      </c>
      <c r="B106" t="s">
        <v>156</v>
      </c>
      <c r="C106" s="1">
        <v>46149</v>
      </c>
      <c r="D106" s="2">
        <v>0.41682870370370373</v>
      </c>
      <c r="E106" t="s">
        <v>294</v>
      </c>
      <c r="F106" t="s">
        <v>182</v>
      </c>
      <c r="G106" t="s">
        <v>159</v>
      </c>
      <c r="H106" t="s">
        <v>759</v>
      </c>
      <c r="I106" t="s">
        <v>1063</v>
      </c>
      <c r="J106">
        <v>1</v>
      </c>
      <c r="K106">
        <v>8488</v>
      </c>
      <c r="L106">
        <v>30151</v>
      </c>
      <c r="M106" t="s">
        <v>1064</v>
      </c>
      <c r="N106" s="1">
        <v>46167</v>
      </c>
      <c r="O106" s="2">
        <v>0.46989583333333335</v>
      </c>
      <c r="Q106">
        <v>10007</v>
      </c>
      <c r="R106" t="str">
        <f>HYPERLINK("https://7lm.cvcrm.com.br/gestor/relatorios/associado/html?q[1|r.idreserva]=7055","KAIQUES GOMES DE LIMA CASTRO")</f>
        <v>KAIQUES GOMES DE LIMA CASTRO</v>
      </c>
      <c r="S106">
        <v>4084919144</v>
      </c>
      <c r="T106">
        <v>5538998999036</v>
      </c>
      <c r="U106">
        <v>5561999221330</v>
      </c>
      <c r="V106" t="s">
        <v>1065</v>
      </c>
      <c r="W106" t="s">
        <v>163</v>
      </c>
      <c r="X106" t="s">
        <v>376</v>
      </c>
      <c r="Y106" t="s">
        <v>189</v>
      </c>
      <c r="Z106" t="s">
        <v>190</v>
      </c>
      <c r="AA106" t="s">
        <v>806</v>
      </c>
      <c r="AB106" t="s">
        <v>1066</v>
      </c>
      <c r="AC106" t="s">
        <v>291</v>
      </c>
      <c r="AF106" t="s">
        <v>273</v>
      </c>
      <c r="AG106" t="s">
        <v>251</v>
      </c>
      <c r="AH106" s="3">
        <v>240656.32</v>
      </c>
      <c r="AI106" s="3">
        <v>240656.32</v>
      </c>
      <c r="AJ106" s="1">
        <v>46210</v>
      </c>
      <c r="AN106" t="s">
        <v>172</v>
      </c>
      <c r="AR106" s="7" t="s">
        <v>353</v>
      </c>
      <c r="AT106" t="s">
        <v>196</v>
      </c>
      <c r="AU106" t="s">
        <v>262</v>
      </c>
      <c r="AW106">
        <v>0</v>
      </c>
      <c r="AX106" s="1">
        <v>46163</v>
      </c>
      <c r="AY106" s="2">
        <v>0.4909027777777778</v>
      </c>
      <c r="AZ106">
        <v>139931</v>
      </c>
      <c r="BA106" s="1">
        <v>45618</v>
      </c>
      <c r="BC106" t="s">
        <v>0</v>
      </c>
      <c r="BD106" s="1">
        <v>46147</v>
      </c>
      <c r="BE106" t="s">
        <v>466</v>
      </c>
      <c r="BL106" s="4">
        <v>0</v>
      </c>
      <c r="BM106" s="1">
        <v>46899</v>
      </c>
      <c r="BN106" s="1">
        <v>46163</v>
      </c>
      <c r="BO106">
        <v>0</v>
      </c>
      <c r="BP106">
        <v>31593</v>
      </c>
      <c r="BQ106" t="s">
        <v>156</v>
      </c>
      <c r="BR106" s="3">
        <v>143022.39999999999</v>
      </c>
      <c r="BS106" s="3">
        <v>22889</v>
      </c>
      <c r="BT106">
        <v>0</v>
      </c>
      <c r="BU106" s="3">
        <v>165911.4</v>
      </c>
      <c r="BV106" s="3">
        <v>240656.32</v>
      </c>
      <c r="BX106">
        <v>0</v>
      </c>
      <c r="BZ106">
        <v>0</v>
      </c>
      <c r="CA106">
        <v>0</v>
      </c>
      <c r="CB106">
        <v>0</v>
      </c>
      <c r="CC106" s="3">
        <v>240656.32</v>
      </c>
      <c r="CD106" s="5">
        <v>0</v>
      </c>
      <c r="CF106" s="6">
        <v>46143</v>
      </c>
      <c r="CH106">
        <v>0</v>
      </c>
      <c r="CI106">
        <v>0</v>
      </c>
      <c r="CJ106">
        <v>0</v>
      </c>
      <c r="CK106">
        <v>0</v>
      </c>
      <c r="CL106">
        <v>0</v>
      </c>
      <c r="CM106">
        <v>0</v>
      </c>
      <c r="CN106">
        <v>0</v>
      </c>
      <c r="CO106">
        <v>0</v>
      </c>
      <c r="CP106">
        <v>0</v>
      </c>
      <c r="CQ106">
        <v>0</v>
      </c>
      <c r="CR106">
        <v>0</v>
      </c>
      <c r="CS106" t="s">
        <v>360</v>
      </c>
      <c r="CT106" t="s">
        <v>190</v>
      </c>
      <c r="CU106" t="s">
        <v>1063</v>
      </c>
      <c r="CW106">
        <v>-50.560699999999997</v>
      </c>
      <c r="CZ106" s="1">
        <v>46149</v>
      </c>
      <c r="DA106" t="s">
        <v>172</v>
      </c>
      <c r="DB106" t="s">
        <v>172</v>
      </c>
      <c r="DC106" t="s">
        <v>172</v>
      </c>
      <c r="DD106" t="s">
        <v>172</v>
      </c>
      <c r="DG106" s="1">
        <v>46149</v>
      </c>
      <c r="DH106">
        <v>0</v>
      </c>
      <c r="DI106">
        <v>0</v>
      </c>
      <c r="DJ106" s="1">
        <v>46163</v>
      </c>
      <c r="DK106" t="s">
        <v>179</v>
      </c>
      <c r="DL106" t="s">
        <v>200</v>
      </c>
      <c r="DM106" t="s">
        <v>172</v>
      </c>
      <c r="DN106" t="s">
        <v>201</v>
      </c>
      <c r="DV106" s="3">
        <v>240656.32</v>
      </c>
      <c r="DW106">
        <v>0</v>
      </c>
      <c r="DX106" s="3">
        <v>240656.32</v>
      </c>
      <c r="DY106">
        <v>0</v>
      </c>
      <c r="EF106" s="1">
        <v>46164</v>
      </c>
      <c r="EG106" s="1">
        <v>46161</v>
      </c>
      <c r="EL106" s="1">
        <v>46164</v>
      </c>
      <c r="EM106" s="1">
        <v>46162</v>
      </c>
      <c r="EN106" t="s">
        <v>156</v>
      </c>
      <c r="EP106" s="1">
        <v>46161</v>
      </c>
      <c r="ER106" s="1">
        <v>46160</v>
      </c>
      <c r="ES106" t="s">
        <v>1067</v>
      </c>
      <c r="ET106" t="s">
        <v>898</v>
      </c>
      <c r="EU106" s="1">
        <v>46157</v>
      </c>
      <c r="EW106" s="1">
        <v>46149</v>
      </c>
    </row>
    <row r="107" spans="1:153" ht="246.5" x14ac:dyDescent="0.35">
      <c r="A107" t="str">
        <f>HYPERLINK("https://7lm.cvcrm.com.br/gestor/comercial/reservas/7053/administrar","7053")</f>
        <v>7053</v>
      </c>
      <c r="B107" t="s">
        <v>156</v>
      </c>
      <c r="C107" s="1">
        <v>46148</v>
      </c>
      <c r="D107" s="2">
        <v>0.8081018518518519</v>
      </c>
      <c r="E107" t="s">
        <v>294</v>
      </c>
      <c r="F107" t="s">
        <v>202</v>
      </c>
      <c r="G107" t="s">
        <v>203</v>
      </c>
      <c r="H107" t="s">
        <v>336</v>
      </c>
      <c r="I107" t="s">
        <v>1068</v>
      </c>
      <c r="J107">
        <v>1</v>
      </c>
      <c r="K107">
        <v>8532</v>
      </c>
      <c r="L107">
        <v>20031</v>
      </c>
      <c r="M107" t="s">
        <v>1069</v>
      </c>
      <c r="N107" s="1">
        <v>46169</v>
      </c>
      <c r="O107" s="2">
        <v>0.57162037037037039</v>
      </c>
      <c r="Q107">
        <v>10042</v>
      </c>
      <c r="R107" t="str">
        <f>HYPERLINK("https://7lm.cvcrm.com.br/gestor/relatorios/associado/html?q[1|r.idreserva]=7053","WILSON PAUL")</f>
        <v>WILSON PAUL</v>
      </c>
      <c r="S107">
        <v>71190980126</v>
      </c>
      <c r="T107">
        <v>5561981368575</v>
      </c>
      <c r="U107">
        <v>5561981718381</v>
      </c>
      <c r="V107" t="s">
        <v>1070</v>
      </c>
      <c r="W107" t="s">
        <v>163</v>
      </c>
      <c r="X107" t="s">
        <v>1071</v>
      </c>
      <c r="Y107" t="s">
        <v>189</v>
      </c>
      <c r="Z107" t="s">
        <v>214</v>
      </c>
      <c r="AA107" t="s">
        <v>669</v>
      </c>
      <c r="AB107" t="s">
        <v>1072</v>
      </c>
      <c r="AC107" t="s">
        <v>874</v>
      </c>
      <c r="AF107" t="s">
        <v>413</v>
      </c>
      <c r="AG107" t="s">
        <v>195</v>
      </c>
      <c r="AH107" s="3">
        <v>221638.73</v>
      </c>
      <c r="AI107" s="3">
        <v>221638.73</v>
      </c>
      <c r="AJ107" s="1">
        <v>46218</v>
      </c>
      <c r="AN107" t="s">
        <v>172</v>
      </c>
      <c r="AR107" s="7" t="s">
        <v>353</v>
      </c>
      <c r="AT107" t="s">
        <v>196</v>
      </c>
      <c r="AU107" t="s">
        <v>1073</v>
      </c>
      <c r="AW107">
        <v>0</v>
      </c>
      <c r="AX107" s="1">
        <v>46169</v>
      </c>
      <c r="AY107" s="2">
        <v>0.4384953703703704</v>
      </c>
      <c r="AZ107">
        <v>172293</v>
      </c>
      <c r="BA107" s="1">
        <v>45939</v>
      </c>
      <c r="BC107" t="s">
        <v>0</v>
      </c>
      <c r="BD107" s="1">
        <v>46148</v>
      </c>
      <c r="BE107" t="s">
        <v>198</v>
      </c>
      <c r="BL107" s="4">
        <v>0</v>
      </c>
      <c r="BM107" s="1">
        <v>46808</v>
      </c>
      <c r="BN107" s="1">
        <v>46169</v>
      </c>
      <c r="BO107">
        <v>0</v>
      </c>
      <c r="BP107">
        <v>31846</v>
      </c>
      <c r="BQ107" t="s">
        <v>156</v>
      </c>
      <c r="BR107" s="3">
        <v>115764.75</v>
      </c>
      <c r="BS107" s="3">
        <v>46417</v>
      </c>
      <c r="BT107">
        <v>0</v>
      </c>
      <c r="BU107" s="3">
        <v>162181.75</v>
      </c>
      <c r="BV107" s="3">
        <v>221638.73</v>
      </c>
      <c r="BX107">
        <v>0</v>
      </c>
      <c r="BZ107">
        <v>0</v>
      </c>
      <c r="CA107">
        <v>0</v>
      </c>
      <c r="CB107">
        <v>0</v>
      </c>
      <c r="CC107" s="3">
        <v>221638.73</v>
      </c>
      <c r="CD107" s="5">
        <v>0</v>
      </c>
      <c r="CF107" s="6">
        <v>46143</v>
      </c>
      <c r="CH107">
        <v>0</v>
      </c>
      <c r="CI107">
        <v>0</v>
      </c>
      <c r="CJ107">
        <v>0</v>
      </c>
      <c r="CK107">
        <v>0</v>
      </c>
      <c r="CL107">
        <v>0</v>
      </c>
      <c r="CM107">
        <v>0</v>
      </c>
      <c r="CN107">
        <v>0</v>
      </c>
      <c r="CO107">
        <v>0</v>
      </c>
      <c r="CP107">
        <v>0</v>
      </c>
      <c r="CQ107">
        <v>0</v>
      </c>
      <c r="CR107">
        <v>0</v>
      </c>
      <c r="CS107" t="s">
        <v>360</v>
      </c>
      <c r="CT107" t="s">
        <v>214</v>
      </c>
      <c r="CU107" t="s">
        <v>1068</v>
      </c>
      <c r="CW107">
        <v>-54.262700000000002</v>
      </c>
      <c r="CZ107" s="1">
        <v>46148</v>
      </c>
      <c r="DA107" t="s">
        <v>172</v>
      </c>
      <c r="DB107" t="s">
        <v>172</v>
      </c>
      <c r="DC107" t="s">
        <v>172</v>
      </c>
      <c r="DD107" t="s">
        <v>172</v>
      </c>
      <c r="DG107" s="1">
        <v>46148</v>
      </c>
      <c r="DH107">
        <v>0</v>
      </c>
      <c r="DI107">
        <v>0</v>
      </c>
      <c r="DJ107" s="1">
        <v>46169</v>
      </c>
      <c r="DL107" t="s">
        <v>215</v>
      </c>
      <c r="DM107" t="s">
        <v>172</v>
      </c>
      <c r="DN107" t="s">
        <v>525</v>
      </c>
      <c r="DV107" s="3">
        <v>221638.73</v>
      </c>
      <c r="DW107">
        <v>0</v>
      </c>
      <c r="DX107" s="3">
        <v>221638.73</v>
      </c>
      <c r="DY107">
        <v>0</v>
      </c>
      <c r="EF107" s="1">
        <v>46169</v>
      </c>
      <c r="EG107" s="1">
        <v>46167</v>
      </c>
      <c r="EK107" s="1">
        <v>46169</v>
      </c>
      <c r="EM107" s="1">
        <v>46164</v>
      </c>
      <c r="EN107" t="s">
        <v>156</v>
      </c>
      <c r="EP107" s="1">
        <v>46161</v>
      </c>
      <c r="ET107" t="s">
        <v>1074</v>
      </c>
      <c r="EU107" s="1">
        <v>46165</v>
      </c>
      <c r="EW107" s="1">
        <v>46148</v>
      </c>
    </row>
    <row r="108" spans="1:153" x14ac:dyDescent="0.35">
      <c r="A108" t="str">
        <f>HYPERLINK("https://7lm.cvcrm.com.br/gestor/comercial/reservas/7052/administrar","7052")</f>
        <v>7052</v>
      </c>
      <c r="B108" t="s">
        <v>172</v>
      </c>
      <c r="C108" s="1">
        <v>46148</v>
      </c>
      <c r="D108" s="2">
        <v>0.69118055555555558</v>
      </c>
      <c r="E108" t="s">
        <v>157</v>
      </c>
      <c r="F108" t="s">
        <v>182</v>
      </c>
      <c r="G108" t="s">
        <v>159</v>
      </c>
      <c r="H108" t="s">
        <v>345</v>
      </c>
      <c r="I108" t="s">
        <v>1075</v>
      </c>
      <c r="J108">
        <v>1</v>
      </c>
      <c r="L108">
        <v>30151</v>
      </c>
      <c r="M108" t="s">
        <v>1076</v>
      </c>
      <c r="R108" t="str">
        <f>HYPERLINK("https://7lm.cvcrm.com.br/gestor/relatorios/associado/html?q[1|r.idreserva]=7052","SARA ANDRADE TORRES")</f>
        <v>SARA ANDRADE TORRES</v>
      </c>
      <c r="S108">
        <v>70825783186</v>
      </c>
      <c r="T108">
        <v>5561999945971</v>
      </c>
      <c r="V108" t="s">
        <v>1077</v>
      </c>
      <c r="W108" t="s">
        <v>187</v>
      </c>
      <c r="X108" t="s">
        <v>1078</v>
      </c>
      <c r="Y108" t="s">
        <v>189</v>
      </c>
      <c r="Z108" t="s">
        <v>190</v>
      </c>
      <c r="AA108" t="s">
        <v>707</v>
      </c>
      <c r="AB108" t="s">
        <v>1079</v>
      </c>
      <c r="AC108" t="s">
        <v>896</v>
      </c>
      <c r="AF108" t="s">
        <v>273</v>
      </c>
      <c r="AG108" t="s">
        <v>195</v>
      </c>
      <c r="AH108" s="3">
        <v>241000.7</v>
      </c>
      <c r="AI108" s="3">
        <v>241000.7</v>
      </c>
      <c r="AJ108" s="1">
        <v>46209</v>
      </c>
      <c r="AN108" t="s">
        <v>172</v>
      </c>
      <c r="AT108" t="s">
        <v>196</v>
      </c>
      <c r="AU108" t="s">
        <v>292</v>
      </c>
      <c r="AW108">
        <v>0</v>
      </c>
      <c r="AX108" s="1">
        <v>46148</v>
      </c>
      <c r="AY108" s="2">
        <v>0.69118055555555558</v>
      </c>
      <c r="AZ108">
        <v>206856</v>
      </c>
      <c r="BA108" s="1">
        <v>46144</v>
      </c>
      <c r="BC108" t="s">
        <v>0</v>
      </c>
      <c r="BD108" s="1">
        <v>46148</v>
      </c>
      <c r="BE108" t="s">
        <v>401</v>
      </c>
      <c r="BL108" s="4">
        <v>0</v>
      </c>
      <c r="BM108" s="1">
        <v>46899</v>
      </c>
      <c r="BO108">
        <v>0</v>
      </c>
      <c r="BP108">
        <v>31849</v>
      </c>
      <c r="BQ108" t="s">
        <v>156</v>
      </c>
      <c r="BR108">
        <v>0</v>
      </c>
      <c r="BS108">
        <v>0</v>
      </c>
      <c r="BT108">
        <v>0</v>
      </c>
      <c r="BU108">
        <v>0</v>
      </c>
      <c r="BV108" s="3">
        <v>241000.7</v>
      </c>
      <c r="BX108">
        <v>0</v>
      </c>
      <c r="BZ108">
        <v>0</v>
      </c>
      <c r="CA108">
        <v>0</v>
      </c>
      <c r="CB108">
        <v>0</v>
      </c>
      <c r="CC108" s="3">
        <v>241000.7</v>
      </c>
      <c r="CD108" s="5">
        <v>0</v>
      </c>
      <c r="CF108" s="6">
        <v>46143</v>
      </c>
      <c r="CH108">
        <v>0</v>
      </c>
      <c r="CI108">
        <v>0</v>
      </c>
      <c r="CJ108">
        <v>0</v>
      </c>
      <c r="CK108">
        <v>0</v>
      </c>
      <c r="CL108">
        <v>0</v>
      </c>
      <c r="CM108">
        <v>0</v>
      </c>
      <c r="CN108">
        <v>0</v>
      </c>
      <c r="CO108">
        <v>0</v>
      </c>
      <c r="CP108">
        <v>0</v>
      </c>
      <c r="CQ108">
        <v>0</v>
      </c>
      <c r="CR108">
        <v>0</v>
      </c>
      <c r="CT108" t="s">
        <v>190</v>
      </c>
      <c r="CU108" t="s">
        <v>1075</v>
      </c>
      <c r="CW108">
        <v>0</v>
      </c>
      <c r="CZ108" s="1">
        <v>46148</v>
      </c>
      <c r="DA108" t="s">
        <v>172</v>
      </c>
      <c r="DB108" t="s">
        <v>172</v>
      </c>
      <c r="DC108" t="s">
        <v>172</v>
      </c>
      <c r="DD108" t="s">
        <v>172</v>
      </c>
      <c r="DG108" s="1">
        <v>46148</v>
      </c>
      <c r="DH108">
        <v>0</v>
      </c>
      <c r="DI108">
        <v>0</v>
      </c>
      <c r="DK108" t="s">
        <v>179</v>
      </c>
      <c r="DL108" t="s">
        <v>200</v>
      </c>
      <c r="DM108" t="s">
        <v>172</v>
      </c>
      <c r="DN108" t="s">
        <v>201</v>
      </c>
      <c r="DV108" s="3">
        <v>241000.7</v>
      </c>
      <c r="DW108">
        <v>0</v>
      </c>
      <c r="DX108" s="3">
        <v>241000.7</v>
      </c>
      <c r="DY108">
        <v>0</v>
      </c>
      <c r="EN108" t="s">
        <v>156</v>
      </c>
      <c r="ET108" t="s">
        <v>1080</v>
      </c>
      <c r="EU108" s="1">
        <v>46157</v>
      </c>
      <c r="EW108" s="1">
        <v>46148</v>
      </c>
    </row>
    <row r="109" spans="1:153" ht="159.5" x14ac:dyDescent="0.35">
      <c r="A109" t="str">
        <f>HYPERLINK("https://7lm.cvcrm.com.br/gestor/comercial/reservas/7051/administrar","7051")</f>
        <v>7051</v>
      </c>
      <c r="B109" t="s">
        <v>172</v>
      </c>
      <c r="C109" s="1">
        <v>46148</v>
      </c>
      <c r="D109" s="2">
        <v>0.64215277777777779</v>
      </c>
      <c r="E109" t="s">
        <v>527</v>
      </c>
      <c r="F109" t="s">
        <v>295</v>
      </c>
      <c r="G109" t="s">
        <v>203</v>
      </c>
      <c r="H109" t="s">
        <v>528</v>
      </c>
      <c r="I109" t="s">
        <v>1081</v>
      </c>
      <c r="J109">
        <v>1</v>
      </c>
      <c r="K109">
        <v>8471</v>
      </c>
      <c r="L109">
        <v>30031</v>
      </c>
      <c r="M109" t="s">
        <v>1082</v>
      </c>
      <c r="R109" t="str">
        <f>HYPERLINK("https://7lm.cvcrm.com.br/gestor/relatorios/associado/html?q[1|r.idreserva]=7051","SANTA PEREIRA DOS SANTOS")</f>
        <v>SANTA PEREIRA DOS SANTOS</v>
      </c>
      <c r="S109">
        <v>4955264107</v>
      </c>
      <c r="T109">
        <v>556199141413</v>
      </c>
      <c r="U109">
        <v>556198220357</v>
      </c>
      <c r="V109" t="s">
        <v>1054</v>
      </c>
      <c r="W109" t="s">
        <v>187</v>
      </c>
      <c r="X109" t="s">
        <v>269</v>
      </c>
      <c r="Y109" t="s">
        <v>189</v>
      </c>
      <c r="Z109" t="s">
        <v>190</v>
      </c>
      <c r="AA109" t="s">
        <v>332</v>
      </c>
      <c r="AB109" t="s">
        <v>1055</v>
      </c>
      <c r="AC109" t="s">
        <v>1056</v>
      </c>
      <c r="AF109" t="s">
        <v>399</v>
      </c>
      <c r="AG109" t="s">
        <v>251</v>
      </c>
      <c r="AH109" s="3">
        <v>266501.45</v>
      </c>
      <c r="AI109" s="3">
        <v>266501.45</v>
      </c>
      <c r="AJ109" s="1">
        <v>46148</v>
      </c>
      <c r="AN109" t="s">
        <v>172</v>
      </c>
      <c r="AO109" t="s">
        <v>725</v>
      </c>
      <c r="AP109" t="s">
        <v>1083</v>
      </c>
      <c r="AR109" s="7" t="s">
        <v>1084</v>
      </c>
      <c r="AT109" t="s">
        <v>173</v>
      </c>
      <c r="AU109" t="s">
        <v>316</v>
      </c>
      <c r="AW109">
        <v>0</v>
      </c>
      <c r="AX109" s="1">
        <v>46149</v>
      </c>
      <c r="AY109" s="2">
        <v>0.44748842592592591</v>
      </c>
      <c r="AZ109">
        <v>26295</v>
      </c>
      <c r="BA109" s="1">
        <v>43967</v>
      </c>
      <c r="BB109" s="1">
        <v>46137</v>
      </c>
      <c r="BC109" t="s">
        <v>275</v>
      </c>
      <c r="BD109" s="1">
        <v>46139</v>
      </c>
      <c r="BE109" t="s">
        <v>317</v>
      </c>
      <c r="BL109" s="4">
        <v>0</v>
      </c>
      <c r="BM109" s="1">
        <v>46604</v>
      </c>
      <c r="BO109">
        <v>0</v>
      </c>
      <c r="BP109">
        <v>31638</v>
      </c>
      <c r="BQ109" t="s">
        <v>156</v>
      </c>
      <c r="BR109" s="3">
        <v>138647.25</v>
      </c>
      <c r="BS109" s="3">
        <v>22310</v>
      </c>
      <c r="BT109">
        <v>0</v>
      </c>
      <c r="BU109" s="3">
        <v>160957.25</v>
      </c>
      <c r="BV109" s="3">
        <v>266501.45</v>
      </c>
      <c r="BX109">
        <v>0</v>
      </c>
      <c r="BZ109">
        <v>0</v>
      </c>
      <c r="CA109">
        <v>0</v>
      </c>
      <c r="CB109">
        <v>0</v>
      </c>
      <c r="CC109" s="3">
        <v>266501.45</v>
      </c>
      <c r="CD109" s="5">
        <v>0</v>
      </c>
      <c r="CF109" s="6">
        <v>46143</v>
      </c>
      <c r="CH109">
        <v>0</v>
      </c>
      <c r="CI109">
        <v>0</v>
      </c>
      <c r="CJ109">
        <v>0</v>
      </c>
      <c r="CK109">
        <v>0</v>
      </c>
      <c r="CL109">
        <v>0</v>
      </c>
      <c r="CM109">
        <v>0</v>
      </c>
      <c r="CN109">
        <v>0</v>
      </c>
      <c r="CO109">
        <v>0</v>
      </c>
      <c r="CP109">
        <v>0</v>
      </c>
      <c r="CQ109">
        <v>0</v>
      </c>
      <c r="CR109">
        <v>0</v>
      </c>
      <c r="CT109" t="s">
        <v>190</v>
      </c>
      <c r="CU109" t="s">
        <v>1081</v>
      </c>
      <c r="CW109">
        <v>0</v>
      </c>
      <c r="CZ109" s="1">
        <v>46148</v>
      </c>
      <c r="DA109" t="s">
        <v>172</v>
      </c>
      <c r="DB109" t="s">
        <v>172</v>
      </c>
      <c r="DC109" t="s">
        <v>172</v>
      </c>
      <c r="DD109" t="s">
        <v>172</v>
      </c>
      <c r="DG109" s="1">
        <v>46148</v>
      </c>
      <c r="DH109">
        <v>0</v>
      </c>
      <c r="DI109">
        <v>0</v>
      </c>
      <c r="DL109" t="s">
        <v>200</v>
      </c>
      <c r="DM109" t="s">
        <v>172</v>
      </c>
      <c r="DN109" t="s">
        <v>511</v>
      </c>
      <c r="DV109" s="3">
        <v>266501.45</v>
      </c>
      <c r="DW109">
        <v>0</v>
      </c>
      <c r="DX109" s="3">
        <v>266501.45</v>
      </c>
      <c r="DY109">
        <v>0</v>
      </c>
      <c r="EN109" t="s">
        <v>156</v>
      </c>
    </row>
    <row r="110" spans="1:153" ht="246.5" x14ac:dyDescent="0.35">
      <c r="A110" t="str">
        <f>HYPERLINK("https://7lm.cvcrm.com.br/gestor/comercial/reservas/7050/administrar","7050")</f>
        <v>7050</v>
      </c>
      <c r="B110" t="s">
        <v>156</v>
      </c>
      <c r="C110" s="1">
        <v>46147</v>
      </c>
      <c r="D110" s="2">
        <v>0.87592592592592589</v>
      </c>
      <c r="E110" t="s">
        <v>294</v>
      </c>
      <c r="F110" t="s">
        <v>202</v>
      </c>
      <c r="G110" t="s">
        <v>203</v>
      </c>
      <c r="H110" t="s">
        <v>277</v>
      </c>
      <c r="I110" t="s">
        <v>1085</v>
      </c>
      <c r="J110">
        <v>1</v>
      </c>
      <c r="K110">
        <v>8432</v>
      </c>
      <c r="L110">
        <v>20031</v>
      </c>
      <c r="M110" t="s">
        <v>1086</v>
      </c>
      <c r="N110" s="1">
        <v>46157</v>
      </c>
      <c r="O110" s="2">
        <v>0.58187500000000003</v>
      </c>
      <c r="R110" t="str">
        <f>HYPERLINK("https://7lm.cvcrm.com.br/gestor/relatorios/associado/html?q[1|r.idreserva]=7050","JOAO VITOR SILVA DOS SANTOS")</f>
        <v>JOAO VITOR SILVA DOS SANTOS</v>
      </c>
      <c r="S110">
        <v>71163248100</v>
      </c>
      <c r="T110">
        <v>5561999614503</v>
      </c>
      <c r="U110">
        <v>556193597043</v>
      </c>
      <c r="V110" t="s">
        <v>1087</v>
      </c>
      <c r="W110" t="s">
        <v>163</v>
      </c>
      <c r="Y110" t="s">
        <v>189</v>
      </c>
      <c r="Z110" t="s">
        <v>1088</v>
      </c>
      <c r="AA110" t="s">
        <v>1089</v>
      </c>
      <c r="AB110" t="s">
        <v>1090</v>
      </c>
      <c r="AC110" t="s">
        <v>1091</v>
      </c>
      <c r="AD110" t="s">
        <v>1092</v>
      </c>
      <c r="AF110" t="s">
        <v>212</v>
      </c>
      <c r="AG110" t="s">
        <v>284</v>
      </c>
      <c r="AH110" s="3">
        <v>224506.59</v>
      </c>
      <c r="AI110" s="3">
        <v>224506.59</v>
      </c>
      <c r="AJ110" s="1">
        <v>47036</v>
      </c>
      <c r="AN110" t="s">
        <v>172</v>
      </c>
      <c r="AR110" s="7" t="s">
        <v>353</v>
      </c>
      <c r="AT110" t="s">
        <v>196</v>
      </c>
      <c r="AU110" t="s">
        <v>175</v>
      </c>
      <c r="AW110">
        <v>0</v>
      </c>
      <c r="AX110" s="1">
        <v>46156</v>
      </c>
      <c r="AY110" s="2">
        <v>0.46313657407407405</v>
      </c>
      <c r="AZ110">
        <v>147602</v>
      </c>
      <c r="BA110" s="1">
        <v>45690</v>
      </c>
      <c r="BB110" s="1">
        <v>46147</v>
      </c>
      <c r="BC110" t="s">
        <v>213</v>
      </c>
      <c r="BD110" s="1">
        <v>46147</v>
      </c>
      <c r="BE110" t="s">
        <v>317</v>
      </c>
      <c r="BL110" s="4">
        <v>0</v>
      </c>
      <c r="BM110" s="1">
        <v>46808</v>
      </c>
      <c r="BN110" s="1">
        <v>46156</v>
      </c>
      <c r="BO110">
        <v>0</v>
      </c>
      <c r="BP110">
        <v>32001</v>
      </c>
      <c r="BQ110" t="s">
        <v>156</v>
      </c>
      <c r="BR110" s="3">
        <v>174443.33</v>
      </c>
      <c r="BS110" s="3">
        <v>4328</v>
      </c>
      <c r="BT110">
        <v>0</v>
      </c>
      <c r="BU110" s="3">
        <v>178771.33</v>
      </c>
      <c r="BV110" s="3">
        <v>224506.59</v>
      </c>
      <c r="BX110">
        <v>0</v>
      </c>
      <c r="BZ110">
        <v>0</v>
      </c>
      <c r="CA110">
        <v>0</v>
      </c>
      <c r="CB110">
        <v>0</v>
      </c>
      <c r="CC110" s="3">
        <v>224506.59</v>
      </c>
      <c r="CD110" s="5">
        <v>0</v>
      </c>
      <c r="CF110" s="6">
        <v>46143</v>
      </c>
      <c r="CH110">
        <v>0</v>
      </c>
      <c r="CI110">
        <v>0</v>
      </c>
      <c r="CJ110">
        <v>0</v>
      </c>
      <c r="CK110">
        <v>0</v>
      </c>
      <c r="CL110">
        <v>0</v>
      </c>
      <c r="CM110">
        <v>0</v>
      </c>
      <c r="CN110">
        <v>0</v>
      </c>
      <c r="CO110">
        <v>0</v>
      </c>
      <c r="CP110">
        <v>0</v>
      </c>
      <c r="CQ110">
        <v>0</v>
      </c>
      <c r="CR110">
        <v>0</v>
      </c>
      <c r="CS110" t="s">
        <v>360</v>
      </c>
      <c r="CT110" t="s">
        <v>214</v>
      </c>
      <c r="CU110" t="s">
        <v>1085</v>
      </c>
      <c r="CW110">
        <v>-53.937899999999999</v>
      </c>
      <c r="CZ110" s="1">
        <v>46147</v>
      </c>
      <c r="DA110" t="s">
        <v>172</v>
      </c>
      <c r="DB110" t="s">
        <v>172</v>
      </c>
      <c r="DC110" t="s">
        <v>172</v>
      </c>
      <c r="DD110" t="s">
        <v>172</v>
      </c>
      <c r="DG110" s="1">
        <v>46147</v>
      </c>
      <c r="DH110">
        <v>0</v>
      </c>
      <c r="DI110">
        <v>0</v>
      </c>
      <c r="DJ110" s="1">
        <v>46156</v>
      </c>
      <c r="DL110" t="s">
        <v>215</v>
      </c>
      <c r="DM110" t="s">
        <v>172</v>
      </c>
      <c r="DN110" t="s">
        <v>225</v>
      </c>
      <c r="DV110" s="3">
        <v>224506.59</v>
      </c>
      <c r="DW110">
        <v>0</v>
      </c>
      <c r="DX110" s="3">
        <v>224506.59</v>
      </c>
      <c r="DY110">
        <v>0</v>
      </c>
      <c r="EN110" t="s">
        <v>156</v>
      </c>
      <c r="EP110" s="1">
        <v>46154</v>
      </c>
      <c r="EU110" s="1">
        <v>46154</v>
      </c>
      <c r="EW110" s="1">
        <v>46147</v>
      </c>
    </row>
    <row r="111" spans="1:153" x14ac:dyDescent="0.35">
      <c r="A111" t="str">
        <f>HYPERLINK("https://7lm.cvcrm.com.br/gestor/comercial/reservas/7049/administrar","7049")</f>
        <v>7049</v>
      </c>
      <c r="B111" t="s">
        <v>172</v>
      </c>
      <c r="C111" s="1">
        <v>46147</v>
      </c>
      <c r="D111" s="2">
        <v>0.82817129629629627</v>
      </c>
      <c r="E111" t="s">
        <v>527</v>
      </c>
      <c r="F111" t="s">
        <v>182</v>
      </c>
      <c r="G111" t="s">
        <v>159</v>
      </c>
      <c r="H111" t="s">
        <v>475</v>
      </c>
      <c r="I111" t="s">
        <v>296</v>
      </c>
      <c r="J111">
        <v>1</v>
      </c>
      <c r="L111">
        <v>30151</v>
      </c>
      <c r="M111" t="s">
        <v>1093</v>
      </c>
      <c r="R111" t="str">
        <f>HYPERLINK("https://7lm.cvcrm.com.br/gestor/relatorios/associado/html?q[1|r.idreserva]=7049","FABIANA DE SOUZA RODRIGUES")</f>
        <v>FABIANA DE SOUZA RODRIGUES</v>
      </c>
      <c r="S111">
        <v>5616585289</v>
      </c>
      <c r="T111">
        <v>5594992372706</v>
      </c>
      <c r="V111" t="s">
        <v>1094</v>
      </c>
      <c r="W111" t="s">
        <v>187</v>
      </c>
      <c r="X111" t="s">
        <v>1095</v>
      </c>
      <c r="Y111" t="s">
        <v>189</v>
      </c>
      <c r="Z111" t="s">
        <v>190</v>
      </c>
      <c r="AA111" t="s">
        <v>1096</v>
      </c>
      <c r="AB111" t="s">
        <v>1097</v>
      </c>
      <c r="AC111" t="s">
        <v>379</v>
      </c>
      <c r="AD111" t="s">
        <v>379</v>
      </c>
      <c r="AF111" t="s">
        <v>352</v>
      </c>
      <c r="AG111" t="s">
        <v>251</v>
      </c>
      <c r="AH111" s="3">
        <v>242000.03</v>
      </c>
      <c r="AI111" s="3">
        <v>242000.03</v>
      </c>
      <c r="AJ111" s="1">
        <v>46156</v>
      </c>
      <c r="AN111" t="s">
        <v>172</v>
      </c>
      <c r="AO111" t="s">
        <v>1098</v>
      </c>
      <c r="AR111" t="s">
        <v>1099</v>
      </c>
      <c r="AT111" t="s">
        <v>261</v>
      </c>
      <c r="AU111" t="s">
        <v>292</v>
      </c>
      <c r="AW111">
        <v>0</v>
      </c>
      <c r="AX111" s="1">
        <v>46163</v>
      </c>
      <c r="AY111" s="2">
        <v>0.47275462962962961</v>
      </c>
      <c r="AZ111">
        <v>204649</v>
      </c>
      <c r="BA111" s="1">
        <v>46139</v>
      </c>
      <c r="BC111" t="s">
        <v>0</v>
      </c>
      <c r="BD111" s="1">
        <v>46147</v>
      </c>
      <c r="BE111" t="s">
        <v>176</v>
      </c>
      <c r="BL111" s="4">
        <v>0</v>
      </c>
      <c r="BM111" s="1">
        <v>46899</v>
      </c>
      <c r="BO111">
        <v>0</v>
      </c>
      <c r="BP111">
        <v>31575</v>
      </c>
      <c r="BQ111" t="s">
        <v>156</v>
      </c>
      <c r="BR111" s="3">
        <v>134262.92000000001</v>
      </c>
      <c r="BS111" s="3">
        <v>16545</v>
      </c>
      <c r="BT111">
        <v>0</v>
      </c>
      <c r="BU111" s="3">
        <v>150807.92000000001</v>
      </c>
      <c r="BV111" s="3">
        <v>242000.03</v>
      </c>
      <c r="BX111">
        <v>0</v>
      </c>
      <c r="BZ111">
        <v>0</v>
      </c>
      <c r="CA111">
        <v>0</v>
      </c>
      <c r="CB111">
        <v>0</v>
      </c>
      <c r="CC111" s="3">
        <v>242000.03</v>
      </c>
      <c r="CD111" s="5">
        <v>0</v>
      </c>
      <c r="CF111" s="6">
        <v>46143</v>
      </c>
      <c r="CH111">
        <v>0</v>
      </c>
      <c r="CI111">
        <v>0</v>
      </c>
      <c r="CJ111">
        <v>0</v>
      </c>
      <c r="CK111">
        <v>0</v>
      </c>
      <c r="CL111">
        <v>0</v>
      </c>
      <c r="CM111">
        <v>0</v>
      </c>
      <c r="CN111">
        <v>0</v>
      </c>
      <c r="CO111">
        <v>0</v>
      </c>
      <c r="CP111">
        <v>0</v>
      </c>
      <c r="CQ111">
        <v>0</v>
      </c>
      <c r="CR111">
        <v>0</v>
      </c>
      <c r="CT111" t="s">
        <v>190</v>
      </c>
      <c r="CU111" t="s">
        <v>296</v>
      </c>
      <c r="CW111">
        <v>0</v>
      </c>
      <c r="CZ111" s="1">
        <v>46147</v>
      </c>
      <c r="DA111" t="s">
        <v>172</v>
      </c>
      <c r="DB111" t="s">
        <v>172</v>
      </c>
      <c r="DC111" t="s">
        <v>172</v>
      </c>
      <c r="DD111" t="s">
        <v>172</v>
      </c>
      <c r="DG111" s="1">
        <v>46147</v>
      </c>
      <c r="DH111">
        <v>0</v>
      </c>
      <c r="DI111">
        <v>0</v>
      </c>
      <c r="DK111" t="s">
        <v>179</v>
      </c>
      <c r="DL111" t="s">
        <v>200</v>
      </c>
      <c r="DM111" t="s">
        <v>172</v>
      </c>
      <c r="DN111" t="s">
        <v>201</v>
      </c>
      <c r="DV111" s="3">
        <v>242000.03</v>
      </c>
      <c r="DW111">
        <v>0</v>
      </c>
      <c r="DX111" s="3">
        <v>242000.03</v>
      </c>
      <c r="DY111">
        <v>0</v>
      </c>
      <c r="EN111" t="s">
        <v>537</v>
      </c>
      <c r="ET111" t="s">
        <v>1100</v>
      </c>
      <c r="EU111" s="1">
        <v>46149</v>
      </c>
      <c r="EW111" s="1">
        <v>46147</v>
      </c>
    </row>
    <row r="112" spans="1:153" ht="246.5" x14ac:dyDescent="0.35">
      <c r="A112" t="str">
        <f>HYPERLINK("https://7lm.cvcrm.com.br/gestor/comercial/reservas/7048/administrar","7048")</f>
        <v>7048</v>
      </c>
      <c r="B112" t="s">
        <v>156</v>
      </c>
      <c r="C112" s="1">
        <v>46147</v>
      </c>
      <c r="D112" s="2">
        <v>0.77542824074074079</v>
      </c>
      <c r="E112" t="s">
        <v>294</v>
      </c>
      <c r="F112" t="s">
        <v>295</v>
      </c>
      <c r="G112" t="s">
        <v>203</v>
      </c>
      <c r="H112" t="s">
        <v>306</v>
      </c>
      <c r="I112" t="s">
        <v>242</v>
      </c>
      <c r="J112">
        <v>1</v>
      </c>
      <c r="K112">
        <v>8433</v>
      </c>
      <c r="L112">
        <v>30031</v>
      </c>
      <c r="M112" t="s">
        <v>1101</v>
      </c>
      <c r="N112" s="1">
        <v>46156</v>
      </c>
      <c r="O112" s="2">
        <v>0.65623842592592596</v>
      </c>
      <c r="R112" t="str">
        <f>HYPERLINK("https://7lm.cvcrm.com.br/gestor/relatorios/associado/html?q[1|r.idreserva]=7048","ELEN PEREIRA DA COSTA")</f>
        <v>ELEN PEREIRA DA COSTA</v>
      </c>
      <c r="S112">
        <v>5438809151</v>
      </c>
      <c r="T112">
        <v>5561998456540</v>
      </c>
      <c r="U112">
        <v>5561998465361</v>
      </c>
      <c r="V112" t="s">
        <v>1102</v>
      </c>
      <c r="W112" t="s">
        <v>187</v>
      </c>
      <c r="X112" t="s">
        <v>299</v>
      </c>
      <c r="Y112" t="s">
        <v>189</v>
      </c>
      <c r="Z112" t="s">
        <v>190</v>
      </c>
      <c r="AA112" t="s">
        <v>1024</v>
      </c>
      <c r="AB112" t="s">
        <v>1103</v>
      </c>
      <c r="AC112" t="s">
        <v>1104</v>
      </c>
      <c r="AF112" t="s">
        <v>303</v>
      </c>
      <c r="AG112" t="s">
        <v>195</v>
      </c>
      <c r="AH112" s="3">
        <v>249965.72</v>
      </c>
      <c r="AI112" s="3">
        <v>249965.72</v>
      </c>
      <c r="AJ112" s="1">
        <v>46218</v>
      </c>
      <c r="AN112" t="s">
        <v>172</v>
      </c>
      <c r="AR112" s="7" t="s">
        <v>353</v>
      </c>
      <c r="AT112" t="s">
        <v>196</v>
      </c>
      <c r="AU112" t="s">
        <v>292</v>
      </c>
      <c r="AW112">
        <v>0</v>
      </c>
      <c r="AX112" s="1">
        <v>46156</v>
      </c>
      <c r="AY112" s="2">
        <v>0.4698148148148148</v>
      </c>
      <c r="AZ112">
        <v>158930</v>
      </c>
      <c r="BA112" s="1">
        <v>45804</v>
      </c>
      <c r="BC112" t="s">
        <v>1105</v>
      </c>
      <c r="BD112" s="1">
        <v>45804</v>
      </c>
      <c r="BE112" t="s">
        <v>317</v>
      </c>
      <c r="BL112" s="4">
        <v>0</v>
      </c>
      <c r="BM112" s="1">
        <v>46604</v>
      </c>
      <c r="BN112" s="1">
        <v>46156</v>
      </c>
      <c r="BO112">
        <v>0</v>
      </c>
      <c r="BP112">
        <v>31808</v>
      </c>
      <c r="BQ112" t="s">
        <v>156</v>
      </c>
      <c r="BR112" s="3">
        <v>158625.22</v>
      </c>
      <c r="BS112" s="3">
        <v>9168</v>
      </c>
      <c r="BT112">
        <v>0</v>
      </c>
      <c r="BU112" s="3">
        <v>167793.22</v>
      </c>
      <c r="BV112" s="3">
        <v>249965.72</v>
      </c>
      <c r="BX112">
        <v>0</v>
      </c>
      <c r="BZ112">
        <v>0</v>
      </c>
      <c r="CA112">
        <v>0</v>
      </c>
      <c r="CB112">
        <v>0</v>
      </c>
      <c r="CC112" s="3">
        <v>249965.72</v>
      </c>
      <c r="CD112" s="5">
        <v>0</v>
      </c>
      <c r="CF112" s="6">
        <v>46143</v>
      </c>
      <c r="CH112">
        <v>0</v>
      </c>
      <c r="CI112">
        <v>0</v>
      </c>
      <c r="CJ112">
        <v>0</v>
      </c>
      <c r="CK112">
        <v>0</v>
      </c>
      <c r="CL112">
        <v>0</v>
      </c>
      <c r="CM112">
        <v>0</v>
      </c>
      <c r="CN112">
        <v>0</v>
      </c>
      <c r="CO112">
        <v>0</v>
      </c>
      <c r="CP112">
        <v>0</v>
      </c>
      <c r="CQ112">
        <v>0</v>
      </c>
      <c r="CR112">
        <v>0</v>
      </c>
      <c r="CS112" t="s">
        <v>360</v>
      </c>
      <c r="CT112" t="s">
        <v>190</v>
      </c>
      <c r="CU112" t="s">
        <v>242</v>
      </c>
      <c r="CW112">
        <v>-46.712499999999999</v>
      </c>
      <c r="CZ112" s="1">
        <v>46147</v>
      </c>
      <c r="DA112" t="s">
        <v>172</v>
      </c>
      <c r="DB112" t="s">
        <v>172</v>
      </c>
      <c r="DC112" t="s">
        <v>172</v>
      </c>
      <c r="DD112" t="s">
        <v>172</v>
      </c>
      <c r="DG112" s="1">
        <v>46147</v>
      </c>
      <c r="DH112">
        <v>0</v>
      </c>
      <c r="DI112">
        <v>0</v>
      </c>
      <c r="DJ112" s="1">
        <v>46156</v>
      </c>
      <c r="DL112" t="s">
        <v>200</v>
      </c>
      <c r="DM112" t="s">
        <v>172</v>
      </c>
      <c r="DN112" t="s">
        <v>201</v>
      </c>
      <c r="DP112" s="8">
        <v>0.01</v>
      </c>
      <c r="DV112" s="3">
        <v>249965.72</v>
      </c>
      <c r="DW112">
        <v>0</v>
      </c>
      <c r="DX112" s="3">
        <v>249965.72</v>
      </c>
      <c r="DY112">
        <v>0</v>
      </c>
      <c r="EG112" s="1">
        <v>46154</v>
      </c>
      <c r="EN112" t="s">
        <v>156</v>
      </c>
      <c r="EP112" s="1">
        <v>46154</v>
      </c>
      <c r="ER112" s="1">
        <v>46153</v>
      </c>
      <c r="ES112" t="s">
        <v>1106</v>
      </c>
      <c r="EU112" s="1">
        <v>46150</v>
      </c>
      <c r="EW112" s="1">
        <v>46147</v>
      </c>
    </row>
    <row r="113" spans="1:153" ht="246.5" x14ac:dyDescent="0.35">
      <c r="A113" t="str">
        <f>HYPERLINK("https://7lm.cvcrm.com.br/gestor/comercial/reservas/7047/administrar","7047")</f>
        <v>7047</v>
      </c>
      <c r="B113" t="s">
        <v>156</v>
      </c>
      <c r="C113" s="1">
        <v>46147</v>
      </c>
      <c r="D113" s="2">
        <v>0.75417824074074069</v>
      </c>
      <c r="E113" t="s">
        <v>294</v>
      </c>
      <c r="F113" t="s">
        <v>202</v>
      </c>
      <c r="G113" t="s">
        <v>203</v>
      </c>
      <c r="H113" t="s">
        <v>404</v>
      </c>
      <c r="I113" t="s">
        <v>1107</v>
      </c>
      <c r="J113">
        <v>1</v>
      </c>
      <c r="K113">
        <v>8412</v>
      </c>
      <c r="L113">
        <v>20031</v>
      </c>
      <c r="M113" t="s">
        <v>1108</v>
      </c>
      <c r="N113" s="1">
        <v>46153</v>
      </c>
      <c r="O113" s="2">
        <v>0.55549768518518516</v>
      </c>
      <c r="Q113">
        <v>9932</v>
      </c>
      <c r="R113" t="str">
        <f>HYPERLINK("https://7lm.cvcrm.com.br/gestor/relatorios/associado/html?q[1|r.idreserva]=7047","GABRIELA CRISTINA SILVA DE MACEDO")</f>
        <v>GABRIELA CRISTINA SILVA DE MACEDO</v>
      </c>
      <c r="S113">
        <v>4366953161</v>
      </c>
      <c r="T113">
        <v>556192474854</v>
      </c>
      <c r="U113">
        <v>5561986782132</v>
      </c>
      <c r="V113" t="s">
        <v>1109</v>
      </c>
      <c r="W113" t="s">
        <v>187</v>
      </c>
      <c r="X113" t="s">
        <v>1048</v>
      </c>
      <c r="Y113" t="s">
        <v>165</v>
      </c>
      <c r="Z113" t="s">
        <v>1030</v>
      </c>
      <c r="AA113" t="s">
        <v>1110</v>
      </c>
      <c r="AB113" t="s">
        <v>1111</v>
      </c>
      <c r="AC113" t="s">
        <v>314</v>
      </c>
      <c r="AF113" t="s">
        <v>315</v>
      </c>
      <c r="AG113" t="s">
        <v>195</v>
      </c>
      <c r="AH113" s="3">
        <v>220400.07</v>
      </c>
      <c r="AI113" s="3">
        <v>220400.07</v>
      </c>
      <c r="AJ113" s="1">
        <v>46228</v>
      </c>
      <c r="AN113" t="s">
        <v>172</v>
      </c>
      <c r="AR113" s="7" t="s">
        <v>353</v>
      </c>
      <c r="AT113" t="s">
        <v>173</v>
      </c>
      <c r="AU113" t="s">
        <v>316</v>
      </c>
      <c r="AW113">
        <v>0</v>
      </c>
      <c r="AX113" s="1">
        <v>46150</v>
      </c>
      <c r="AY113" s="2">
        <v>0.59223379629629624</v>
      </c>
      <c r="AZ113">
        <v>207272</v>
      </c>
      <c r="BA113" s="1">
        <v>46146</v>
      </c>
      <c r="BC113" t="s">
        <v>0</v>
      </c>
      <c r="BD113" s="1">
        <v>46147</v>
      </c>
      <c r="BE113" t="s">
        <v>198</v>
      </c>
      <c r="BL113" s="4">
        <v>0</v>
      </c>
      <c r="BM113" s="1">
        <v>46808</v>
      </c>
      <c r="BN113" s="1">
        <v>46150</v>
      </c>
      <c r="BO113">
        <v>0</v>
      </c>
      <c r="BP113">
        <v>31924</v>
      </c>
      <c r="BQ113" t="s">
        <v>156</v>
      </c>
      <c r="BR113" s="3">
        <v>160000</v>
      </c>
      <c r="BS113">
        <v>0</v>
      </c>
      <c r="BT113">
        <v>0</v>
      </c>
      <c r="BU113" s="3">
        <v>160000</v>
      </c>
      <c r="BV113" s="3">
        <v>220400.07</v>
      </c>
      <c r="BX113">
        <v>0</v>
      </c>
      <c r="BZ113">
        <v>0</v>
      </c>
      <c r="CA113">
        <v>0</v>
      </c>
      <c r="CB113">
        <v>0</v>
      </c>
      <c r="CC113" s="3">
        <v>220400.07</v>
      </c>
      <c r="CD113" s="5">
        <v>0</v>
      </c>
      <c r="CF113" s="6">
        <v>46143</v>
      </c>
      <c r="CH113">
        <v>0</v>
      </c>
      <c r="CI113">
        <v>0</v>
      </c>
      <c r="CJ113">
        <v>0</v>
      </c>
      <c r="CK113">
        <v>0</v>
      </c>
      <c r="CL113">
        <v>0</v>
      </c>
      <c r="CM113">
        <v>0</v>
      </c>
      <c r="CN113">
        <v>0</v>
      </c>
      <c r="CO113">
        <v>0</v>
      </c>
      <c r="CP113">
        <v>0</v>
      </c>
      <c r="CQ113">
        <v>0</v>
      </c>
      <c r="CR113">
        <v>0</v>
      </c>
      <c r="CS113" t="s">
        <v>360</v>
      </c>
      <c r="CT113" t="s">
        <v>214</v>
      </c>
      <c r="CU113" t="s">
        <v>1107</v>
      </c>
      <c r="CW113">
        <v>-52.220300000000002</v>
      </c>
      <c r="CZ113" s="1">
        <v>46147</v>
      </c>
      <c r="DA113" t="s">
        <v>172</v>
      </c>
      <c r="DB113" t="s">
        <v>172</v>
      </c>
      <c r="DC113" t="s">
        <v>172</v>
      </c>
      <c r="DD113" t="s">
        <v>172</v>
      </c>
      <c r="DG113" s="1">
        <v>46147</v>
      </c>
      <c r="DH113">
        <v>0</v>
      </c>
      <c r="DI113">
        <v>0</v>
      </c>
      <c r="DJ113" s="1">
        <v>46150</v>
      </c>
      <c r="DL113" t="s">
        <v>215</v>
      </c>
      <c r="DM113" t="s">
        <v>172</v>
      </c>
      <c r="DN113" t="s">
        <v>201</v>
      </c>
      <c r="DV113" s="3">
        <v>220400.07</v>
      </c>
      <c r="DW113">
        <v>0</v>
      </c>
      <c r="DX113" s="3">
        <v>220400.07</v>
      </c>
      <c r="DY113">
        <v>0</v>
      </c>
      <c r="EF113" s="1">
        <v>46153</v>
      </c>
      <c r="EG113" s="1">
        <v>46148</v>
      </c>
      <c r="EK113" s="1">
        <v>46153</v>
      </c>
      <c r="EM113" s="1">
        <v>46149</v>
      </c>
      <c r="EN113" t="s">
        <v>156</v>
      </c>
      <c r="EP113" s="1">
        <v>46149</v>
      </c>
      <c r="ER113" s="1">
        <v>46149</v>
      </c>
      <c r="ES113" t="s">
        <v>1112</v>
      </c>
      <c r="ET113" t="s">
        <v>417</v>
      </c>
      <c r="EU113" s="1">
        <v>46150</v>
      </c>
      <c r="EW113" s="1">
        <v>46146</v>
      </c>
    </row>
    <row r="114" spans="1:153" ht="130.5" x14ac:dyDescent="0.35">
      <c r="A114" t="str">
        <f>HYPERLINK("https://7lm.cvcrm.com.br/gestor/comercial/reservas/7046/administrar","7046")</f>
        <v>7046</v>
      </c>
      <c r="B114" t="s">
        <v>156</v>
      </c>
      <c r="C114" s="1">
        <v>46147</v>
      </c>
      <c r="D114" s="2">
        <v>0.63932870370370365</v>
      </c>
      <c r="E114" t="s">
        <v>294</v>
      </c>
      <c r="F114" t="s">
        <v>226</v>
      </c>
      <c r="G114" t="s">
        <v>159</v>
      </c>
      <c r="H114" t="s">
        <v>227</v>
      </c>
      <c r="I114" t="s">
        <v>1113</v>
      </c>
      <c r="J114">
        <v>1</v>
      </c>
      <c r="K114">
        <v>8495</v>
      </c>
      <c r="L114">
        <v>10031</v>
      </c>
      <c r="M114" t="s">
        <v>1114</v>
      </c>
      <c r="N114" s="1">
        <v>46148</v>
      </c>
      <c r="O114" s="2">
        <v>0.6436574074074074</v>
      </c>
      <c r="R114" t="str">
        <f>HYPERLINK("https://7lm.cvcrm.com.br/gestor/relatorios/associado/html?q[1|r.idreserva]=7046","ISABELLA DE OLIVEIRA PASSOS")</f>
        <v>ISABELLA DE OLIVEIRA PASSOS</v>
      </c>
      <c r="S114">
        <v>6077093165</v>
      </c>
      <c r="T114">
        <v>5561981203127</v>
      </c>
      <c r="U114">
        <v>5561981203127</v>
      </c>
      <c r="V114" t="s">
        <v>1115</v>
      </c>
      <c r="W114" t="s">
        <v>187</v>
      </c>
      <c r="X114" t="s">
        <v>1116</v>
      </c>
      <c r="Y114" t="s">
        <v>165</v>
      </c>
      <c r="Z114" t="s">
        <v>257</v>
      </c>
      <c r="AA114" t="s">
        <v>1117</v>
      </c>
      <c r="AB114" t="s">
        <v>1118</v>
      </c>
      <c r="AC114" t="s">
        <v>169</v>
      </c>
      <c r="AE114" t="s">
        <v>169</v>
      </c>
      <c r="AF114" t="s">
        <v>170</v>
      </c>
      <c r="AG114" t="s">
        <v>171</v>
      </c>
      <c r="AH114" s="3">
        <v>356454.56</v>
      </c>
      <c r="AI114" s="3">
        <v>356454.56</v>
      </c>
      <c r="AJ114" s="1">
        <v>46173</v>
      </c>
      <c r="AN114" t="s">
        <v>172</v>
      </c>
      <c r="AR114" s="7" t="s">
        <v>1119</v>
      </c>
      <c r="AT114" t="s">
        <v>196</v>
      </c>
      <c r="AU114" t="s">
        <v>197</v>
      </c>
      <c r="AW114">
        <v>0</v>
      </c>
      <c r="AX114" s="1">
        <v>46163</v>
      </c>
      <c r="AY114" s="2">
        <v>0.63752314814814814</v>
      </c>
      <c r="AZ114">
        <v>206739</v>
      </c>
      <c r="BA114" s="1">
        <v>46143</v>
      </c>
      <c r="BC114" t="s">
        <v>175</v>
      </c>
      <c r="BD114" s="1">
        <v>46143</v>
      </c>
      <c r="BE114" t="s">
        <v>176</v>
      </c>
      <c r="BL114" s="4">
        <v>0</v>
      </c>
      <c r="BM114" s="1">
        <v>46698</v>
      </c>
      <c r="BN114" s="1">
        <v>46163</v>
      </c>
      <c r="BO114">
        <v>0</v>
      </c>
      <c r="BP114">
        <v>31844</v>
      </c>
      <c r="BQ114" t="s">
        <v>156</v>
      </c>
      <c r="BR114" s="3">
        <v>320000</v>
      </c>
      <c r="BS114">
        <v>0</v>
      </c>
      <c r="BT114">
        <v>0</v>
      </c>
      <c r="BU114" s="3">
        <v>320000</v>
      </c>
      <c r="BV114" s="3">
        <v>356454.56</v>
      </c>
      <c r="BX114">
        <v>0</v>
      </c>
      <c r="BZ114">
        <v>0</v>
      </c>
      <c r="CA114">
        <v>0</v>
      </c>
      <c r="CB114">
        <v>0</v>
      </c>
      <c r="CC114" s="3">
        <v>356454.56</v>
      </c>
      <c r="CD114" s="5">
        <v>0</v>
      </c>
      <c r="CF114" s="6">
        <v>46143</v>
      </c>
      <c r="CH114">
        <v>0</v>
      </c>
      <c r="CI114">
        <v>0</v>
      </c>
      <c r="CJ114">
        <v>0</v>
      </c>
      <c r="CK114">
        <v>0</v>
      </c>
      <c r="CL114">
        <v>0</v>
      </c>
      <c r="CM114">
        <v>0</v>
      </c>
      <c r="CN114">
        <v>0</v>
      </c>
      <c r="CO114">
        <v>0</v>
      </c>
      <c r="CP114">
        <v>0</v>
      </c>
      <c r="CQ114">
        <v>0</v>
      </c>
      <c r="CR114">
        <v>0</v>
      </c>
      <c r="CS114" t="s">
        <v>177</v>
      </c>
      <c r="CT114" t="s">
        <v>238</v>
      </c>
      <c r="CU114" t="s">
        <v>1113</v>
      </c>
      <c r="CW114">
        <v>-60.237299999999998</v>
      </c>
      <c r="CX114" t="s">
        <v>170</v>
      </c>
      <c r="CZ114" s="1">
        <v>46147</v>
      </c>
      <c r="DA114" t="s">
        <v>172</v>
      </c>
      <c r="DB114" t="s">
        <v>172</v>
      </c>
      <c r="DC114" t="s">
        <v>172</v>
      </c>
      <c r="DD114" t="s">
        <v>172</v>
      </c>
      <c r="DG114" s="1">
        <v>46147</v>
      </c>
      <c r="DH114">
        <v>0</v>
      </c>
      <c r="DI114">
        <v>0</v>
      </c>
      <c r="DJ114" s="1">
        <v>46163</v>
      </c>
      <c r="DL114" t="s">
        <v>239</v>
      </c>
      <c r="DM114" t="s">
        <v>172</v>
      </c>
      <c r="DU114" t="s">
        <v>1120</v>
      </c>
      <c r="DV114" s="3">
        <v>539999.72</v>
      </c>
      <c r="DW114">
        <v>-60.24</v>
      </c>
      <c r="DX114" s="3">
        <v>539999.72</v>
      </c>
      <c r="DY114">
        <v>-60.24</v>
      </c>
    </row>
    <row r="115" spans="1:153" x14ac:dyDescent="0.35">
      <c r="A115" t="str">
        <f>HYPERLINK("https://7lm.cvcrm.com.br/gestor/comercial/reservas/7045/administrar","7045")</f>
        <v>7045</v>
      </c>
      <c r="B115" t="s">
        <v>172</v>
      </c>
      <c r="C115" s="1">
        <v>46147</v>
      </c>
      <c r="D115" s="2">
        <v>0.633275462962963</v>
      </c>
      <c r="E115" t="s">
        <v>527</v>
      </c>
      <c r="F115" t="s">
        <v>182</v>
      </c>
      <c r="G115" t="s">
        <v>159</v>
      </c>
      <c r="H115" t="s">
        <v>759</v>
      </c>
      <c r="I115" t="s">
        <v>1063</v>
      </c>
      <c r="J115">
        <v>1</v>
      </c>
      <c r="K115">
        <v>8488</v>
      </c>
      <c r="L115">
        <v>30151</v>
      </c>
      <c r="M115" t="s">
        <v>1064</v>
      </c>
      <c r="R115" t="str">
        <f>HYPERLINK("https://7lm.cvcrm.com.br/gestor/relatorios/associado/html?q[1|r.idreserva]=7045","KAIQUES GOMES DE LIMA CASTRO")</f>
        <v>KAIQUES GOMES DE LIMA CASTRO</v>
      </c>
      <c r="S115">
        <v>4084919144</v>
      </c>
      <c r="T115">
        <v>5538998999036</v>
      </c>
      <c r="U115">
        <v>5561999221330</v>
      </c>
      <c r="V115" t="s">
        <v>1065</v>
      </c>
      <c r="W115" t="s">
        <v>163</v>
      </c>
      <c r="X115" t="s">
        <v>376</v>
      </c>
      <c r="Y115" t="s">
        <v>189</v>
      </c>
      <c r="Z115" t="s">
        <v>190</v>
      </c>
      <c r="AA115" t="s">
        <v>806</v>
      </c>
      <c r="AB115" t="s">
        <v>1066</v>
      </c>
      <c r="AC115" t="s">
        <v>291</v>
      </c>
      <c r="AF115" t="s">
        <v>194</v>
      </c>
      <c r="AG115" t="s">
        <v>251</v>
      </c>
      <c r="AH115" s="3">
        <v>213311.4</v>
      </c>
      <c r="AI115" s="3">
        <v>213311.4</v>
      </c>
      <c r="AJ115" s="1">
        <v>46178</v>
      </c>
      <c r="AN115" t="s">
        <v>172</v>
      </c>
      <c r="AO115" t="s">
        <v>725</v>
      </c>
      <c r="AP115" t="s">
        <v>1121</v>
      </c>
      <c r="AT115" t="s">
        <v>196</v>
      </c>
      <c r="AU115" t="s">
        <v>292</v>
      </c>
      <c r="AW115">
        <v>0</v>
      </c>
      <c r="AX115" s="1">
        <v>46149</v>
      </c>
      <c r="AY115" s="2">
        <v>0.41432870370370373</v>
      </c>
      <c r="AZ115" t="s">
        <v>1122</v>
      </c>
      <c r="BA115" t="s">
        <v>1123</v>
      </c>
      <c r="BB115" t="s">
        <v>356</v>
      </c>
      <c r="BC115" t="s">
        <v>1124</v>
      </c>
      <c r="BD115" t="s">
        <v>1125</v>
      </c>
      <c r="BE115" t="s">
        <v>1126</v>
      </c>
      <c r="BL115" s="4">
        <v>0</v>
      </c>
      <c r="BM115" s="1">
        <v>46899</v>
      </c>
      <c r="BO115">
        <v>0</v>
      </c>
      <c r="BP115">
        <v>31593</v>
      </c>
      <c r="BQ115" t="s">
        <v>156</v>
      </c>
      <c r="BR115" s="3">
        <v>143022.39999999999</v>
      </c>
      <c r="BS115" s="3">
        <v>22889</v>
      </c>
      <c r="BT115">
        <v>0</v>
      </c>
      <c r="BU115" s="3">
        <v>165911.4</v>
      </c>
      <c r="BV115" s="3">
        <v>213311.4</v>
      </c>
      <c r="BX115">
        <v>0</v>
      </c>
      <c r="BZ115">
        <v>0</v>
      </c>
      <c r="CA115">
        <v>0</v>
      </c>
      <c r="CB115">
        <v>0</v>
      </c>
      <c r="CC115" s="3">
        <v>213311.4</v>
      </c>
      <c r="CD115" s="5">
        <v>0</v>
      </c>
      <c r="CF115" s="6">
        <v>46143</v>
      </c>
      <c r="CH115">
        <v>0</v>
      </c>
      <c r="CI115">
        <v>0</v>
      </c>
      <c r="CJ115">
        <v>0</v>
      </c>
      <c r="CK115">
        <v>0</v>
      </c>
      <c r="CL115">
        <v>0</v>
      </c>
      <c r="CM115">
        <v>0</v>
      </c>
      <c r="CN115">
        <v>0</v>
      </c>
      <c r="CO115">
        <v>0</v>
      </c>
      <c r="CP115">
        <v>0</v>
      </c>
      <c r="CQ115">
        <v>0</v>
      </c>
      <c r="CR115">
        <v>0</v>
      </c>
      <c r="CT115" t="s">
        <v>190</v>
      </c>
      <c r="CU115" t="s">
        <v>1063</v>
      </c>
      <c r="CW115">
        <v>0</v>
      </c>
      <c r="CZ115" s="1">
        <v>46147</v>
      </c>
      <c r="DA115" t="s">
        <v>172</v>
      </c>
      <c r="DB115" t="s">
        <v>172</v>
      </c>
      <c r="DC115" t="s">
        <v>172</v>
      </c>
      <c r="DD115" t="s">
        <v>172</v>
      </c>
      <c r="DG115" s="1">
        <v>46147</v>
      </c>
      <c r="DH115">
        <v>0</v>
      </c>
      <c r="DI115">
        <v>0</v>
      </c>
      <c r="DK115" t="s">
        <v>179</v>
      </c>
      <c r="DL115" t="s">
        <v>200</v>
      </c>
      <c r="DM115" t="s">
        <v>172</v>
      </c>
      <c r="DN115" t="s">
        <v>201</v>
      </c>
      <c r="DV115" s="3">
        <v>213311.4</v>
      </c>
      <c r="DW115">
        <v>0</v>
      </c>
      <c r="DX115" s="3">
        <v>213311.4</v>
      </c>
      <c r="DY115">
        <v>0</v>
      </c>
      <c r="EN115" t="s">
        <v>156</v>
      </c>
    </row>
    <row r="116" spans="1:153" ht="246.5" x14ac:dyDescent="0.35">
      <c r="A116" t="str">
        <f>HYPERLINK("https://7lm.cvcrm.com.br/gestor/comercial/reservas/7044/administrar","7044")</f>
        <v>7044</v>
      </c>
      <c r="B116" t="s">
        <v>156</v>
      </c>
      <c r="C116" s="1">
        <v>46146</v>
      </c>
      <c r="D116" s="2">
        <v>0.74252314814814813</v>
      </c>
      <c r="E116" t="s">
        <v>294</v>
      </c>
      <c r="F116" t="s">
        <v>182</v>
      </c>
      <c r="G116" t="s">
        <v>159</v>
      </c>
      <c r="H116" t="s">
        <v>975</v>
      </c>
      <c r="I116" t="s">
        <v>1127</v>
      </c>
      <c r="J116">
        <v>1</v>
      </c>
      <c r="K116">
        <v>8423</v>
      </c>
      <c r="L116">
        <v>30151</v>
      </c>
      <c r="M116" t="s">
        <v>1128</v>
      </c>
      <c r="N116" s="1">
        <v>46150</v>
      </c>
      <c r="O116" s="2">
        <v>0.64965277777777775</v>
      </c>
      <c r="Q116">
        <v>9938</v>
      </c>
      <c r="R116" t="str">
        <f>HYPERLINK("https://7lm.cvcrm.com.br/gestor/relatorios/associado/html?q[1|r.idreserva]=7044","HERBERT PAULO SOUZA DA SILVA")</f>
        <v>HERBERT PAULO SOUZA DA SILVA</v>
      </c>
      <c r="S116">
        <v>5610967163</v>
      </c>
      <c r="T116">
        <v>5561996827660</v>
      </c>
      <c r="U116">
        <v>553599109984</v>
      </c>
      <c r="V116" t="s">
        <v>1129</v>
      </c>
      <c r="W116" t="s">
        <v>163</v>
      </c>
      <c r="X116" t="s">
        <v>1130</v>
      </c>
      <c r="Y116" t="s">
        <v>189</v>
      </c>
      <c r="Z116" t="s">
        <v>190</v>
      </c>
      <c r="AA116" t="s">
        <v>1131</v>
      </c>
      <c r="AB116" t="s">
        <v>1132</v>
      </c>
      <c r="AC116" t="s">
        <v>379</v>
      </c>
      <c r="AD116" t="s">
        <v>379</v>
      </c>
      <c r="AF116" t="s">
        <v>352</v>
      </c>
      <c r="AG116" t="s">
        <v>195</v>
      </c>
      <c r="AH116" s="3">
        <v>246000.43</v>
      </c>
      <c r="AI116" s="3">
        <v>246000.43</v>
      </c>
      <c r="AJ116" s="1">
        <v>46207</v>
      </c>
      <c r="AN116" t="s">
        <v>172</v>
      </c>
      <c r="AR116" s="7" t="s">
        <v>353</v>
      </c>
      <c r="AT116" t="s">
        <v>261</v>
      </c>
      <c r="AU116" t="s">
        <v>292</v>
      </c>
      <c r="AW116">
        <v>0</v>
      </c>
      <c r="AX116" s="1">
        <v>46153</v>
      </c>
      <c r="AY116" s="2">
        <v>0.50590277777777781</v>
      </c>
      <c r="AZ116" t="s">
        <v>1133</v>
      </c>
      <c r="BA116" t="s">
        <v>1134</v>
      </c>
      <c r="BB116" t="s">
        <v>356</v>
      </c>
      <c r="BC116" t="s">
        <v>1135</v>
      </c>
      <c r="BD116" t="s">
        <v>1134</v>
      </c>
      <c r="BE116" t="s">
        <v>1136</v>
      </c>
      <c r="BL116" s="4">
        <v>0</v>
      </c>
      <c r="BM116" s="1">
        <v>46899</v>
      </c>
      <c r="BN116" s="1">
        <v>46153</v>
      </c>
      <c r="BO116">
        <v>0</v>
      </c>
      <c r="BP116">
        <v>31862</v>
      </c>
      <c r="BQ116" t="s">
        <v>156</v>
      </c>
      <c r="BR116" s="3">
        <v>143695.56</v>
      </c>
      <c r="BS116" s="3">
        <v>20324</v>
      </c>
      <c r="BT116">
        <v>0</v>
      </c>
      <c r="BU116" s="3">
        <v>164019.56</v>
      </c>
      <c r="BV116" s="3">
        <v>246000.43</v>
      </c>
      <c r="BX116">
        <v>0</v>
      </c>
      <c r="BZ116">
        <v>0</v>
      </c>
      <c r="CA116">
        <v>0</v>
      </c>
      <c r="CB116">
        <v>0</v>
      </c>
      <c r="CC116" s="3">
        <v>246000.43</v>
      </c>
      <c r="CD116" s="5">
        <v>0</v>
      </c>
      <c r="CF116" s="6">
        <v>46143</v>
      </c>
      <c r="CH116">
        <v>0</v>
      </c>
      <c r="CI116">
        <v>0</v>
      </c>
      <c r="CJ116">
        <v>0</v>
      </c>
      <c r="CK116">
        <v>0</v>
      </c>
      <c r="CL116">
        <v>0</v>
      </c>
      <c r="CM116">
        <v>0</v>
      </c>
      <c r="CN116">
        <v>0</v>
      </c>
      <c r="CO116">
        <v>0</v>
      </c>
      <c r="CP116">
        <v>0</v>
      </c>
      <c r="CQ116">
        <v>0</v>
      </c>
      <c r="CR116">
        <v>0</v>
      </c>
      <c r="CS116" t="s">
        <v>659</v>
      </c>
      <c r="CT116" t="s">
        <v>190</v>
      </c>
      <c r="CU116" t="s">
        <v>1127</v>
      </c>
      <c r="CW116">
        <v>-53.7941</v>
      </c>
      <c r="CZ116" s="1">
        <v>46146</v>
      </c>
      <c r="DA116" t="s">
        <v>172</v>
      </c>
      <c r="DB116" t="s">
        <v>172</v>
      </c>
      <c r="DC116" t="s">
        <v>172</v>
      </c>
      <c r="DD116" t="s">
        <v>172</v>
      </c>
      <c r="DG116" s="1">
        <v>46146</v>
      </c>
      <c r="DH116">
        <v>0</v>
      </c>
      <c r="DI116">
        <v>0</v>
      </c>
      <c r="DJ116" s="1">
        <v>46153</v>
      </c>
      <c r="DK116" t="s">
        <v>179</v>
      </c>
      <c r="DL116" t="s">
        <v>200</v>
      </c>
      <c r="DM116" t="s">
        <v>172</v>
      </c>
      <c r="DN116" t="s">
        <v>225</v>
      </c>
      <c r="DV116" s="3">
        <v>246000.43</v>
      </c>
      <c r="DW116">
        <v>0</v>
      </c>
      <c r="DX116" s="3">
        <v>246000.43</v>
      </c>
      <c r="DY116">
        <v>0</v>
      </c>
      <c r="EG116" s="1">
        <v>46149</v>
      </c>
      <c r="EN116" t="s">
        <v>156</v>
      </c>
      <c r="EP116" s="1">
        <v>46148</v>
      </c>
      <c r="EQ116" s="1">
        <v>46149</v>
      </c>
      <c r="ER116" s="1">
        <v>46148</v>
      </c>
      <c r="ES116" t="s">
        <v>1137</v>
      </c>
      <c r="EV116" s="1">
        <v>46149</v>
      </c>
      <c r="EW116" s="1">
        <v>46146</v>
      </c>
    </row>
    <row r="117" spans="1:153" x14ac:dyDescent="0.35">
      <c r="A117" t="str">
        <f>HYPERLINK("https://7lm.cvcrm.com.br/gestor/comercial/reservas/7043/administrar","7043")</f>
        <v>7043</v>
      </c>
      <c r="B117" t="s">
        <v>156</v>
      </c>
      <c r="C117" s="1">
        <v>46146</v>
      </c>
      <c r="D117" s="2">
        <v>0.4783101851851852</v>
      </c>
      <c r="E117" t="s">
        <v>157</v>
      </c>
      <c r="F117" t="s">
        <v>158</v>
      </c>
      <c r="G117" t="s">
        <v>159</v>
      </c>
      <c r="H117" t="s">
        <v>160</v>
      </c>
      <c r="I117">
        <v>1205</v>
      </c>
      <c r="J117">
        <v>1</v>
      </c>
      <c r="L117">
        <v>10001</v>
      </c>
      <c r="M117" t="s">
        <v>1138</v>
      </c>
      <c r="N117" s="1">
        <v>46170</v>
      </c>
      <c r="O117" s="2">
        <v>0.59914351851851855</v>
      </c>
      <c r="R117" t="str">
        <f>HYPERLINK("https://7lm.cvcrm.com.br/gestor/relatorios/associado/html?q[1|r.idreserva]=7043","ANDREY SILVA CESAR")</f>
        <v>ANDREY SILVA CESAR</v>
      </c>
      <c r="S117">
        <v>4667405147</v>
      </c>
      <c r="T117">
        <v>5561998063737</v>
      </c>
      <c r="V117" t="s">
        <v>1139</v>
      </c>
      <c r="W117" t="s">
        <v>163</v>
      </c>
      <c r="X117" t="s">
        <v>1140</v>
      </c>
      <c r="Y117" t="s">
        <v>165</v>
      </c>
      <c r="Z117" t="s">
        <v>257</v>
      </c>
      <c r="AA117" t="s">
        <v>1141</v>
      </c>
      <c r="AB117" t="s">
        <v>1142</v>
      </c>
      <c r="AC117" t="s">
        <v>236</v>
      </c>
      <c r="AE117" t="s">
        <v>169</v>
      </c>
      <c r="AF117" t="s">
        <v>170</v>
      </c>
      <c r="AG117" t="s">
        <v>171</v>
      </c>
      <c r="AH117" s="3">
        <v>518620.25</v>
      </c>
      <c r="AI117" s="3">
        <v>518620.25</v>
      </c>
      <c r="AJ117" s="1">
        <v>46171</v>
      </c>
      <c r="AN117" t="s">
        <v>172</v>
      </c>
      <c r="AT117" t="s">
        <v>261</v>
      </c>
      <c r="AU117" t="s">
        <v>262</v>
      </c>
      <c r="AW117">
        <v>0</v>
      </c>
      <c r="AX117" s="1">
        <v>46146</v>
      </c>
      <c r="AY117" s="2">
        <v>0.4783101851851852</v>
      </c>
      <c r="AZ117">
        <v>198377</v>
      </c>
      <c r="BA117" s="1">
        <v>46112</v>
      </c>
      <c r="BC117" t="s">
        <v>176</v>
      </c>
      <c r="BD117" s="1">
        <v>46112</v>
      </c>
      <c r="BE117" t="s">
        <v>262</v>
      </c>
      <c r="BL117" s="4">
        <v>0</v>
      </c>
      <c r="BM117" s="1">
        <v>46387</v>
      </c>
      <c r="BO117">
        <v>0</v>
      </c>
      <c r="BP117">
        <v>30377</v>
      </c>
      <c r="BQ117" t="s">
        <v>156</v>
      </c>
      <c r="BR117" s="3">
        <v>311000.64</v>
      </c>
      <c r="BS117">
        <v>0</v>
      </c>
      <c r="BT117">
        <v>0</v>
      </c>
      <c r="BU117" s="3">
        <v>311000.64</v>
      </c>
      <c r="BV117" s="3">
        <v>518620.25</v>
      </c>
      <c r="BX117">
        <v>0</v>
      </c>
      <c r="BZ117">
        <v>0</v>
      </c>
      <c r="CA117">
        <v>0</v>
      </c>
      <c r="CB117">
        <v>0</v>
      </c>
      <c r="CC117" s="3">
        <v>518620.25</v>
      </c>
      <c r="CD117" s="5">
        <v>0</v>
      </c>
      <c r="CF117" s="6">
        <v>46143</v>
      </c>
      <c r="CH117">
        <v>0</v>
      </c>
      <c r="CI117">
        <v>0</v>
      </c>
      <c r="CJ117">
        <v>0</v>
      </c>
      <c r="CK117">
        <v>0</v>
      </c>
      <c r="CL117">
        <v>0</v>
      </c>
      <c r="CM117">
        <v>0</v>
      </c>
      <c r="CN117">
        <v>0</v>
      </c>
      <c r="CO117">
        <v>0</v>
      </c>
      <c r="CP117">
        <v>0</v>
      </c>
      <c r="CQ117">
        <v>0</v>
      </c>
      <c r="CR117">
        <v>0</v>
      </c>
      <c r="CS117" t="s">
        <v>177</v>
      </c>
      <c r="CT117" t="s">
        <v>178</v>
      </c>
      <c r="CU117">
        <v>1205</v>
      </c>
      <c r="CW117">
        <v>-58.4086</v>
      </c>
      <c r="CZ117" s="1">
        <v>46146</v>
      </c>
      <c r="DA117" t="s">
        <v>172</v>
      </c>
      <c r="DB117" t="s">
        <v>172</v>
      </c>
      <c r="DC117" t="s">
        <v>172</v>
      </c>
      <c r="DD117" t="s">
        <v>172</v>
      </c>
      <c r="DG117" s="1">
        <v>46146</v>
      </c>
      <c r="DH117">
        <v>0</v>
      </c>
      <c r="DI117">
        <v>0</v>
      </c>
      <c r="DK117" t="s">
        <v>179</v>
      </c>
      <c r="DM117" t="s">
        <v>172</v>
      </c>
      <c r="DN117" t="s">
        <v>180</v>
      </c>
      <c r="DU117" t="s">
        <v>734</v>
      </c>
      <c r="DV117" s="3">
        <v>728319.75</v>
      </c>
      <c r="DW117">
        <v>-58.41</v>
      </c>
      <c r="DX117" s="3">
        <v>728319.75</v>
      </c>
      <c r="DY117">
        <v>-58.41</v>
      </c>
    </row>
    <row r="118" spans="1:153" ht="87" x14ac:dyDescent="0.35">
      <c r="A118" t="str">
        <f>HYPERLINK("https://7lm.cvcrm.com.br/gestor/comercial/reservas/7042/administrar","7042")</f>
        <v>7042</v>
      </c>
      <c r="B118" t="s">
        <v>156</v>
      </c>
      <c r="C118" s="1">
        <v>46144</v>
      </c>
      <c r="D118" s="2">
        <v>0.61241898148148144</v>
      </c>
      <c r="E118" t="s">
        <v>294</v>
      </c>
      <c r="F118" t="s">
        <v>226</v>
      </c>
      <c r="G118" t="s">
        <v>159</v>
      </c>
      <c r="H118" t="s">
        <v>1143</v>
      </c>
      <c r="I118" t="s">
        <v>1144</v>
      </c>
      <c r="J118">
        <v>1</v>
      </c>
      <c r="K118">
        <v>8403</v>
      </c>
      <c r="L118">
        <v>10031</v>
      </c>
      <c r="M118" t="s">
        <v>1145</v>
      </c>
      <c r="N118" s="1">
        <v>46156</v>
      </c>
      <c r="O118" s="2">
        <v>0.64686342592592594</v>
      </c>
      <c r="Q118">
        <v>9925</v>
      </c>
      <c r="R118" t="str">
        <f>HYPERLINK("https://7lm.cvcrm.com.br/gestor/relatorios/associado/html?q[1|r.idreserva]=7042","GUILHERME BITEMCOURT VIANA DA COSTA")</f>
        <v>GUILHERME BITEMCOURT VIANA DA COSTA</v>
      </c>
      <c r="S118">
        <v>95940030149</v>
      </c>
      <c r="T118">
        <v>5561995070801</v>
      </c>
      <c r="U118">
        <v>5561995070801</v>
      </c>
      <c r="V118" t="s">
        <v>1146</v>
      </c>
      <c r="W118" t="s">
        <v>163</v>
      </c>
      <c r="X118" t="s">
        <v>1147</v>
      </c>
      <c r="Y118" t="s">
        <v>165</v>
      </c>
      <c r="Z118" t="s">
        <v>238</v>
      </c>
      <c r="AA118" t="s">
        <v>812</v>
      </c>
      <c r="AB118" t="s">
        <v>1148</v>
      </c>
      <c r="AC118" t="s">
        <v>177</v>
      </c>
      <c r="AF118" t="s">
        <v>170</v>
      </c>
      <c r="AG118" t="s">
        <v>552</v>
      </c>
      <c r="AH118" s="3">
        <v>383549.18</v>
      </c>
      <c r="AI118" s="3">
        <v>383549.18</v>
      </c>
      <c r="AJ118" s="1">
        <v>46173</v>
      </c>
      <c r="AN118" t="s">
        <v>172</v>
      </c>
      <c r="AR118" s="7" t="s">
        <v>1149</v>
      </c>
      <c r="AT118" t="s">
        <v>196</v>
      </c>
      <c r="AU118" t="s">
        <v>197</v>
      </c>
      <c r="AW118">
        <v>0</v>
      </c>
      <c r="AX118" s="1">
        <v>46148</v>
      </c>
      <c r="AY118" s="2">
        <v>0.58193287037037034</v>
      </c>
      <c r="AZ118">
        <v>206419</v>
      </c>
      <c r="BA118" s="1">
        <v>46142</v>
      </c>
      <c r="BC118" t="s">
        <v>213</v>
      </c>
      <c r="BD118" s="1">
        <v>46142</v>
      </c>
      <c r="BE118" t="s">
        <v>176</v>
      </c>
      <c r="BL118" s="4">
        <v>0</v>
      </c>
      <c r="BM118" s="1">
        <v>46698</v>
      </c>
      <c r="BN118" s="1">
        <v>46148</v>
      </c>
      <c r="BO118">
        <v>0</v>
      </c>
      <c r="BP118">
        <v>31763</v>
      </c>
      <c r="BQ118" t="s">
        <v>156</v>
      </c>
      <c r="BR118" s="3">
        <v>400000</v>
      </c>
      <c r="BS118">
        <v>0</v>
      </c>
      <c r="BT118">
        <v>0</v>
      </c>
      <c r="BU118" s="3">
        <v>400000</v>
      </c>
      <c r="BV118" s="3">
        <v>383549.18</v>
      </c>
      <c r="BX118">
        <v>0</v>
      </c>
      <c r="BZ118">
        <v>0</v>
      </c>
      <c r="CA118">
        <v>0</v>
      </c>
      <c r="CB118">
        <v>0</v>
      </c>
      <c r="CC118" s="3">
        <v>383549.18</v>
      </c>
      <c r="CD118" s="5">
        <v>0</v>
      </c>
      <c r="CF118" s="6">
        <v>46143</v>
      </c>
      <c r="CH118">
        <v>0</v>
      </c>
      <c r="CI118">
        <v>0</v>
      </c>
      <c r="CJ118">
        <v>0</v>
      </c>
      <c r="CK118">
        <v>0</v>
      </c>
      <c r="CL118">
        <v>0</v>
      </c>
      <c r="CM118">
        <v>0</v>
      </c>
      <c r="CN118">
        <v>0</v>
      </c>
      <c r="CO118">
        <v>0</v>
      </c>
      <c r="CP118">
        <v>0</v>
      </c>
      <c r="CQ118">
        <v>0</v>
      </c>
      <c r="CR118">
        <v>0</v>
      </c>
      <c r="CS118" t="s">
        <v>360</v>
      </c>
      <c r="CT118" t="s">
        <v>238</v>
      </c>
      <c r="CU118" t="s">
        <v>1144</v>
      </c>
      <c r="CW118">
        <v>-58.470100000000002</v>
      </c>
      <c r="CX118" t="s">
        <v>170</v>
      </c>
      <c r="CZ118" s="1">
        <v>46144</v>
      </c>
      <c r="DA118" t="s">
        <v>172</v>
      </c>
      <c r="DB118" t="s">
        <v>172</v>
      </c>
      <c r="DC118" t="s">
        <v>172</v>
      </c>
      <c r="DD118" t="s">
        <v>172</v>
      </c>
      <c r="DG118" s="1">
        <v>46144</v>
      </c>
      <c r="DH118">
        <v>0</v>
      </c>
      <c r="DI118">
        <v>0</v>
      </c>
      <c r="DJ118" s="1">
        <v>46147</v>
      </c>
      <c r="DL118" t="s">
        <v>263</v>
      </c>
      <c r="DM118" t="s">
        <v>172</v>
      </c>
      <c r="DN118" t="s">
        <v>264</v>
      </c>
      <c r="DU118" t="s">
        <v>1120</v>
      </c>
      <c r="DV118" s="3">
        <v>540000.01</v>
      </c>
      <c r="DW118">
        <v>-58.47</v>
      </c>
      <c r="DX118" s="3">
        <v>540000.01</v>
      </c>
      <c r="DY118">
        <v>-58.47</v>
      </c>
    </row>
    <row r="119" spans="1:153" ht="174" x14ac:dyDescent="0.35">
      <c r="A119" t="str">
        <f>HYPERLINK("https://7lm.cvcrm.com.br/gestor/comercial/reservas/7041/administrar","7041")</f>
        <v>7041</v>
      </c>
      <c r="B119" t="s">
        <v>156</v>
      </c>
      <c r="C119" s="1">
        <v>46144</v>
      </c>
      <c r="D119" s="2">
        <v>0.59042824074074074</v>
      </c>
      <c r="E119" t="s">
        <v>294</v>
      </c>
      <c r="F119" t="s">
        <v>226</v>
      </c>
      <c r="G119" t="s">
        <v>159</v>
      </c>
      <c r="H119" t="s">
        <v>1143</v>
      </c>
      <c r="I119" t="s">
        <v>803</v>
      </c>
      <c r="J119">
        <v>1</v>
      </c>
      <c r="K119">
        <v>8479</v>
      </c>
      <c r="L119">
        <v>10031</v>
      </c>
      <c r="M119" t="s">
        <v>1150</v>
      </c>
      <c r="N119" s="1">
        <v>46160</v>
      </c>
      <c r="O119" s="2">
        <v>0.5166087962962963</v>
      </c>
      <c r="Q119">
        <v>9983</v>
      </c>
      <c r="R119" t="str">
        <f>HYPERLINK("https://7lm.cvcrm.com.br/gestor/relatorios/associado/html?q[1|r.idreserva]=7041","VINICIUS BELARMINO CORREIA")</f>
        <v>VINICIUS BELARMINO CORREIA</v>
      </c>
      <c r="S119">
        <v>4235044109</v>
      </c>
      <c r="T119">
        <v>5561986784632</v>
      </c>
      <c r="U119">
        <v>5561986784632</v>
      </c>
      <c r="V119" t="s">
        <v>1151</v>
      </c>
      <c r="W119" t="s">
        <v>163</v>
      </c>
      <c r="X119" t="s">
        <v>1152</v>
      </c>
      <c r="Y119" t="s">
        <v>165</v>
      </c>
      <c r="Z119" t="s">
        <v>257</v>
      </c>
      <c r="AA119" t="s">
        <v>1153</v>
      </c>
      <c r="AB119" t="s">
        <v>1154</v>
      </c>
      <c r="AC119" t="s">
        <v>1155</v>
      </c>
      <c r="AE119" t="s">
        <v>169</v>
      </c>
      <c r="AF119" t="s">
        <v>170</v>
      </c>
      <c r="AG119" t="s">
        <v>171</v>
      </c>
      <c r="AH119" s="3">
        <v>319685.90999999997</v>
      </c>
      <c r="AI119" s="3">
        <v>319685.90999999997</v>
      </c>
      <c r="AJ119" s="1">
        <v>46144</v>
      </c>
      <c r="AN119" t="s">
        <v>172</v>
      </c>
      <c r="AR119" s="7" t="s">
        <v>1156</v>
      </c>
      <c r="AT119" t="s">
        <v>261</v>
      </c>
      <c r="AU119" t="s">
        <v>335</v>
      </c>
      <c r="AW119">
        <v>0</v>
      </c>
      <c r="AX119" s="1">
        <v>46162</v>
      </c>
      <c r="AY119" s="2">
        <v>0.62806712962962963</v>
      </c>
      <c r="AZ119">
        <v>206271</v>
      </c>
      <c r="BA119" s="1">
        <v>46141</v>
      </c>
      <c r="BC119" t="s">
        <v>176</v>
      </c>
      <c r="BD119" s="1">
        <v>46141</v>
      </c>
      <c r="BE119" t="s">
        <v>176</v>
      </c>
      <c r="BL119" s="4">
        <v>0</v>
      </c>
      <c r="BM119" s="1">
        <v>46698</v>
      </c>
      <c r="BN119" s="1">
        <v>46162</v>
      </c>
      <c r="BO119">
        <v>0</v>
      </c>
      <c r="BP119">
        <v>31743</v>
      </c>
      <c r="BQ119" t="s">
        <v>156</v>
      </c>
      <c r="BR119">
        <v>0</v>
      </c>
      <c r="BS119">
        <v>0</v>
      </c>
      <c r="BT119">
        <v>0</v>
      </c>
      <c r="BU119">
        <v>0</v>
      </c>
      <c r="BV119" s="3">
        <v>319685.90999999997</v>
      </c>
      <c r="BX119">
        <v>0</v>
      </c>
      <c r="BZ119">
        <v>0</v>
      </c>
      <c r="CA119">
        <v>0</v>
      </c>
      <c r="CB119">
        <v>0</v>
      </c>
      <c r="CC119" s="3">
        <v>319685.90999999997</v>
      </c>
      <c r="CD119" s="5">
        <v>0</v>
      </c>
      <c r="CF119" s="6">
        <v>46143</v>
      </c>
      <c r="CH119">
        <v>0</v>
      </c>
      <c r="CI119">
        <v>0</v>
      </c>
      <c r="CJ119">
        <v>0</v>
      </c>
      <c r="CK119">
        <v>0</v>
      </c>
      <c r="CL119">
        <v>0</v>
      </c>
      <c r="CM119">
        <v>0</v>
      </c>
      <c r="CN119">
        <v>0</v>
      </c>
      <c r="CO119">
        <v>0</v>
      </c>
      <c r="CP119">
        <v>0</v>
      </c>
      <c r="CQ119">
        <v>0</v>
      </c>
      <c r="CR119">
        <v>0</v>
      </c>
      <c r="CS119" t="s">
        <v>360</v>
      </c>
      <c r="CT119" t="s">
        <v>238</v>
      </c>
      <c r="CU119" t="s">
        <v>803</v>
      </c>
      <c r="CW119">
        <v>-64.998000000000005</v>
      </c>
      <c r="CX119" t="s">
        <v>170</v>
      </c>
      <c r="CZ119" s="1">
        <v>46144</v>
      </c>
      <c r="DA119" t="s">
        <v>172</v>
      </c>
      <c r="DB119" t="s">
        <v>172</v>
      </c>
      <c r="DC119" t="s">
        <v>172</v>
      </c>
      <c r="DD119" t="s">
        <v>172</v>
      </c>
      <c r="DG119" s="1">
        <v>46144</v>
      </c>
      <c r="DH119">
        <v>0</v>
      </c>
      <c r="DI119">
        <v>0</v>
      </c>
      <c r="DJ119" s="1">
        <v>46162</v>
      </c>
      <c r="DL119" t="s">
        <v>1157</v>
      </c>
      <c r="DM119" t="s">
        <v>172</v>
      </c>
      <c r="DN119" t="s">
        <v>264</v>
      </c>
      <c r="DU119" t="s">
        <v>1120</v>
      </c>
      <c r="DV119" s="3">
        <v>593651.19999999995</v>
      </c>
      <c r="DW119">
        <v>-65</v>
      </c>
      <c r="DX119" s="3">
        <v>593651.19999999995</v>
      </c>
      <c r="DY119">
        <v>-65</v>
      </c>
    </row>
    <row r="120" spans="1:153" ht="246.5" x14ac:dyDescent="0.35">
      <c r="A120" t="str">
        <f>HYPERLINK("https://7lm.cvcrm.com.br/gestor/comercial/reservas/7040/administrar","7040")</f>
        <v>7040</v>
      </c>
      <c r="B120" t="s">
        <v>156</v>
      </c>
      <c r="C120" s="1">
        <v>46144</v>
      </c>
      <c r="D120" s="2">
        <v>0.44494212962962965</v>
      </c>
      <c r="E120" t="s">
        <v>294</v>
      </c>
      <c r="F120" t="s">
        <v>957</v>
      </c>
      <c r="G120" t="s">
        <v>159</v>
      </c>
      <c r="H120" t="s">
        <v>418</v>
      </c>
      <c r="I120" t="s">
        <v>1158</v>
      </c>
      <c r="J120">
        <v>1</v>
      </c>
      <c r="K120">
        <v>8414</v>
      </c>
      <c r="L120">
        <v>30121</v>
      </c>
      <c r="M120" t="s">
        <v>1159</v>
      </c>
      <c r="N120" s="1">
        <v>46150</v>
      </c>
      <c r="O120" s="2">
        <v>0.6121064814814815</v>
      </c>
      <c r="Q120">
        <v>9934</v>
      </c>
      <c r="R120" t="str">
        <f>HYPERLINK("https://7lm.cvcrm.com.br/gestor/relatorios/associado/html?q[1|r.idreserva]=7040","JUAREZ RODRIGUES FRAGA")</f>
        <v>JUAREZ RODRIGUES FRAGA</v>
      </c>
      <c r="S120">
        <v>1944014136</v>
      </c>
      <c r="T120">
        <v>5561998766794</v>
      </c>
      <c r="U120">
        <v>5561999334224</v>
      </c>
      <c r="V120" t="s">
        <v>1160</v>
      </c>
      <c r="W120" t="s">
        <v>163</v>
      </c>
      <c r="X120" t="s">
        <v>366</v>
      </c>
      <c r="Y120" t="s">
        <v>189</v>
      </c>
      <c r="Z120" t="s">
        <v>190</v>
      </c>
      <c r="AA120" t="s">
        <v>367</v>
      </c>
      <c r="AB120" t="s">
        <v>1161</v>
      </c>
      <c r="AC120" t="s">
        <v>665</v>
      </c>
      <c r="AD120" t="s">
        <v>665</v>
      </c>
      <c r="AF120" t="s">
        <v>250</v>
      </c>
      <c r="AG120" t="s">
        <v>251</v>
      </c>
      <c r="AH120" s="3">
        <v>253930.27</v>
      </c>
      <c r="AI120" s="3">
        <v>253930.27</v>
      </c>
      <c r="AJ120" s="1">
        <v>46175</v>
      </c>
      <c r="AN120" t="s">
        <v>172</v>
      </c>
      <c r="AR120" s="7" t="s">
        <v>353</v>
      </c>
      <c r="AU120" t="s">
        <v>175</v>
      </c>
      <c r="AW120">
        <v>0</v>
      </c>
      <c r="AX120" s="1">
        <v>46150</v>
      </c>
      <c r="AY120" s="2">
        <v>0.61849537037037039</v>
      </c>
      <c r="AZ120">
        <v>206803</v>
      </c>
      <c r="BA120" s="1">
        <v>46144</v>
      </c>
      <c r="BC120" t="s">
        <v>176</v>
      </c>
      <c r="BD120" s="1">
        <v>46144</v>
      </c>
      <c r="BE120" t="s">
        <v>1162</v>
      </c>
      <c r="BL120" s="4">
        <v>0</v>
      </c>
      <c r="BM120" s="1">
        <v>47031</v>
      </c>
      <c r="BN120" s="1">
        <v>46150</v>
      </c>
      <c r="BO120">
        <v>0</v>
      </c>
      <c r="BP120">
        <v>31828</v>
      </c>
      <c r="BQ120" t="s">
        <v>156</v>
      </c>
      <c r="BR120">
        <v>0</v>
      </c>
      <c r="BS120">
        <v>0</v>
      </c>
      <c r="BT120">
        <v>0</v>
      </c>
      <c r="BU120">
        <v>0</v>
      </c>
      <c r="BV120" s="3">
        <v>253930.27</v>
      </c>
      <c r="BX120">
        <v>0</v>
      </c>
      <c r="BZ120">
        <v>0</v>
      </c>
      <c r="CA120">
        <v>0</v>
      </c>
      <c r="CB120">
        <v>0</v>
      </c>
      <c r="CC120" s="3">
        <v>253930.27</v>
      </c>
      <c r="CD120" s="5">
        <v>0</v>
      </c>
      <c r="CF120" s="6">
        <v>46143</v>
      </c>
      <c r="CH120">
        <v>0</v>
      </c>
      <c r="CI120">
        <v>0</v>
      </c>
      <c r="CJ120">
        <v>0</v>
      </c>
      <c r="CK120">
        <v>0</v>
      </c>
      <c r="CL120">
        <v>0</v>
      </c>
      <c r="CM120">
        <v>0</v>
      </c>
      <c r="CN120">
        <v>0</v>
      </c>
      <c r="CO120">
        <v>0</v>
      </c>
      <c r="CP120">
        <v>0</v>
      </c>
      <c r="CQ120">
        <v>0</v>
      </c>
      <c r="CR120">
        <v>0</v>
      </c>
      <c r="CS120" t="s">
        <v>360</v>
      </c>
      <c r="CT120" t="s">
        <v>190</v>
      </c>
      <c r="CU120" t="s">
        <v>1158</v>
      </c>
      <c r="CW120">
        <v>-45.748600000000003</v>
      </c>
      <c r="CZ120" s="1">
        <v>46144</v>
      </c>
      <c r="DA120" t="s">
        <v>172</v>
      </c>
      <c r="DB120" t="s">
        <v>172</v>
      </c>
      <c r="DC120" t="s">
        <v>172</v>
      </c>
      <c r="DD120" t="s">
        <v>172</v>
      </c>
      <c r="DF120" t="s">
        <v>495</v>
      </c>
      <c r="DG120" s="1">
        <v>46144</v>
      </c>
      <c r="DH120">
        <v>0</v>
      </c>
      <c r="DI120">
        <v>0</v>
      </c>
      <c r="DJ120" s="1">
        <v>46150</v>
      </c>
      <c r="DL120" t="s">
        <v>963</v>
      </c>
      <c r="DM120" t="s">
        <v>172</v>
      </c>
      <c r="DN120" t="s">
        <v>201</v>
      </c>
      <c r="DV120" s="3">
        <v>253930.27</v>
      </c>
      <c r="DW120">
        <v>0</v>
      </c>
      <c r="DX120" s="3">
        <v>253930.27</v>
      </c>
      <c r="DY120">
        <v>0</v>
      </c>
      <c r="EG120" s="1">
        <v>46148</v>
      </c>
      <c r="EN120" t="s">
        <v>156</v>
      </c>
      <c r="EQ120" s="1">
        <v>46149</v>
      </c>
      <c r="ER120" s="1">
        <v>46147</v>
      </c>
      <c r="ES120" t="s">
        <v>1163</v>
      </c>
      <c r="EU120" s="1">
        <v>46148</v>
      </c>
      <c r="EV120" s="1">
        <v>46149</v>
      </c>
      <c r="EW120" s="1">
        <v>46144</v>
      </c>
    </row>
    <row r="121" spans="1:153" ht="246.5" x14ac:dyDescent="0.35">
      <c r="A121" t="str">
        <f>HYPERLINK("https://7lm.cvcrm.com.br/gestor/comercial/reservas/7039/administrar","7039")</f>
        <v>7039</v>
      </c>
      <c r="B121" t="s">
        <v>156</v>
      </c>
      <c r="C121" s="1">
        <v>46144</v>
      </c>
      <c r="D121" s="2">
        <v>0.42153935185185187</v>
      </c>
      <c r="E121" t="s">
        <v>294</v>
      </c>
      <c r="F121" t="s">
        <v>1164</v>
      </c>
      <c r="G121" t="s">
        <v>203</v>
      </c>
      <c r="H121" t="s">
        <v>306</v>
      </c>
      <c r="I121" t="s">
        <v>1165</v>
      </c>
      <c r="J121">
        <v>1</v>
      </c>
      <c r="K121">
        <v>8435</v>
      </c>
      <c r="L121">
        <v>30001</v>
      </c>
      <c r="M121" t="s">
        <v>1166</v>
      </c>
      <c r="N121" s="1">
        <v>46150</v>
      </c>
      <c r="O121" s="2">
        <v>0.64618055555555554</v>
      </c>
      <c r="R121" t="str">
        <f>HYPERLINK("https://7lm.cvcrm.com.br/gestor/relatorios/associado/html?q[1|r.idreserva]=7039","DIOGO MOURA DA SILVA")</f>
        <v>DIOGO MOURA DA SILVA</v>
      </c>
      <c r="S121">
        <v>7743110109</v>
      </c>
      <c r="T121">
        <v>5561996155113</v>
      </c>
      <c r="U121">
        <v>5561996843190</v>
      </c>
      <c r="V121" t="s">
        <v>1167</v>
      </c>
      <c r="W121" t="s">
        <v>163</v>
      </c>
      <c r="X121" t="s">
        <v>1168</v>
      </c>
      <c r="Y121" t="s">
        <v>189</v>
      </c>
      <c r="Z121" t="s">
        <v>190</v>
      </c>
      <c r="AA121" t="s">
        <v>377</v>
      </c>
      <c r="AB121" t="s">
        <v>1169</v>
      </c>
      <c r="AC121" t="s">
        <v>845</v>
      </c>
      <c r="AD121" t="s">
        <v>845</v>
      </c>
      <c r="AF121" t="s">
        <v>352</v>
      </c>
      <c r="AG121" t="s">
        <v>251</v>
      </c>
      <c r="AH121" s="3">
        <v>254000</v>
      </c>
      <c r="AI121" s="3">
        <v>254000</v>
      </c>
      <c r="AJ121" s="1">
        <v>46205</v>
      </c>
      <c r="AN121" t="s">
        <v>172</v>
      </c>
      <c r="AR121" s="7" t="s">
        <v>353</v>
      </c>
      <c r="AT121" t="s">
        <v>261</v>
      </c>
      <c r="AU121" t="s">
        <v>292</v>
      </c>
      <c r="AW121">
        <v>0</v>
      </c>
      <c r="AX121" s="1">
        <v>46156</v>
      </c>
      <c r="AY121" s="2">
        <v>0.47435185185185186</v>
      </c>
      <c r="AZ121">
        <v>165299</v>
      </c>
      <c r="BA121" s="1">
        <v>45858</v>
      </c>
      <c r="BB121" s="1">
        <v>45939</v>
      </c>
      <c r="BC121" t="s">
        <v>0</v>
      </c>
      <c r="BD121" s="1">
        <v>46144</v>
      </c>
      <c r="BE121" t="s">
        <v>317</v>
      </c>
      <c r="BL121" s="4">
        <v>0</v>
      </c>
      <c r="BM121" s="1">
        <v>46416</v>
      </c>
      <c r="BN121" s="1">
        <v>46156</v>
      </c>
      <c r="BO121">
        <v>0</v>
      </c>
      <c r="BP121">
        <v>31597</v>
      </c>
      <c r="BQ121" t="s">
        <v>156</v>
      </c>
      <c r="BR121" s="3">
        <v>180000</v>
      </c>
      <c r="BS121" s="3">
        <v>1810</v>
      </c>
      <c r="BT121">
        <v>0</v>
      </c>
      <c r="BU121" s="3">
        <v>181810</v>
      </c>
      <c r="BV121" s="3">
        <v>254000</v>
      </c>
      <c r="BX121">
        <v>0</v>
      </c>
      <c r="BZ121">
        <v>0</v>
      </c>
      <c r="CA121">
        <v>0</v>
      </c>
      <c r="CB121">
        <v>0</v>
      </c>
      <c r="CC121" s="3">
        <v>254000</v>
      </c>
      <c r="CD121" s="5">
        <v>0</v>
      </c>
      <c r="CE121" t="s">
        <v>1170</v>
      </c>
      <c r="CF121" s="6">
        <v>46143</v>
      </c>
      <c r="CH121">
        <v>0</v>
      </c>
      <c r="CI121">
        <v>0</v>
      </c>
      <c r="CJ121">
        <v>0</v>
      </c>
      <c r="CK121">
        <v>0</v>
      </c>
      <c r="CL121">
        <v>0</v>
      </c>
      <c r="CM121">
        <v>0</v>
      </c>
      <c r="CN121">
        <v>0</v>
      </c>
      <c r="CO121">
        <v>0</v>
      </c>
      <c r="CP121">
        <v>0</v>
      </c>
      <c r="CQ121">
        <v>0</v>
      </c>
      <c r="CR121">
        <v>0</v>
      </c>
      <c r="CS121" t="s">
        <v>659</v>
      </c>
      <c r="CT121" t="s">
        <v>190</v>
      </c>
      <c r="CU121" t="s">
        <v>1165</v>
      </c>
      <c r="CW121">
        <v>-45.9574</v>
      </c>
      <c r="CX121" t="s">
        <v>194</v>
      </c>
      <c r="CZ121" s="1">
        <v>46144</v>
      </c>
      <c r="DA121" t="s">
        <v>172</v>
      </c>
      <c r="DB121" t="s">
        <v>172</v>
      </c>
      <c r="DC121" t="s">
        <v>172</v>
      </c>
      <c r="DD121" t="s">
        <v>172</v>
      </c>
      <c r="DG121" s="1">
        <v>46144</v>
      </c>
      <c r="DH121">
        <v>0</v>
      </c>
      <c r="DI121">
        <v>0</v>
      </c>
      <c r="DJ121" s="1">
        <v>46156</v>
      </c>
      <c r="DL121" t="s">
        <v>1171</v>
      </c>
      <c r="DM121" t="s">
        <v>172</v>
      </c>
      <c r="DN121" t="s">
        <v>225</v>
      </c>
      <c r="DV121" s="3">
        <v>254000</v>
      </c>
      <c r="DW121">
        <v>0</v>
      </c>
      <c r="DX121" s="3">
        <v>254000</v>
      </c>
      <c r="DY121">
        <v>0</v>
      </c>
      <c r="EF121" s="1">
        <v>46156</v>
      </c>
      <c r="EG121" s="1">
        <v>46153</v>
      </c>
      <c r="EH121" s="1">
        <v>46153</v>
      </c>
      <c r="EK121" s="1">
        <v>46156</v>
      </c>
      <c r="EN121" t="s">
        <v>156</v>
      </c>
      <c r="EP121" s="1">
        <v>46153</v>
      </c>
      <c r="EQ121" s="1">
        <v>46149</v>
      </c>
      <c r="ER121" s="1">
        <v>46150</v>
      </c>
      <c r="ES121" t="s">
        <v>1172</v>
      </c>
      <c r="EU121" s="1">
        <v>46147</v>
      </c>
      <c r="EV121" s="1">
        <v>46149</v>
      </c>
      <c r="EW121" s="1">
        <v>46144</v>
      </c>
    </row>
    <row r="122" spans="1:153" ht="409.5" x14ac:dyDescent="0.35">
      <c r="A122" t="str">
        <f>HYPERLINK("https://7lm.cvcrm.com.br/gestor/comercial/reservas/7038/administrar","7038")</f>
        <v>7038</v>
      </c>
      <c r="B122" t="s">
        <v>172</v>
      </c>
      <c r="C122" s="1">
        <v>46143</v>
      </c>
      <c r="D122" s="2">
        <v>0.76563657407407404</v>
      </c>
      <c r="E122" t="s">
        <v>527</v>
      </c>
      <c r="F122" t="s">
        <v>202</v>
      </c>
      <c r="G122" t="s">
        <v>203</v>
      </c>
      <c r="H122" t="s">
        <v>404</v>
      </c>
      <c r="I122" t="s">
        <v>1027</v>
      </c>
      <c r="J122">
        <v>1</v>
      </c>
      <c r="L122">
        <v>20031</v>
      </c>
      <c r="M122" t="s">
        <v>1028</v>
      </c>
      <c r="R122" t="str">
        <f>HYPERLINK("https://7lm.cvcrm.com.br/gestor/relatorios/associado/html?q[1|r.idreserva]=7038","ALEF MATEUS RIBEIRO DA SILVA")</f>
        <v>ALEF MATEUS RIBEIRO DA SILVA</v>
      </c>
      <c r="S122">
        <v>5852422169</v>
      </c>
      <c r="T122">
        <v>5561981634894</v>
      </c>
      <c r="V122" t="s">
        <v>1173</v>
      </c>
      <c r="W122" t="s">
        <v>163</v>
      </c>
      <c r="Y122" t="s">
        <v>165</v>
      </c>
      <c r="Z122" t="s">
        <v>238</v>
      </c>
      <c r="AA122" t="s">
        <v>812</v>
      </c>
      <c r="AB122" t="s">
        <v>1174</v>
      </c>
      <c r="AC122" t="s">
        <v>1009</v>
      </c>
      <c r="AD122" t="s">
        <v>1009</v>
      </c>
      <c r="AF122" t="s">
        <v>212</v>
      </c>
      <c r="AG122" t="s">
        <v>284</v>
      </c>
      <c r="AH122" s="3">
        <v>216082.43</v>
      </c>
      <c r="AI122" s="3">
        <v>216082.43</v>
      </c>
      <c r="AJ122" s="1">
        <v>46208</v>
      </c>
      <c r="AN122" t="s">
        <v>172</v>
      </c>
      <c r="AO122" t="s">
        <v>1175</v>
      </c>
      <c r="AR122" s="7" t="s">
        <v>1176</v>
      </c>
      <c r="AT122" t="s">
        <v>261</v>
      </c>
      <c r="AU122" t="s">
        <v>175</v>
      </c>
      <c r="AW122">
        <v>0</v>
      </c>
      <c r="AX122" s="1">
        <v>46148</v>
      </c>
      <c r="AY122" s="2">
        <v>0.49972222222222223</v>
      </c>
      <c r="AZ122">
        <v>206661</v>
      </c>
      <c r="BA122" s="1">
        <v>46143</v>
      </c>
      <c r="BC122" t="s">
        <v>213</v>
      </c>
      <c r="BD122" s="1">
        <v>46143</v>
      </c>
      <c r="BE122" t="s">
        <v>175</v>
      </c>
      <c r="BL122" s="4">
        <v>0</v>
      </c>
      <c r="BM122" s="1">
        <v>46808</v>
      </c>
      <c r="BO122">
        <v>0</v>
      </c>
      <c r="BP122">
        <v>31819</v>
      </c>
      <c r="BQ122" t="s">
        <v>156</v>
      </c>
      <c r="BR122" s="3">
        <v>111230.43</v>
      </c>
      <c r="BS122" s="3">
        <v>53952</v>
      </c>
      <c r="BT122">
        <v>0</v>
      </c>
      <c r="BU122" s="3">
        <v>165182.43</v>
      </c>
      <c r="BV122" s="3">
        <v>216082.43</v>
      </c>
      <c r="BX122">
        <v>0</v>
      </c>
      <c r="BZ122">
        <v>0</v>
      </c>
      <c r="CA122">
        <v>0</v>
      </c>
      <c r="CB122">
        <v>0</v>
      </c>
      <c r="CC122" s="3">
        <v>216082.43</v>
      </c>
      <c r="CD122" s="5">
        <v>0</v>
      </c>
      <c r="CF122" s="6">
        <v>46143</v>
      </c>
      <c r="CH122">
        <v>0</v>
      </c>
      <c r="CI122">
        <v>0</v>
      </c>
      <c r="CJ122">
        <v>0</v>
      </c>
      <c r="CK122">
        <v>0</v>
      </c>
      <c r="CL122">
        <v>0</v>
      </c>
      <c r="CM122">
        <v>0</v>
      </c>
      <c r="CN122">
        <v>0</v>
      </c>
      <c r="CO122">
        <v>0</v>
      </c>
      <c r="CP122">
        <v>0</v>
      </c>
      <c r="CQ122">
        <v>0</v>
      </c>
      <c r="CR122">
        <v>0</v>
      </c>
      <c r="CT122" t="s">
        <v>214</v>
      </c>
      <c r="CU122" t="s">
        <v>1027</v>
      </c>
      <c r="CW122">
        <v>0</v>
      </c>
      <c r="CZ122" s="1">
        <v>46143</v>
      </c>
      <c r="DA122" t="s">
        <v>172</v>
      </c>
      <c r="DB122" t="s">
        <v>172</v>
      </c>
      <c r="DC122" t="s">
        <v>172</v>
      </c>
      <c r="DD122" t="s">
        <v>172</v>
      </c>
      <c r="DG122" s="1">
        <v>46143</v>
      </c>
      <c r="DH122">
        <v>0</v>
      </c>
      <c r="DI122">
        <v>0</v>
      </c>
      <c r="DL122" t="s">
        <v>215</v>
      </c>
      <c r="DM122" t="s">
        <v>172</v>
      </c>
      <c r="DN122" t="s">
        <v>225</v>
      </c>
      <c r="DV122" s="3">
        <v>216082.43</v>
      </c>
      <c r="DW122">
        <v>0</v>
      </c>
      <c r="DX122" s="3">
        <v>216082.43</v>
      </c>
      <c r="DY122">
        <v>0</v>
      </c>
      <c r="EN122" t="s">
        <v>537</v>
      </c>
      <c r="EU122" s="1">
        <v>46153</v>
      </c>
      <c r="EW122" s="1">
        <v>46143</v>
      </c>
    </row>
    <row r="123" spans="1:153" ht="246.5" x14ac:dyDescent="0.35">
      <c r="A123" t="str">
        <f>HYPERLINK("https://7lm.cvcrm.com.br/gestor/comercial/reservas/7037/administrar","7037")</f>
        <v>7037</v>
      </c>
      <c r="B123" t="s">
        <v>156</v>
      </c>
      <c r="C123" s="1">
        <v>46143</v>
      </c>
      <c r="D123" s="2">
        <v>0.63645833333333335</v>
      </c>
      <c r="E123" t="s">
        <v>294</v>
      </c>
      <c r="F123" t="s">
        <v>957</v>
      </c>
      <c r="G123" t="s">
        <v>159</v>
      </c>
      <c r="H123" t="s">
        <v>759</v>
      </c>
      <c r="I123" t="s">
        <v>1177</v>
      </c>
      <c r="J123">
        <v>1</v>
      </c>
      <c r="K123">
        <v>8460</v>
      </c>
      <c r="L123">
        <v>30121</v>
      </c>
      <c r="M123" t="s">
        <v>1178</v>
      </c>
      <c r="N123" s="1">
        <v>46156</v>
      </c>
      <c r="O123" s="2">
        <v>0.75148148148148153</v>
      </c>
      <c r="Q123">
        <v>9963</v>
      </c>
      <c r="R123" t="str">
        <f>HYPERLINK("https://7lm.cvcrm.com.br/gestor/relatorios/associado/html?q[1|r.idreserva]=7037","FERNANDO ANTONIO RODRIGUES")</f>
        <v>FERNANDO ANTONIO RODRIGUES</v>
      </c>
      <c r="S123">
        <v>1272387194</v>
      </c>
      <c r="T123">
        <v>5561998058978</v>
      </c>
      <c r="U123">
        <v>556199925999</v>
      </c>
      <c r="V123" t="s">
        <v>1179</v>
      </c>
      <c r="W123" t="s">
        <v>163</v>
      </c>
      <c r="X123" t="s">
        <v>288</v>
      </c>
      <c r="Y123" t="s">
        <v>189</v>
      </c>
      <c r="Z123" t="s">
        <v>190</v>
      </c>
      <c r="AA123" t="s">
        <v>1180</v>
      </c>
      <c r="AB123" t="s">
        <v>1181</v>
      </c>
      <c r="AC123" t="s">
        <v>1182</v>
      </c>
      <c r="AF123" t="s">
        <v>194</v>
      </c>
      <c r="AG123" t="s">
        <v>195</v>
      </c>
      <c r="AH123" s="3">
        <v>255999.77</v>
      </c>
      <c r="AI123" s="3">
        <v>255999.77</v>
      </c>
      <c r="AJ123" s="1">
        <v>46204</v>
      </c>
      <c r="AN123" t="s">
        <v>172</v>
      </c>
      <c r="AR123" s="7" t="s">
        <v>353</v>
      </c>
      <c r="AT123" t="s">
        <v>196</v>
      </c>
      <c r="AU123" t="s">
        <v>197</v>
      </c>
      <c r="AW123">
        <v>0</v>
      </c>
      <c r="AX123" s="1">
        <v>46157</v>
      </c>
      <c r="AY123" s="2">
        <v>0.78695601851851849</v>
      </c>
      <c r="AZ123">
        <v>204916</v>
      </c>
      <c r="BA123" s="1">
        <v>46140</v>
      </c>
      <c r="BC123" t="s">
        <v>0</v>
      </c>
      <c r="BD123" s="1">
        <v>46142</v>
      </c>
      <c r="BE123" t="s">
        <v>317</v>
      </c>
      <c r="BL123" s="4">
        <v>0</v>
      </c>
      <c r="BM123" s="1">
        <v>47031</v>
      </c>
      <c r="BN123" s="1">
        <v>46157</v>
      </c>
      <c r="BO123">
        <v>0</v>
      </c>
      <c r="BP123">
        <v>31650</v>
      </c>
      <c r="BQ123" t="s">
        <v>156</v>
      </c>
      <c r="BR123">
        <v>0</v>
      </c>
      <c r="BS123">
        <v>0</v>
      </c>
      <c r="BT123">
        <v>0</v>
      </c>
      <c r="BU123">
        <v>0</v>
      </c>
      <c r="BV123" s="3">
        <v>255999.77</v>
      </c>
      <c r="BX123">
        <v>0</v>
      </c>
      <c r="BZ123">
        <v>0</v>
      </c>
      <c r="CA123">
        <v>0</v>
      </c>
      <c r="CB123">
        <v>0</v>
      </c>
      <c r="CC123" s="3">
        <v>255999.77</v>
      </c>
      <c r="CD123" s="5">
        <v>0</v>
      </c>
      <c r="CF123" s="6">
        <v>46143</v>
      </c>
      <c r="CH123">
        <v>0</v>
      </c>
      <c r="CI123">
        <v>0</v>
      </c>
      <c r="CJ123">
        <v>0</v>
      </c>
      <c r="CK123">
        <v>0</v>
      </c>
      <c r="CL123">
        <v>0</v>
      </c>
      <c r="CM123">
        <v>0</v>
      </c>
      <c r="CN123">
        <v>0</v>
      </c>
      <c r="CO123">
        <v>0</v>
      </c>
      <c r="CP123">
        <v>0</v>
      </c>
      <c r="CQ123">
        <v>0</v>
      </c>
      <c r="CR123">
        <v>0</v>
      </c>
      <c r="CS123" t="s">
        <v>199</v>
      </c>
      <c r="CT123" t="s">
        <v>190</v>
      </c>
      <c r="CU123" t="s">
        <v>1177</v>
      </c>
      <c r="CW123">
        <v>-50.521900000000002</v>
      </c>
      <c r="CZ123" s="1">
        <v>46143</v>
      </c>
      <c r="DA123" t="s">
        <v>172</v>
      </c>
      <c r="DB123" t="s">
        <v>172</v>
      </c>
      <c r="DC123" t="s">
        <v>172</v>
      </c>
      <c r="DD123" t="s">
        <v>172</v>
      </c>
      <c r="DG123" s="1">
        <v>46143</v>
      </c>
      <c r="DH123">
        <v>0</v>
      </c>
      <c r="DI123">
        <v>0</v>
      </c>
      <c r="DJ123" s="1">
        <v>46157</v>
      </c>
      <c r="DL123" t="s">
        <v>963</v>
      </c>
      <c r="DM123" t="s">
        <v>172</v>
      </c>
      <c r="DN123" t="s">
        <v>225</v>
      </c>
      <c r="DV123" s="3">
        <v>255999.77</v>
      </c>
      <c r="DW123">
        <v>0</v>
      </c>
      <c r="DX123" s="3">
        <v>255999.77</v>
      </c>
      <c r="DY123">
        <v>0</v>
      </c>
      <c r="EG123" s="1">
        <v>46156</v>
      </c>
      <c r="EN123" t="s">
        <v>156</v>
      </c>
      <c r="EP123" s="1">
        <v>46156</v>
      </c>
      <c r="ER123" s="1">
        <v>46156</v>
      </c>
      <c r="ES123" t="s">
        <v>1183</v>
      </c>
      <c r="ET123" t="s">
        <v>802</v>
      </c>
    </row>
    <row r="124" spans="1:153" x14ac:dyDescent="0.35">
      <c r="A124" t="str">
        <f>HYPERLINK("https://7lm.cvcrm.com.br/gestor/comercial/reservas/7036/administrar","7036")</f>
        <v>7036</v>
      </c>
      <c r="B124" t="s">
        <v>156</v>
      </c>
      <c r="C124" s="1">
        <v>46143</v>
      </c>
      <c r="D124" s="2">
        <v>0.5200231481481481</v>
      </c>
      <c r="E124" t="s">
        <v>294</v>
      </c>
      <c r="F124" t="s">
        <v>458</v>
      </c>
      <c r="G124" t="s">
        <v>203</v>
      </c>
      <c r="H124" t="s">
        <v>528</v>
      </c>
      <c r="I124" t="s">
        <v>745</v>
      </c>
      <c r="J124">
        <v>1</v>
      </c>
      <c r="K124">
        <v>8437</v>
      </c>
      <c r="L124">
        <v>20001</v>
      </c>
      <c r="M124" t="s">
        <v>1184</v>
      </c>
      <c r="N124" s="1">
        <v>46154</v>
      </c>
      <c r="O124" s="2">
        <v>0.60209490740740745</v>
      </c>
      <c r="Q124">
        <v>9949</v>
      </c>
      <c r="R124" t="str">
        <f>HYPERLINK("https://7lm.cvcrm.com.br/gestor/relatorios/associado/html?q[1|r.idreserva]=7036","ESTEFANE PINHEIRO DE MOURA")</f>
        <v>ESTEFANE PINHEIRO DE MOURA</v>
      </c>
      <c r="S124">
        <v>5931885196</v>
      </c>
      <c r="T124">
        <v>5561992739177</v>
      </c>
      <c r="U124">
        <v>5561993612124</v>
      </c>
      <c r="V124" t="s">
        <v>1185</v>
      </c>
      <c r="W124" t="s">
        <v>187</v>
      </c>
      <c r="Y124" t="s">
        <v>189</v>
      </c>
      <c r="Z124" t="s">
        <v>214</v>
      </c>
      <c r="AA124" t="s">
        <v>1186</v>
      </c>
      <c r="AB124" t="s">
        <v>214</v>
      </c>
      <c r="AC124" t="s">
        <v>1009</v>
      </c>
      <c r="AD124" t="s">
        <v>1009</v>
      </c>
      <c r="AF124" t="s">
        <v>212</v>
      </c>
      <c r="AG124" t="s">
        <v>284</v>
      </c>
      <c r="AH124" s="3">
        <v>215054.6</v>
      </c>
      <c r="AI124" s="3">
        <v>215054.6</v>
      </c>
      <c r="AJ124" s="1">
        <v>46208</v>
      </c>
      <c r="AN124" t="s">
        <v>172</v>
      </c>
      <c r="AR124" t="s">
        <v>1187</v>
      </c>
      <c r="AT124" t="s">
        <v>196</v>
      </c>
      <c r="AU124" t="s">
        <v>175</v>
      </c>
      <c r="AW124">
        <v>0</v>
      </c>
      <c r="AX124" s="1">
        <v>46156</v>
      </c>
      <c r="AY124" s="2">
        <v>0.52181712962962967</v>
      </c>
      <c r="AZ124">
        <v>206607</v>
      </c>
      <c r="BA124" s="1">
        <v>46143</v>
      </c>
      <c r="BC124" t="s">
        <v>213</v>
      </c>
      <c r="BD124" s="1">
        <v>46143</v>
      </c>
      <c r="BE124" t="s">
        <v>175</v>
      </c>
      <c r="BL124" s="4">
        <v>0</v>
      </c>
      <c r="BM124" s="1">
        <v>46572</v>
      </c>
      <c r="BN124" s="1">
        <v>46156</v>
      </c>
      <c r="BO124">
        <v>0</v>
      </c>
      <c r="BP124">
        <v>31818</v>
      </c>
      <c r="BQ124" t="s">
        <v>156</v>
      </c>
      <c r="BR124" s="3">
        <v>118403.6</v>
      </c>
      <c r="BS124" s="3">
        <v>47011</v>
      </c>
      <c r="BT124">
        <v>0</v>
      </c>
      <c r="BU124" s="3">
        <v>165414.6</v>
      </c>
      <c r="BV124" s="3">
        <v>215054.6</v>
      </c>
      <c r="BX124">
        <v>0</v>
      </c>
      <c r="BZ124">
        <v>0</v>
      </c>
      <c r="CA124">
        <v>0</v>
      </c>
      <c r="CB124">
        <v>0</v>
      </c>
      <c r="CC124" s="3">
        <v>215054.6</v>
      </c>
      <c r="CD124" s="5">
        <v>0</v>
      </c>
      <c r="CE124" t="s">
        <v>467</v>
      </c>
      <c r="CF124" s="6">
        <v>46143</v>
      </c>
      <c r="CH124">
        <v>0</v>
      </c>
      <c r="CI124">
        <v>0</v>
      </c>
      <c r="CJ124">
        <v>0</v>
      </c>
      <c r="CK124">
        <v>0</v>
      </c>
      <c r="CL124">
        <v>0</v>
      </c>
      <c r="CM124">
        <v>0</v>
      </c>
      <c r="CN124">
        <v>0</v>
      </c>
      <c r="CO124">
        <v>0</v>
      </c>
      <c r="CP124">
        <v>0</v>
      </c>
      <c r="CQ124">
        <v>0</v>
      </c>
      <c r="CR124">
        <v>0</v>
      </c>
      <c r="CS124" t="s">
        <v>778</v>
      </c>
      <c r="CT124" t="s">
        <v>214</v>
      </c>
      <c r="CU124" t="s">
        <v>745</v>
      </c>
      <c r="CW124">
        <v>-53.330199999999998</v>
      </c>
      <c r="CZ124" s="1">
        <v>46143</v>
      </c>
      <c r="DA124" t="s">
        <v>172</v>
      </c>
      <c r="DB124" t="s">
        <v>172</v>
      </c>
      <c r="DC124" t="s">
        <v>172</v>
      </c>
      <c r="DD124" t="s">
        <v>172</v>
      </c>
      <c r="DG124" s="1">
        <v>46143</v>
      </c>
      <c r="DH124">
        <v>0</v>
      </c>
      <c r="DI124">
        <v>0</v>
      </c>
      <c r="DJ124" s="1">
        <v>46156</v>
      </c>
      <c r="DL124" t="s">
        <v>794</v>
      </c>
      <c r="DM124" t="s">
        <v>172</v>
      </c>
      <c r="DN124" t="s">
        <v>795</v>
      </c>
      <c r="DV124" s="3">
        <v>215054.6</v>
      </c>
      <c r="DW124">
        <v>0</v>
      </c>
      <c r="DX124" s="3">
        <v>215054.6</v>
      </c>
      <c r="DY124">
        <v>0</v>
      </c>
      <c r="EN124" t="s">
        <v>537</v>
      </c>
      <c r="EP124" s="1">
        <v>46154</v>
      </c>
      <c r="EU124" s="1">
        <v>46155</v>
      </c>
      <c r="EV124" s="1">
        <v>46143</v>
      </c>
      <c r="EW124" s="1">
        <v>46143</v>
      </c>
    </row>
    <row r="125" spans="1:153" ht="246.5" x14ac:dyDescent="0.35">
      <c r="A125" t="str">
        <f>HYPERLINK("https://7lm.cvcrm.com.br/gestor/comercial/reservas/7035/administrar","7035")</f>
        <v>7035</v>
      </c>
      <c r="B125" t="s">
        <v>156</v>
      </c>
      <c r="C125" s="1">
        <v>46143</v>
      </c>
      <c r="D125" s="2">
        <v>0.47325231481481483</v>
      </c>
      <c r="E125" t="s">
        <v>294</v>
      </c>
      <c r="F125" t="s">
        <v>202</v>
      </c>
      <c r="G125" t="s">
        <v>203</v>
      </c>
      <c r="H125" t="s">
        <v>319</v>
      </c>
      <c r="I125" t="s">
        <v>1188</v>
      </c>
      <c r="J125">
        <v>1</v>
      </c>
      <c r="K125">
        <v>8446</v>
      </c>
      <c r="L125">
        <v>20031</v>
      </c>
      <c r="M125" t="s">
        <v>1189</v>
      </c>
      <c r="N125" s="1">
        <v>46157</v>
      </c>
      <c r="O125" s="2">
        <v>0.43387731481481484</v>
      </c>
      <c r="Q125">
        <v>9952</v>
      </c>
      <c r="R125" t="str">
        <f>HYPERLINK("https://7lm.cvcrm.com.br/gestor/relatorios/associado/html?q[1|r.idreserva]=7035","YAN CARNEIRO SOUSA")</f>
        <v>YAN CARNEIRO SOUSA</v>
      </c>
      <c r="S125">
        <v>9459044107</v>
      </c>
      <c r="T125">
        <v>5561998038487</v>
      </c>
      <c r="U125">
        <v>5561998343184</v>
      </c>
      <c r="V125" t="s">
        <v>1190</v>
      </c>
      <c r="W125" t="s">
        <v>163</v>
      </c>
      <c r="Y125" t="s">
        <v>189</v>
      </c>
      <c r="Z125" t="s">
        <v>214</v>
      </c>
      <c r="AA125" t="s">
        <v>1191</v>
      </c>
      <c r="AB125" t="s">
        <v>1192</v>
      </c>
      <c r="AC125" t="s">
        <v>1193</v>
      </c>
      <c r="AD125" t="s">
        <v>1193</v>
      </c>
      <c r="AF125" t="s">
        <v>212</v>
      </c>
      <c r="AG125" t="s">
        <v>284</v>
      </c>
      <c r="AH125" s="3">
        <v>218000.44</v>
      </c>
      <c r="AI125" s="3">
        <v>218000.44</v>
      </c>
      <c r="AJ125" s="1">
        <v>46208</v>
      </c>
      <c r="AN125" t="s">
        <v>172</v>
      </c>
      <c r="AR125" s="7" t="s">
        <v>353</v>
      </c>
      <c r="AT125" t="s">
        <v>196</v>
      </c>
      <c r="AU125" t="s">
        <v>175</v>
      </c>
      <c r="AW125">
        <v>0</v>
      </c>
      <c r="AX125" s="1">
        <v>46157</v>
      </c>
      <c r="AY125" s="2">
        <v>0.58981481481481479</v>
      </c>
      <c r="AZ125">
        <v>206628</v>
      </c>
      <c r="BA125" s="1">
        <v>46143</v>
      </c>
      <c r="BC125" t="s">
        <v>213</v>
      </c>
      <c r="BD125" s="1">
        <v>46143</v>
      </c>
      <c r="BE125" t="s">
        <v>175</v>
      </c>
      <c r="BL125" s="4">
        <v>0</v>
      </c>
      <c r="BM125" s="1">
        <v>46808</v>
      </c>
      <c r="BN125" s="1">
        <v>46157</v>
      </c>
      <c r="BO125">
        <v>0</v>
      </c>
      <c r="BP125">
        <v>31815</v>
      </c>
      <c r="BQ125" t="s">
        <v>156</v>
      </c>
      <c r="BR125" s="3">
        <v>157201.24</v>
      </c>
      <c r="BS125" s="3">
        <v>10939</v>
      </c>
      <c r="BT125">
        <v>0</v>
      </c>
      <c r="BU125" s="3">
        <v>168140.24</v>
      </c>
      <c r="BV125" s="3">
        <v>218000.44</v>
      </c>
      <c r="BX125">
        <v>0</v>
      </c>
      <c r="BZ125">
        <v>0</v>
      </c>
      <c r="CA125">
        <v>0</v>
      </c>
      <c r="CB125">
        <v>0</v>
      </c>
      <c r="CC125" s="3">
        <v>218000.44</v>
      </c>
      <c r="CD125" s="5">
        <v>0</v>
      </c>
      <c r="CF125" s="6">
        <v>46143</v>
      </c>
      <c r="CH125">
        <v>0</v>
      </c>
      <c r="CI125">
        <v>0</v>
      </c>
      <c r="CJ125">
        <v>0</v>
      </c>
      <c r="CK125">
        <v>0</v>
      </c>
      <c r="CL125">
        <v>0</v>
      </c>
      <c r="CM125">
        <v>0</v>
      </c>
      <c r="CN125">
        <v>0</v>
      </c>
      <c r="CO125">
        <v>0</v>
      </c>
      <c r="CP125">
        <v>0</v>
      </c>
      <c r="CQ125">
        <v>0</v>
      </c>
      <c r="CR125">
        <v>0</v>
      </c>
      <c r="CS125" t="s">
        <v>649</v>
      </c>
      <c r="CT125" t="s">
        <v>214</v>
      </c>
      <c r="CU125" t="s">
        <v>1188</v>
      </c>
      <c r="CW125">
        <v>-55.208799999999997</v>
      </c>
      <c r="CZ125" s="1">
        <v>46143</v>
      </c>
      <c r="DA125" t="s">
        <v>172</v>
      </c>
      <c r="DB125" t="s">
        <v>172</v>
      </c>
      <c r="DC125" t="s">
        <v>172</v>
      </c>
      <c r="DD125" t="s">
        <v>172</v>
      </c>
      <c r="DG125" s="1">
        <v>46143</v>
      </c>
      <c r="DH125">
        <v>0</v>
      </c>
      <c r="DI125">
        <v>0</v>
      </c>
      <c r="DJ125" s="1">
        <v>46157</v>
      </c>
      <c r="DL125" t="s">
        <v>224</v>
      </c>
      <c r="DM125" t="s">
        <v>172</v>
      </c>
      <c r="DN125" t="s">
        <v>225</v>
      </c>
      <c r="DV125" s="3">
        <v>218000.44</v>
      </c>
      <c r="DW125">
        <v>0</v>
      </c>
      <c r="DX125" s="3">
        <v>218000.44</v>
      </c>
      <c r="DY125">
        <v>0</v>
      </c>
      <c r="EN125" t="s">
        <v>156</v>
      </c>
      <c r="EP125" s="1">
        <v>46155</v>
      </c>
      <c r="ER125" s="1">
        <v>46153</v>
      </c>
      <c r="ES125" t="s">
        <v>1194</v>
      </c>
      <c r="EU125" s="1">
        <v>46155</v>
      </c>
      <c r="EV125" s="1">
        <v>46082</v>
      </c>
      <c r="EW125" s="1">
        <v>46143</v>
      </c>
    </row>
    <row r="126" spans="1:153" ht="246.5" x14ac:dyDescent="0.35">
      <c r="A126" t="str">
        <f>HYPERLINK("https://7lm.cvcrm.com.br/gestor/comercial/reservas/7034/administrar","7034")</f>
        <v>7034</v>
      </c>
      <c r="B126" t="s">
        <v>156</v>
      </c>
      <c r="C126" s="1">
        <v>46143</v>
      </c>
      <c r="D126" s="2">
        <v>0.39717592592592593</v>
      </c>
      <c r="E126" t="s">
        <v>294</v>
      </c>
      <c r="F126" t="s">
        <v>202</v>
      </c>
      <c r="G126" t="s">
        <v>203</v>
      </c>
      <c r="H126" t="s">
        <v>391</v>
      </c>
      <c r="I126" t="s">
        <v>1195</v>
      </c>
      <c r="J126">
        <v>1</v>
      </c>
      <c r="K126">
        <v>8447</v>
      </c>
      <c r="L126">
        <v>20031</v>
      </c>
      <c r="M126" t="s">
        <v>1196</v>
      </c>
      <c r="N126" s="1">
        <v>46160</v>
      </c>
      <c r="O126" s="2">
        <v>0.31068287037037035</v>
      </c>
      <c r="Q126">
        <v>9953</v>
      </c>
      <c r="R126" t="str">
        <f>HYPERLINK("https://7lm.cvcrm.com.br/gestor/relatorios/associado/html?q[1|r.idreserva]=7034","LUIS GUSTAVO DE JESUS COSTA")</f>
        <v>LUIS GUSTAVO DE JESUS COSTA</v>
      </c>
      <c r="S126">
        <v>8143746119</v>
      </c>
      <c r="T126">
        <v>5561991702714</v>
      </c>
      <c r="U126">
        <v>5561985403507</v>
      </c>
      <c r="V126" t="s">
        <v>1197</v>
      </c>
      <c r="W126" t="s">
        <v>163</v>
      </c>
      <c r="Y126" t="s">
        <v>189</v>
      </c>
      <c r="Z126" t="s">
        <v>214</v>
      </c>
      <c r="AA126" t="s">
        <v>1198</v>
      </c>
      <c r="AB126" t="s">
        <v>214</v>
      </c>
      <c r="AC126" t="s">
        <v>1193</v>
      </c>
      <c r="AD126" t="s">
        <v>1193</v>
      </c>
      <c r="AF126" t="s">
        <v>212</v>
      </c>
      <c r="AG126" t="s">
        <v>284</v>
      </c>
      <c r="AH126" s="3">
        <v>209070.64</v>
      </c>
      <c r="AI126" s="3">
        <v>209070.64</v>
      </c>
      <c r="AJ126" s="1">
        <v>47036</v>
      </c>
      <c r="AN126" t="s">
        <v>172</v>
      </c>
      <c r="AR126" s="7" t="s">
        <v>353</v>
      </c>
      <c r="AT126" t="s">
        <v>196</v>
      </c>
      <c r="AU126" t="s">
        <v>175</v>
      </c>
      <c r="AW126">
        <v>0</v>
      </c>
      <c r="AX126" s="1">
        <v>46157</v>
      </c>
      <c r="AY126" s="2">
        <v>0.59247685185185184</v>
      </c>
      <c r="AZ126">
        <v>206609</v>
      </c>
      <c r="BA126" s="1">
        <v>46143</v>
      </c>
      <c r="BC126" t="s">
        <v>213</v>
      </c>
      <c r="BD126" s="1">
        <v>46143</v>
      </c>
      <c r="BE126" t="s">
        <v>175</v>
      </c>
      <c r="BL126" s="4">
        <v>0</v>
      </c>
      <c r="BM126" s="1">
        <v>46808</v>
      </c>
      <c r="BN126" s="1">
        <v>46157</v>
      </c>
      <c r="BO126">
        <v>0</v>
      </c>
      <c r="BP126">
        <v>31814</v>
      </c>
      <c r="BQ126" t="s">
        <v>156</v>
      </c>
      <c r="BR126" s="3">
        <v>132693.92000000001</v>
      </c>
      <c r="BS126" s="3">
        <v>30572</v>
      </c>
      <c r="BT126">
        <v>0</v>
      </c>
      <c r="BU126" s="3">
        <v>163265.92000000001</v>
      </c>
      <c r="BV126" s="3">
        <v>209070.64</v>
      </c>
      <c r="BX126">
        <v>0</v>
      </c>
      <c r="BZ126">
        <v>0</v>
      </c>
      <c r="CA126">
        <v>0</v>
      </c>
      <c r="CB126">
        <v>0</v>
      </c>
      <c r="CC126" s="3">
        <v>209070.64</v>
      </c>
      <c r="CD126" s="5">
        <v>0</v>
      </c>
      <c r="CF126" s="6">
        <v>46143</v>
      </c>
      <c r="CH126">
        <v>0</v>
      </c>
      <c r="CI126">
        <v>0</v>
      </c>
      <c r="CJ126">
        <v>0</v>
      </c>
      <c r="CK126">
        <v>0</v>
      </c>
      <c r="CL126">
        <v>0</v>
      </c>
      <c r="CM126">
        <v>0</v>
      </c>
      <c r="CN126">
        <v>0</v>
      </c>
      <c r="CO126">
        <v>0</v>
      </c>
      <c r="CP126">
        <v>0</v>
      </c>
      <c r="CQ126">
        <v>0</v>
      </c>
      <c r="CR126">
        <v>0</v>
      </c>
      <c r="CS126" t="s">
        <v>360</v>
      </c>
      <c r="CT126" t="s">
        <v>214</v>
      </c>
      <c r="CU126" t="s">
        <v>1195</v>
      </c>
      <c r="CW126">
        <v>-56.022199999999998</v>
      </c>
      <c r="CZ126" s="1">
        <v>46143</v>
      </c>
      <c r="DA126" t="s">
        <v>172</v>
      </c>
      <c r="DB126" t="s">
        <v>172</v>
      </c>
      <c r="DC126" t="s">
        <v>172</v>
      </c>
      <c r="DD126" t="s">
        <v>172</v>
      </c>
      <c r="DG126" s="1">
        <v>46143</v>
      </c>
      <c r="DH126">
        <v>0</v>
      </c>
      <c r="DI126">
        <v>0</v>
      </c>
      <c r="DJ126" s="1">
        <v>46157</v>
      </c>
      <c r="DL126" t="s">
        <v>215</v>
      </c>
      <c r="DM126" t="s">
        <v>172</v>
      </c>
      <c r="DN126" t="s">
        <v>201</v>
      </c>
      <c r="DV126" s="3">
        <v>209070.64</v>
      </c>
      <c r="DW126">
        <v>0</v>
      </c>
      <c r="DX126" s="3">
        <v>209070.64</v>
      </c>
      <c r="DY126">
        <v>0</v>
      </c>
      <c r="EN126" t="s">
        <v>156</v>
      </c>
      <c r="EP126" s="1">
        <v>46148</v>
      </c>
      <c r="ER126" s="1">
        <v>46147</v>
      </c>
      <c r="ES126" t="s">
        <v>1199</v>
      </c>
      <c r="EU126" s="1">
        <v>46154</v>
      </c>
      <c r="EV126" s="1">
        <v>46143</v>
      </c>
      <c r="EW126" s="1">
        <v>46143</v>
      </c>
    </row>
    <row r="127" spans="1:153" x14ac:dyDescent="0.35">
      <c r="A127" t="str">
        <f>HYPERLINK("https://7lm.cvcrm.com.br/gestor/comercial/reservas/7033/administrar","7033")</f>
        <v>7033</v>
      </c>
      <c r="B127" t="s">
        <v>156</v>
      </c>
      <c r="C127" s="1">
        <v>46142</v>
      </c>
      <c r="D127" s="2">
        <v>0.85701388888888885</v>
      </c>
      <c r="E127" t="s">
        <v>294</v>
      </c>
      <c r="F127" t="s">
        <v>458</v>
      </c>
      <c r="G127" t="s">
        <v>203</v>
      </c>
      <c r="H127" t="s">
        <v>404</v>
      </c>
      <c r="I127" t="s">
        <v>1107</v>
      </c>
      <c r="J127">
        <v>1</v>
      </c>
      <c r="K127">
        <v>8464</v>
      </c>
      <c r="L127">
        <v>20001</v>
      </c>
      <c r="M127" t="s">
        <v>1200</v>
      </c>
      <c r="N127" s="1">
        <v>46160</v>
      </c>
      <c r="O127" s="2">
        <v>0.49931712962962965</v>
      </c>
      <c r="Q127">
        <v>9967</v>
      </c>
      <c r="R127" t="str">
        <f>HYPERLINK("https://7lm.cvcrm.com.br/gestor/relatorios/associado/html?q[1|r.idreserva]=7033","PAULO SOARES LISBOA")</f>
        <v>PAULO SOARES LISBOA</v>
      </c>
      <c r="S127">
        <v>6938700362</v>
      </c>
      <c r="T127">
        <v>556192048735</v>
      </c>
      <c r="U127">
        <v>558694406301</v>
      </c>
      <c r="V127" t="s">
        <v>1201</v>
      </c>
      <c r="W127" t="s">
        <v>163</v>
      </c>
      <c r="X127" t="s">
        <v>408</v>
      </c>
      <c r="Y127" t="s">
        <v>165</v>
      </c>
      <c r="Z127" t="s">
        <v>385</v>
      </c>
      <c r="AA127" t="s">
        <v>453</v>
      </c>
      <c r="AB127" t="s">
        <v>1202</v>
      </c>
      <c r="AC127" t="s">
        <v>398</v>
      </c>
      <c r="AF127" t="s">
        <v>399</v>
      </c>
      <c r="AG127" t="s">
        <v>195</v>
      </c>
      <c r="AH127" s="3">
        <v>230003.38</v>
      </c>
      <c r="AI127" s="3">
        <v>230003.38</v>
      </c>
      <c r="AJ127" s="1">
        <v>46218</v>
      </c>
      <c r="AN127" t="s">
        <v>172</v>
      </c>
      <c r="AR127" t="s">
        <v>1203</v>
      </c>
      <c r="AT127" t="s">
        <v>196</v>
      </c>
      <c r="AU127" t="s">
        <v>316</v>
      </c>
      <c r="AW127">
        <v>0</v>
      </c>
      <c r="AX127" s="1">
        <v>46160</v>
      </c>
      <c r="AY127" s="2">
        <v>0.51497685185185182</v>
      </c>
      <c r="AZ127">
        <v>165091</v>
      </c>
      <c r="BA127" s="1">
        <v>45856</v>
      </c>
      <c r="BB127" s="1">
        <v>46140</v>
      </c>
      <c r="BC127" t="s">
        <v>0</v>
      </c>
      <c r="BD127" s="1">
        <v>46142</v>
      </c>
      <c r="BE127" t="s">
        <v>198</v>
      </c>
      <c r="BL127" s="4">
        <v>0</v>
      </c>
      <c r="BM127" s="1">
        <v>46572</v>
      </c>
      <c r="BN127" s="1">
        <v>46160</v>
      </c>
      <c r="BO127">
        <v>0</v>
      </c>
      <c r="BP127">
        <v>31756</v>
      </c>
      <c r="BQ127" t="s">
        <v>156</v>
      </c>
      <c r="BR127" s="3">
        <v>109392.37</v>
      </c>
      <c r="BS127" s="3">
        <v>54747</v>
      </c>
      <c r="BT127">
        <v>0</v>
      </c>
      <c r="BU127" s="3">
        <v>164139.37</v>
      </c>
      <c r="BV127" s="3">
        <v>230003.38</v>
      </c>
      <c r="BX127">
        <v>0</v>
      </c>
      <c r="BZ127">
        <v>0</v>
      </c>
      <c r="CA127">
        <v>0</v>
      </c>
      <c r="CB127">
        <v>0</v>
      </c>
      <c r="CC127" s="3">
        <v>230003.38</v>
      </c>
      <c r="CD127" s="5">
        <v>0</v>
      </c>
      <c r="CE127" t="s">
        <v>467</v>
      </c>
      <c r="CF127" s="6">
        <v>46143</v>
      </c>
      <c r="CH127">
        <v>0</v>
      </c>
      <c r="CI127">
        <v>0</v>
      </c>
      <c r="CJ127">
        <v>0</v>
      </c>
      <c r="CK127">
        <v>0</v>
      </c>
      <c r="CL127">
        <v>0</v>
      </c>
      <c r="CM127">
        <v>0</v>
      </c>
      <c r="CN127">
        <v>0</v>
      </c>
      <c r="CO127">
        <v>0</v>
      </c>
      <c r="CP127">
        <v>0</v>
      </c>
      <c r="CQ127">
        <v>0</v>
      </c>
      <c r="CR127">
        <v>0</v>
      </c>
      <c r="CS127" t="s">
        <v>649</v>
      </c>
      <c r="CT127" t="s">
        <v>214</v>
      </c>
      <c r="CU127" t="s">
        <v>1107</v>
      </c>
      <c r="CW127">
        <v>-57.507399999999997</v>
      </c>
      <c r="CZ127" s="1">
        <v>46142</v>
      </c>
      <c r="DA127" t="s">
        <v>172</v>
      </c>
      <c r="DB127" t="s">
        <v>172</v>
      </c>
      <c r="DC127" t="s">
        <v>172</v>
      </c>
      <c r="DD127" t="s">
        <v>172</v>
      </c>
      <c r="DG127" s="1">
        <v>46142</v>
      </c>
      <c r="DH127">
        <v>0</v>
      </c>
      <c r="DI127">
        <v>0</v>
      </c>
      <c r="DJ127" s="1">
        <v>46160</v>
      </c>
      <c r="DL127" t="s">
        <v>200</v>
      </c>
      <c r="DM127" t="s">
        <v>172</v>
      </c>
      <c r="DN127" t="s">
        <v>201</v>
      </c>
      <c r="DV127" s="3">
        <v>230003.38</v>
      </c>
      <c r="DW127">
        <v>0</v>
      </c>
      <c r="DX127" s="3">
        <v>230003.38</v>
      </c>
      <c r="DY127">
        <v>0</v>
      </c>
      <c r="EF127" s="1">
        <v>46151</v>
      </c>
      <c r="EG127" s="1">
        <v>46148</v>
      </c>
      <c r="EK127" s="1">
        <v>46153</v>
      </c>
      <c r="EL127" s="1">
        <v>46153</v>
      </c>
      <c r="EM127" s="1">
        <v>46150</v>
      </c>
      <c r="EN127" t="s">
        <v>156</v>
      </c>
      <c r="EP127" s="1">
        <v>46148</v>
      </c>
      <c r="ER127" s="1">
        <v>46148</v>
      </c>
      <c r="ES127" t="s">
        <v>1204</v>
      </c>
    </row>
    <row r="128" spans="1:153" x14ac:dyDescent="0.35">
      <c r="A128" t="str">
        <f>HYPERLINK("https://7lm.cvcrm.com.br/gestor/comercial/reservas/7032/administrar","7032")</f>
        <v>7032</v>
      </c>
      <c r="B128" t="s">
        <v>172</v>
      </c>
      <c r="C128" s="1">
        <v>46142</v>
      </c>
      <c r="D128" s="2">
        <v>0.83944444444444444</v>
      </c>
      <c r="E128" t="s">
        <v>527</v>
      </c>
      <c r="F128" t="s">
        <v>182</v>
      </c>
      <c r="G128" t="s">
        <v>159</v>
      </c>
      <c r="H128" t="s">
        <v>759</v>
      </c>
      <c r="I128" t="s">
        <v>1177</v>
      </c>
      <c r="J128">
        <v>1</v>
      </c>
      <c r="K128">
        <v>8460</v>
      </c>
      <c r="L128">
        <v>30151</v>
      </c>
      <c r="M128" t="s">
        <v>1205</v>
      </c>
      <c r="R128" t="str">
        <f>HYPERLINK("https://7lm.cvcrm.com.br/gestor/relatorios/associado/html?q[1|r.idreserva]=7032","FERNANDO ANTONIO RODRIGUES")</f>
        <v>FERNANDO ANTONIO RODRIGUES</v>
      </c>
      <c r="S128">
        <v>1272387194</v>
      </c>
      <c r="T128">
        <v>5561998058978</v>
      </c>
      <c r="U128">
        <v>556199925999</v>
      </c>
      <c r="V128" t="s">
        <v>1179</v>
      </c>
      <c r="W128" t="s">
        <v>163</v>
      </c>
      <c r="X128" t="s">
        <v>288</v>
      </c>
      <c r="Y128" t="s">
        <v>189</v>
      </c>
      <c r="Z128" t="s">
        <v>190</v>
      </c>
      <c r="AA128" t="s">
        <v>1180</v>
      </c>
      <c r="AB128" t="s">
        <v>1181</v>
      </c>
      <c r="AC128" t="s">
        <v>1182</v>
      </c>
      <c r="AF128" t="s">
        <v>194</v>
      </c>
      <c r="AG128" t="s">
        <v>195</v>
      </c>
      <c r="AH128" s="3">
        <v>255999.77</v>
      </c>
      <c r="AI128" s="3">
        <v>255999.77</v>
      </c>
      <c r="AJ128" s="1">
        <v>46188</v>
      </c>
      <c r="AN128" t="s">
        <v>172</v>
      </c>
      <c r="AO128" t="s">
        <v>725</v>
      </c>
      <c r="AP128" t="s">
        <v>1206</v>
      </c>
      <c r="AR128" t="s">
        <v>1207</v>
      </c>
      <c r="AT128" t="s">
        <v>196</v>
      </c>
      <c r="AU128" t="s">
        <v>197</v>
      </c>
      <c r="AW128">
        <v>0</v>
      </c>
      <c r="AX128" s="1">
        <v>46143</v>
      </c>
      <c r="AY128" s="2">
        <v>0.63505787037037043</v>
      </c>
      <c r="AZ128">
        <v>204916</v>
      </c>
      <c r="BA128" s="1">
        <v>46140</v>
      </c>
      <c r="BC128" t="s">
        <v>0</v>
      </c>
      <c r="BD128" s="1">
        <v>46142</v>
      </c>
      <c r="BE128" t="s">
        <v>317</v>
      </c>
      <c r="BL128" s="4">
        <v>0</v>
      </c>
      <c r="BM128" s="1">
        <v>46899</v>
      </c>
      <c r="BO128">
        <v>0</v>
      </c>
      <c r="BP128">
        <v>31650</v>
      </c>
      <c r="BQ128" t="s">
        <v>156</v>
      </c>
      <c r="BR128">
        <v>0</v>
      </c>
      <c r="BS128">
        <v>0</v>
      </c>
      <c r="BT128">
        <v>0</v>
      </c>
      <c r="BU128">
        <v>0</v>
      </c>
      <c r="BV128" s="3">
        <v>255999.77</v>
      </c>
      <c r="BX128">
        <v>0</v>
      </c>
      <c r="BZ128">
        <v>0</v>
      </c>
      <c r="CA128">
        <v>0</v>
      </c>
      <c r="CB128">
        <v>0</v>
      </c>
      <c r="CC128" s="3">
        <v>255999.77</v>
      </c>
      <c r="CD128" s="5">
        <v>0</v>
      </c>
      <c r="CF128" s="6">
        <v>46143</v>
      </c>
      <c r="CH128">
        <v>0</v>
      </c>
      <c r="CI128">
        <v>0</v>
      </c>
      <c r="CJ128">
        <v>0</v>
      </c>
      <c r="CK128">
        <v>0</v>
      </c>
      <c r="CL128">
        <v>0</v>
      </c>
      <c r="CM128">
        <v>0</v>
      </c>
      <c r="CN128">
        <v>0</v>
      </c>
      <c r="CO128">
        <v>0</v>
      </c>
      <c r="CP128">
        <v>0</v>
      </c>
      <c r="CQ128">
        <v>0</v>
      </c>
      <c r="CR128">
        <v>0</v>
      </c>
      <c r="CT128" t="s">
        <v>190</v>
      </c>
      <c r="CU128" t="s">
        <v>1177</v>
      </c>
      <c r="CW128">
        <v>0</v>
      </c>
      <c r="CZ128" s="1">
        <v>46142</v>
      </c>
      <c r="DA128" t="s">
        <v>172</v>
      </c>
      <c r="DB128" t="s">
        <v>172</v>
      </c>
      <c r="DC128" t="s">
        <v>172</v>
      </c>
      <c r="DD128" t="s">
        <v>172</v>
      </c>
      <c r="DG128" s="1">
        <v>46142</v>
      </c>
      <c r="DH128">
        <v>0</v>
      </c>
      <c r="DI128">
        <v>0</v>
      </c>
      <c r="DK128" t="s">
        <v>179</v>
      </c>
      <c r="DL128" t="s">
        <v>1171</v>
      </c>
      <c r="DM128" t="s">
        <v>172</v>
      </c>
      <c r="DN128" t="s">
        <v>525</v>
      </c>
      <c r="DV128" s="3">
        <v>255999.77</v>
      </c>
      <c r="DW128">
        <v>0</v>
      </c>
      <c r="DX128" s="3">
        <v>255999.77</v>
      </c>
      <c r="DY128">
        <v>0</v>
      </c>
    </row>
    <row r="129" spans="1:153" ht="275.5" x14ac:dyDescent="0.35">
      <c r="A129" t="str">
        <f>HYPERLINK("https://7lm.cvcrm.com.br/gestor/comercial/reservas/7031/administrar","7031")</f>
        <v>7031</v>
      </c>
      <c r="B129" t="s">
        <v>156</v>
      </c>
      <c r="C129" s="1">
        <v>46142</v>
      </c>
      <c r="D129" s="2">
        <v>0.78946759259259258</v>
      </c>
      <c r="E129" t="s">
        <v>527</v>
      </c>
      <c r="F129" t="s">
        <v>202</v>
      </c>
      <c r="G129" t="s">
        <v>203</v>
      </c>
      <c r="H129" t="s">
        <v>404</v>
      </c>
      <c r="I129" t="s">
        <v>920</v>
      </c>
      <c r="J129">
        <v>1</v>
      </c>
      <c r="L129">
        <v>20031</v>
      </c>
      <c r="M129" t="s">
        <v>921</v>
      </c>
      <c r="N129" s="1">
        <v>46146</v>
      </c>
      <c r="O129" s="2">
        <v>0.48547453703703702</v>
      </c>
      <c r="R129" t="str">
        <f>HYPERLINK("https://7lm.cvcrm.com.br/gestor/relatorios/associado/html?q[1|r.idreserva]=7031","EDUARDO VALÉRIO MENDES")</f>
        <v>EDUARDO VALÉRIO MENDES</v>
      </c>
      <c r="S129">
        <v>1683095138</v>
      </c>
      <c r="T129">
        <v>5561983419463</v>
      </c>
      <c r="U129">
        <v>5561983204768</v>
      </c>
      <c r="V129" t="s">
        <v>1208</v>
      </c>
      <c r="W129" t="s">
        <v>187</v>
      </c>
      <c r="X129" t="s">
        <v>1209</v>
      </c>
      <c r="Y129" t="s">
        <v>165</v>
      </c>
      <c r="Z129" t="s">
        <v>257</v>
      </c>
      <c r="AA129" t="s">
        <v>1210</v>
      </c>
      <c r="AB129" t="s">
        <v>1211</v>
      </c>
      <c r="AC129" t="s">
        <v>473</v>
      </c>
      <c r="AF129" t="s">
        <v>399</v>
      </c>
      <c r="AG129" t="s">
        <v>195</v>
      </c>
      <c r="AH129" s="3">
        <v>224370.93</v>
      </c>
      <c r="AI129" s="3">
        <v>224370.93</v>
      </c>
      <c r="AJ129" s="1">
        <v>46188</v>
      </c>
      <c r="AN129" t="s">
        <v>172</v>
      </c>
      <c r="AO129" t="s">
        <v>932</v>
      </c>
      <c r="AP129" t="s">
        <v>1212</v>
      </c>
      <c r="AR129" s="7" t="s">
        <v>1213</v>
      </c>
      <c r="AT129" t="s">
        <v>261</v>
      </c>
      <c r="AU129" t="s">
        <v>262</v>
      </c>
      <c r="AW129">
        <v>0</v>
      </c>
      <c r="AX129" s="1">
        <v>46153</v>
      </c>
      <c r="AY129" s="2">
        <v>0.46515046296296297</v>
      </c>
      <c r="AZ129">
        <v>140819</v>
      </c>
      <c r="BA129" s="1">
        <v>45627</v>
      </c>
      <c r="BC129" t="s">
        <v>275</v>
      </c>
      <c r="BD129" s="1">
        <v>46141</v>
      </c>
      <c r="BE129" t="s">
        <v>317</v>
      </c>
      <c r="BL129" s="4">
        <v>0</v>
      </c>
      <c r="BM129" s="1">
        <v>46808</v>
      </c>
      <c r="BO129">
        <v>0</v>
      </c>
      <c r="BP129">
        <v>31714</v>
      </c>
      <c r="BQ129" t="s">
        <v>156</v>
      </c>
      <c r="BR129" s="3">
        <v>116315.46</v>
      </c>
      <c r="BS129" s="3">
        <v>46452</v>
      </c>
      <c r="BT129">
        <v>0</v>
      </c>
      <c r="BU129" s="3">
        <v>162767.46</v>
      </c>
      <c r="BV129" s="3">
        <v>224370.93</v>
      </c>
      <c r="BX129">
        <v>0</v>
      </c>
      <c r="BZ129">
        <v>0</v>
      </c>
      <c r="CA129">
        <v>0</v>
      </c>
      <c r="CB129">
        <v>0</v>
      </c>
      <c r="CC129" s="3">
        <v>224370.93</v>
      </c>
      <c r="CD129" s="5">
        <v>0</v>
      </c>
      <c r="CF129" s="6">
        <v>46143</v>
      </c>
      <c r="CH129">
        <v>0</v>
      </c>
      <c r="CI129">
        <v>0</v>
      </c>
      <c r="CJ129">
        <v>0</v>
      </c>
      <c r="CK129">
        <v>0</v>
      </c>
      <c r="CL129">
        <v>0</v>
      </c>
      <c r="CM129">
        <v>0</v>
      </c>
      <c r="CN129">
        <v>0</v>
      </c>
      <c r="CO129">
        <v>0</v>
      </c>
      <c r="CP129">
        <v>0</v>
      </c>
      <c r="CQ129">
        <v>0</v>
      </c>
      <c r="CR129">
        <v>0</v>
      </c>
      <c r="CS129" t="s">
        <v>428</v>
      </c>
      <c r="CT129" t="s">
        <v>214</v>
      </c>
      <c r="CU129" t="s">
        <v>920</v>
      </c>
      <c r="CW129">
        <v>-54.1539</v>
      </c>
      <c r="CZ129" s="1">
        <v>46142</v>
      </c>
      <c r="DA129" t="s">
        <v>172</v>
      </c>
      <c r="DB129" t="s">
        <v>172</v>
      </c>
      <c r="DC129" t="s">
        <v>172</v>
      </c>
      <c r="DD129" t="s">
        <v>172</v>
      </c>
      <c r="DG129" s="1">
        <v>46142</v>
      </c>
      <c r="DH129">
        <v>0</v>
      </c>
      <c r="DI129">
        <v>0</v>
      </c>
      <c r="DL129" t="s">
        <v>215</v>
      </c>
      <c r="DM129" t="s">
        <v>172</v>
      </c>
      <c r="DN129" t="s">
        <v>225</v>
      </c>
      <c r="DV129" s="3">
        <v>224370.93</v>
      </c>
      <c r="DW129">
        <v>0</v>
      </c>
      <c r="DX129" s="3">
        <v>224370.93</v>
      </c>
      <c r="DY129">
        <v>0</v>
      </c>
      <c r="EN129" t="s">
        <v>537</v>
      </c>
    </row>
    <row r="130" spans="1:153" x14ac:dyDescent="0.35">
      <c r="A130" t="str">
        <f>HYPERLINK("https://7lm.cvcrm.com.br/gestor/comercial/reservas/7030/administrar","7030")</f>
        <v>7030</v>
      </c>
      <c r="B130" t="s">
        <v>172</v>
      </c>
      <c r="C130" s="1">
        <v>46142</v>
      </c>
      <c r="D130" s="2">
        <v>0.74972222222222218</v>
      </c>
      <c r="E130" t="s">
        <v>157</v>
      </c>
      <c r="F130" t="s">
        <v>182</v>
      </c>
      <c r="G130" t="s">
        <v>159</v>
      </c>
      <c r="H130" t="s">
        <v>241</v>
      </c>
      <c r="I130" t="s">
        <v>1214</v>
      </c>
      <c r="J130">
        <v>1</v>
      </c>
      <c r="L130">
        <v>30151</v>
      </c>
      <c r="M130" t="s">
        <v>1215</v>
      </c>
      <c r="R130" t="str">
        <f>HYPERLINK("https://7lm.cvcrm.com.br/gestor/relatorios/associado/html?q[1|r.idreserva]=7030","DEIVID BRUNO OLIVEIRA DE SOUZA")</f>
        <v>DEIVID BRUNO OLIVEIRA DE SOUZA</v>
      </c>
      <c r="S130">
        <v>5571349190</v>
      </c>
      <c r="T130">
        <v>5561998113170</v>
      </c>
      <c r="V130" t="s">
        <v>1216</v>
      </c>
      <c r="W130" t="s">
        <v>163</v>
      </c>
      <c r="X130" t="s">
        <v>376</v>
      </c>
      <c r="Y130" t="s">
        <v>189</v>
      </c>
      <c r="Z130" t="s">
        <v>190</v>
      </c>
      <c r="AA130" t="s">
        <v>675</v>
      </c>
      <c r="AB130" t="s">
        <v>1217</v>
      </c>
      <c r="AC130" t="s">
        <v>917</v>
      </c>
      <c r="AF130" t="s">
        <v>194</v>
      </c>
      <c r="AG130" t="s">
        <v>195</v>
      </c>
      <c r="AH130" s="3">
        <v>241000.16</v>
      </c>
      <c r="AI130" s="3">
        <v>241000.16</v>
      </c>
      <c r="AJ130" s="1">
        <v>46167</v>
      </c>
      <c r="AN130" t="s">
        <v>172</v>
      </c>
      <c r="AT130" t="s">
        <v>196</v>
      </c>
      <c r="AU130" t="s">
        <v>292</v>
      </c>
      <c r="AW130">
        <v>0</v>
      </c>
      <c r="AX130" s="1">
        <v>46142</v>
      </c>
      <c r="AY130" s="2">
        <v>0.74972222222222218</v>
      </c>
      <c r="AZ130">
        <v>112363</v>
      </c>
      <c r="BA130" s="1">
        <v>45375</v>
      </c>
      <c r="BB130" s="1">
        <v>46141</v>
      </c>
      <c r="BC130" t="s">
        <v>176</v>
      </c>
      <c r="BD130" s="1">
        <v>46141</v>
      </c>
      <c r="BE130" t="s">
        <v>317</v>
      </c>
      <c r="BL130" s="4">
        <v>0</v>
      </c>
      <c r="BM130" s="1">
        <v>46899</v>
      </c>
      <c r="BO130">
        <v>0</v>
      </c>
      <c r="BP130">
        <v>31700</v>
      </c>
      <c r="BQ130" t="s">
        <v>156</v>
      </c>
      <c r="BR130" s="3">
        <v>118193.31</v>
      </c>
      <c r="BS130" s="3">
        <v>41022</v>
      </c>
      <c r="BT130">
        <v>0</v>
      </c>
      <c r="BU130" s="3">
        <v>159215.31</v>
      </c>
      <c r="BV130" s="3">
        <v>241000.16</v>
      </c>
      <c r="BX130">
        <v>0</v>
      </c>
      <c r="BZ130">
        <v>0</v>
      </c>
      <c r="CA130">
        <v>0</v>
      </c>
      <c r="CB130">
        <v>0</v>
      </c>
      <c r="CC130" s="3">
        <v>241000.16</v>
      </c>
      <c r="CD130" s="5">
        <v>0</v>
      </c>
      <c r="CF130" s="6">
        <v>46143</v>
      </c>
      <c r="CH130">
        <v>0</v>
      </c>
      <c r="CI130">
        <v>0</v>
      </c>
      <c r="CJ130">
        <v>0</v>
      </c>
      <c r="CK130">
        <v>0</v>
      </c>
      <c r="CL130">
        <v>0</v>
      </c>
      <c r="CM130">
        <v>0</v>
      </c>
      <c r="CN130">
        <v>0</v>
      </c>
      <c r="CO130">
        <v>0</v>
      </c>
      <c r="CP130">
        <v>0</v>
      </c>
      <c r="CQ130">
        <v>0</v>
      </c>
      <c r="CR130">
        <v>0</v>
      </c>
      <c r="CT130" t="s">
        <v>190</v>
      </c>
      <c r="CU130" t="s">
        <v>1214</v>
      </c>
      <c r="CW130">
        <v>0</v>
      </c>
      <c r="CZ130" s="1">
        <v>46142</v>
      </c>
      <c r="DA130" t="s">
        <v>172</v>
      </c>
      <c r="DB130" t="s">
        <v>172</v>
      </c>
      <c r="DC130" t="s">
        <v>172</v>
      </c>
      <c r="DD130" t="s">
        <v>172</v>
      </c>
      <c r="DG130" s="1">
        <v>46142</v>
      </c>
      <c r="DH130">
        <v>0</v>
      </c>
      <c r="DI130">
        <v>0</v>
      </c>
      <c r="DK130" t="s">
        <v>179</v>
      </c>
      <c r="DL130" t="s">
        <v>200</v>
      </c>
      <c r="DM130" t="s">
        <v>172</v>
      </c>
      <c r="DN130" t="s">
        <v>201</v>
      </c>
      <c r="DV130" s="3">
        <v>241000.16</v>
      </c>
      <c r="DW130">
        <v>0</v>
      </c>
      <c r="DX130" s="3">
        <v>241000.16</v>
      </c>
      <c r="DY130">
        <v>0</v>
      </c>
      <c r="EN130" t="s">
        <v>537</v>
      </c>
      <c r="ET130" t="s">
        <v>1218</v>
      </c>
    </row>
    <row r="131" spans="1:153" ht="409.5" x14ac:dyDescent="0.35">
      <c r="A131" t="str">
        <f>HYPERLINK("https://7lm.cvcrm.com.br/gestor/comercial/reservas/7029/administrar","7029")</f>
        <v>7029</v>
      </c>
      <c r="B131" t="s">
        <v>156</v>
      </c>
      <c r="C131" s="1">
        <v>46141</v>
      </c>
      <c r="D131" s="2">
        <v>0.77931712962962962</v>
      </c>
      <c r="E131" t="s">
        <v>294</v>
      </c>
      <c r="F131" t="s">
        <v>182</v>
      </c>
      <c r="G131" t="s">
        <v>159</v>
      </c>
      <c r="H131" t="s">
        <v>592</v>
      </c>
      <c r="I131" t="s">
        <v>1219</v>
      </c>
      <c r="J131">
        <v>1</v>
      </c>
      <c r="K131">
        <v>8490</v>
      </c>
      <c r="L131">
        <v>30151</v>
      </c>
      <c r="M131" t="s">
        <v>1220</v>
      </c>
      <c r="N131" s="1">
        <v>46157</v>
      </c>
      <c r="O131" s="2">
        <v>0.77265046296296291</v>
      </c>
      <c r="Q131">
        <v>10009</v>
      </c>
      <c r="R131" t="str">
        <f>HYPERLINK("https://7lm.cvcrm.com.br/gestor/relatorios/associado/html?q[1|r.idreserva]=7029","CATIA LIMA SABATH")</f>
        <v>CATIA LIMA SABATH</v>
      </c>
      <c r="S131">
        <v>99006707104</v>
      </c>
      <c r="T131">
        <v>5561998069868</v>
      </c>
      <c r="U131">
        <v>5561998069868</v>
      </c>
      <c r="V131" t="s">
        <v>1221</v>
      </c>
      <c r="W131" t="s">
        <v>187</v>
      </c>
      <c r="X131" t="s">
        <v>1222</v>
      </c>
      <c r="Y131" t="s">
        <v>189</v>
      </c>
      <c r="Z131" t="s">
        <v>190</v>
      </c>
      <c r="AA131" t="s">
        <v>1131</v>
      </c>
      <c r="AB131" t="s">
        <v>1223</v>
      </c>
      <c r="AC131" t="s">
        <v>248</v>
      </c>
      <c r="AD131" t="s">
        <v>249</v>
      </c>
      <c r="AF131" t="s">
        <v>250</v>
      </c>
      <c r="AG131" t="s">
        <v>251</v>
      </c>
      <c r="AH131" s="3">
        <v>240684.24</v>
      </c>
      <c r="AI131" s="3">
        <v>240684.24</v>
      </c>
      <c r="AJ131" s="1">
        <v>46153</v>
      </c>
      <c r="AN131" t="s">
        <v>172</v>
      </c>
      <c r="AR131" s="7" t="s">
        <v>1224</v>
      </c>
      <c r="AT131" t="s">
        <v>173</v>
      </c>
      <c r="AU131" t="s">
        <v>175</v>
      </c>
      <c r="AW131">
        <v>0</v>
      </c>
      <c r="AX131" s="1">
        <v>46163</v>
      </c>
      <c r="AY131" s="2">
        <v>0.49622685185185184</v>
      </c>
      <c r="AZ131">
        <v>206275</v>
      </c>
      <c r="BA131" s="1">
        <v>46141</v>
      </c>
      <c r="BC131" t="s">
        <v>213</v>
      </c>
      <c r="BD131" s="1">
        <v>46141</v>
      </c>
      <c r="BE131" t="s">
        <v>175</v>
      </c>
      <c r="BL131" s="4">
        <v>0</v>
      </c>
      <c r="BM131" s="1">
        <v>46899</v>
      </c>
      <c r="BN131" s="1">
        <v>46163</v>
      </c>
      <c r="BO131">
        <v>0</v>
      </c>
      <c r="BP131">
        <v>31745</v>
      </c>
      <c r="BQ131" t="s">
        <v>156</v>
      </c>
      <c r="BR131">
        <v>0</v>
      </c>
      <c r="BS131">
        <v>0</v>
      </c>
      <c r="BT131">
        <v>0</v>
      </c>
      <c r="BU131">
        <v>0</v>
      </c>
      <c r="BV131" s="3">
        <v>240684.24</v>
      </c>
      <c r="BX131">
        <v>0</v>
      </c>
      <c r="BZ131">
        <v>0</v>
      </c>
      <c r="CA131">
        <v>0</v>
      </c>
      <c r="CB131">
        <v>0</v>
      </c>
      <c r="CC131" s="3">
        <v>240684.24</v>
      </c>
      <c r="CD131" s="5">
        <v>0</v>
      </c>
      <c r="CF131" s="6">
        <v>46143</v>
      </c>
      <c r="CH131">
        <v>0</v>
      </c>
      <c r="CI131">
        <v>0</v>
      </c>
      <c r="CJ131">
        <v>0</v>
      </c>
      <c r="CK131">
        <v>0</v>
      </c>
      <c r="CL131">
        <v>0</v>
      </c>
      <c r="CM131">
        <v>0</v>
      </c>
      <c r="CN131">
        <v>0</v>
      </c>
      <c r="CO131">
        <v>0</v>
      </c>
      <c r="CP131">
        <v>0</v>
      </c>
      <c r="CQ131">
        <v>0</v>
      </c>
      <c r="CR131">
        <v>0</v>
      </c>
      <c r="CS131" t="s">
        <v>360</v>
      </c>
      <c r="CT131" t="s">
        <v>190</v>
      </c>
      <c r="CU131" t="s">
        <v>1219</v>
      </c>
      <c r="CW131">
        <v>-51.813299999999998</v>
      </c>
      <c r="CZ131" s="1">
        <v>46141</v>
      </c>
      <c r="DA131" t="s">
        <v>172</v>
      </c>
      <c r="DB131" t="s">
        <v>172</v>
      </c>
      <c r="DC131" t="s">
        <v>172</v>
      </c>
      <c r="DD131" t="s">
        <v>172</v>
      </c>
      <c r="DG131" s="1">
        <v>46141</v>
      </c>
      <c r="DH131">
        <v>0</v>
      </c>
      <c r="DI131">
        <v>0</v>
      </c>
      <c r="DJ131" s="1">
        <v>46163</v>
      </c>
      <c r="DK131" t="s">
        <v>179</v>
      </c>
      <c r="DL131" t="s">
        <v>200</v>
      </c>
      <c r="DM131" t="s">
        <v>172</v>
      </c>
      <c r="DN131" t="s">
        <v>201</v>
      </c>
      <c r="DV131" s="3">
        <v>240684.24</v>
      </c>
      <c r="DW131">
        <v>0</v>
      </c>
      <c r="DX131" s="3">
        <v>240684.24</v>
      </c>
      <c r="DY131">
        <v>0</v>
      </c>
      <c r="EF131" s="1">
        <v>46157</v>
      </c>
      <c r="EG131" s="1">
        <v>46155</v>
      </c>
      <c r="EK131" s="1">
        <v>46157</v>
      </c>
      <c r="EL131" s="1">
        <v>46157</v>
      </c>
      <c r="EM131" s="1">
        <v>46157</v>
      </c>
      <c r="EN131" t="s">
        <v>156</v>
      </c>
      <c r="EP131" s="1">
        <v>46157</v>
      </c>
      <c r="EQ131" s="1">
        <v>46162</v>
      </c>
      <c r="ER131" s="1">
        <v>46150</v>
      </c>
      <c r="ES131" t="s">
        <v>1225</v>
      </c>
      <c r="ET131" t="s">
        <v>1226</v>
      </c>
      <c r="EU131" s="1">
        <v>46154</v>
      </c>
      <c r="EV131" s="1">
        <v>46162</v>
      </c>
    </row>
    <row r="132" spans="1:153" x14ac:dyDescent="0.35">
      <c r="A132" t="str">
        <f>HYPERLINK("https://7lm.cvcrm.com.br/gestor/comercial/reservas/7028/administrar","7028")</f>
        <v>7028</v>
      </c>
      <c r="B132" t="s">
        <v>172</v>
      </c>
      <c r="C132" s="1">
        <v>46141</v>
      </c>
      <c r="D132" s="2">
        <v>0.72359953703703705</v>
      </c>
      <c r="E132" t="s">
        <v>527</v>
      </c>
      <c r="F132" t="s">
        <v>182</v>
      </c>
      <c r="G132" t="s">
        <v>159</v>
      </c>
      <c r="H132" t="s">
        <v>759</v>
      </c>
      <c r="I132" t="s">
        <v>760</v>
      </c>
      <c r="J132">
        <v>1</v>
      </c>
      <c r="L132">
        <v>30151</v>
      </c>
      <c r="M132" t="s">
        <v>761</v>
      </c>
      <c r="R132" t="str">
        <f>HYPERLINK("https://7lm.cvcrm.com.br/gestor/relatorios/associado/html?q[1|r.idreserva]=7028","LUCIMAR DIAS CAMARGO")</f>
        <v>LUCIMAR DIAS CAMARGO</v>
      </c>
      <c r="S132">
        <v>8544081690</v>
      </c>
      <c r="T132">
        <v>553899057804</v>
      </c>
      <c r="V132" t="s">
        <v>1227</v>
      </c>
      <c r="W132" t="s">
        <v>187</v>
      </c>
      <c r="X132" t="s">
        <v>1228</v>
      </c>
      <c r="Y132" t="s">
        <v>189</v>
      </c>
      <c r="Z132" t="s">
        <v>190</v>
      </c>
      <c r="AA132" t="s">
        <v>1229</v>
      </c>
      <c r="AB132" t="s">
        <v>1230</v>
      </c>
      <c r="AC132" t="s">
        <v>351</v>
      </c>
      <c r="AD132" t="s">
        <v>351</v>
      </c>
      <c r="AF132" t="s">
        <v>352</v>
      </c>
      <c r="AG132" t="s">
        <v>251</v>
      </c>
      <c r="AH132" s="3">
        <v>241000.11</v>
      </c>
      <c r="AI132" s="3">
        <v>241000.11</v>
      </c>
      <c r="AJ132" s="1">
        <v>46198</v>
      </c>
      <c r="AN132" t="s">
        <v>172</v>
      </c>
      <c r="AO132" t="s">
        <v>1098</v>
      </c>
      <c r="AR132" t="s">
        <v>1231</v>
      </c>
      <c r="AT132" t="s">
        <v>173</v>
      </c>
      <c r="AU132" t="s">
        <v>1232</v>
      </c>
      <c r="AW132">
        <v>0</v>
      </c>
      <c r="AX132" s="1">
        <v>46146</v>
      </c>
      <c r="AY132" s="2">
        <v>0.62912037037037039</v>
      </c>
      <c r="AZ132">
        <v>166844</v>
      </c>
      <c r="BA132" s="1">
        <v>45876</v>
      </c>
      <c r="BB132" s="1">
        <v>46104</v>
      </c>
      <c r="BC132" t="s">
        <v>0</v>
      </c>
      <c r="BD132" s="1">
        <v>46141</v>
      </c>
      <c r="BE132" t="s">
        <v>625</v>
      </c>
      <c r="BL132" s="4">
        <v>0</v>
      </c>
      <c r="BM132" s="1">
        <v>46899</v>
      </c>
      <c r="BO132">
        <v>0</v>
      </c>
      <c r="BP132">
        <v>31674</v>
      </c>
      <c r="BQ132" t="s">
        <v>156</v>
      </c>
      <c r="BR132" s="3">
        <v>132736.87</v>
      </c>
      <c r="BS132" s="3">
        <v>24207</v>
      </c>
      <c r="BT132">
        <v>0</v>
      </c>
      <c r="BU132" s="3">
        <v>156943.87</v>
      </c>
      <c r="BV132" s="3">
        <v>241000.11</v>
      </c>
      <c r="BX132">
        <v>0</v>
      </c>
      <c r="BZ132">
        <v>0</v>
      </c>
      <c r="CA132">
        <v>0</v>
      </c>
      <c r="CB132">
        <v>0</v>
      </c>
      <c r="CC132" s="3">
        <v>241000.11</v>
      </c>
      <c r="CD132" s="5">
        <v>0</v>
      </c>
      <c r="CF132" s="6">
        <v>46143</v>
      </c>
      <c r="CH132">
        <v>0</v>
      </c>
      <c r="CI132">
        <v>0</v>
      </c>
      <c r="CJ132">
        <v>0</v>
      </c>
      <c r="CK132">
        <v>0</v>
      </c>
      <c r="CL132">
        <v>0</v>
      </c>
      <c r="CM132">
        <v>0</v>
      </c>
      <c r="CN132">
        <v>0</v>
      </c>
      <c r="CO132">
        <v>0</v>
      </c>
      <c r="CP132">
        <v>0</v>
      </c>
      <c r="CQ132">
        <v>0</v>
      </c>
      <c r="CR132">
        <v>0</v>
      </c>
      <c r="CT132" t="s">
        <v>190</v>
      </c>
      <c r="CU132" t="s">
        <v>760</v>
      </c>
      <c r="CW132">
        <v>0</v>
      </c>
      <c r="CZ132" s="1">
        <v>46141</v>
      </c>
      <c r="DA132" t="s">
        <v>172</v>
      </c>
      <c r="DB132" t="s">
        <v>172</v>
      </c>
      <c r="DC132" t="s">
        <v>172</v>
      </c>
      <c r="DD132" t="s">
        <v>172</v>
      </c>
      <c r="DG132" s="1">
        <v>46141</v>
      </c>
      <c r="DH132">
        <v>0</v>
      </c>
      <c r="DI132">
        <v>0</v>
      </c>
      <c r="DK132" t="s">
        <v>179</v>
      </c>
      <c r="DL132" t="s">
        <v>200</v>
      </c>
      <c r="DM132" t="s">
        <v>172</v>
      </c>
      <c r="DN132" t="s">
        <v>201</v>
      </c>
      <c r="DV132" s="3">
        <v>241000.11</v>
      </c>
      <c r="DW132">
        <v>0</v>
      </c>
      <c r="DX132" s="3">
        <v>241000.11</v>
      </c>
      <c r="DY132">
        <v>0</v>
      </c>
    </row>
    <row r="133" spans="1:153" x14ac:dyDescent="0.35">
      <c r="A133" t="str">
        <f>HYPERLINK("https://7lm.cvcrm.com.br/gestor/comercial/reservas/7027/administrar","7027")</f>
        <v>7027</v>
      </c>
      <c r="B133" t="s">
        <v>172</v>
      </c>
      <c r="C133" s="1">
        <v>46141</v>
      </c>
      <c r="D133" s="2">
        <v>0.51883101851851854</v>
      </c>
      <c r="E133" t="s">
        <v>527</v>
      </c>
      <c r="F133" t="s">
        <v>957</v>
      </c>
      <c r="G133" t="s">
        <v>159</v>
      </c>
      <c r="H133" t="s">
        <v>643</v>
      </c>
      <c r="I133" t="s">
        <v>1233</v>
      </c>
      <c r="J133">
        <v>1</v>
      </c>
      <c r="L133">
        <v>30121</v>
      </c>
      <c r="M133" t="s">
        <v>1234</v>
      </c>
      <c r="R133" t="str">
        <f>HYPERLINK("https://7lm.cvcrm.com.br/gestor/relatorios/associado/html?q[1|r.idreserva]=7027","EDUARDO ESPINDULA DA SILVA")</f>
        <v>EDUARDO ESPINDULA DA SILVA</v>
      </c>
      <c r="S133">
        <v>11011957116</v>
      </c>
      <c r="T133">
        <v>5561994574460</v>
      </c>
      <c r="V133" t="s">
        <v>1235</v>
      </c>
      <c r="W133" t="s">
        <v>163</v>
      </c>
      <c r="X133" t="s">
        <v>288</v>
      </c>
      <c r="Y133" t="s">
        <v>189</v>
      </c>
      <c r="Z133" t="s">
        <v>190</v>
      </c>
      <c r="AA133" t="s">
        <v>332</v>
      </c>
      <c r="AB133" t="s">
        <v>1236</v>
      </c>
      <c r="AC133" t="s">
        <v>641</v>
      </c>
      <c r="AF133" t="s">
        <v>194</v>
      </c>
      <c r="AG133" t="s">
        <v>251</v>
      </c>
      <c r="AH133" s="3">
        <v>245000.29</v>
      </c>
      <c r="AI133" s="3">
        <v>245000.29</v>
      </c>
      <c r="AJ133" s="1">
        <v>46198</v>
      </c>
      <c r="AN133" t="s">
        <v>172</v>
      </c>
      <c r="AO133" t="s">
        <v>816</v>
      </c>
      <c r="AR133" t="s">
        <v>1237</v>
      </c>
      <c r="AT133" t="s">
        <v>196</v>
      </c>
      <c r="AU133" t="s">
        <v>316</v>
      </c>
      <c r="AW133">
        <v>0</v>
      </c>
      <c r="AX133" s="1">
        <v>46169</v>
      </c>
      <c r="AY133" s="2">
        <v>0.72372685185185182</v>
      </c>
      <c r="AZ133">
        <v>200209</v>
      </c>
      <c r="BA133" s="1">
        <v>46121</v>
      </c>
      <c r="BC133" t="s">
        <v>0</v>
      </c>
      <c r="BD133" s="1">
        <v>46141</v>
      </c>
      <c r="BE133" t="s">
        <v>317</v>
      </c>
      <c r="BL133" s="4">
        <v>0</v>
      </c>
      <c r="BM133" s="1">
        <v>47031</v>
      </c>
      <c r="BO133">
        <v>0</v>
      </c>
      <c r="BP133">
        <v>30766</v>
      </c>
      <c r="BQ133" t="s">
        <v>156</v>
      </c>
      <c r="BR133" s="3">
        <v>146039.93</v>
      </c>
      <c r="BS133" s="3">
        <v>18966</v>
      </c>
      <c r="BT133">
        <v>0</v>
      </c>
      <c r="BU133" s="3">
        <v>165005.93</v>
      </c>
      <c r="BV133" s="3">
        <v>245000.29</v>
      </c>
      <c r="BX133">
        <v>0</v>
      </c>
      <c r="BZ133">
        <v>0</v>
      </c>
      <c r="CA133">
        <v>0</v>
      </c>
      <c r="CB133">
        <v>0</v>
      </c>
      <c r="CC133" s="3">
        <v>245000.29</v>
      </c>
      <c r="CD133" s="5">
        <v>0</v>
      </c>
      <c r="CF133" s="6">
        <v>46143</v>
      </c>
      <c r="CH133">
        <v>0</v>
      </c>
      <c r="CI133">
        <v>0</v>
      </c>
      <c r="CJ133">
        <v>0</v>
      </c>
      <c r="CK133">
        <v>0</v>
      </c>
      <c r="CL133">
        <v>0</v>
      </c>
      <c r="CM133">
        <v>0</v>
      </c>
      <c r="CN133">
        <v>0</v>
      </c>
      <c r="CO133">
        <v>0</v>
      </c>
      <c r="CP133">
        <v>0</v>
      </c>
      <c r="CQ133">
        <v>0</v>
      </c>
      <c r="CR133">
        <v>0</v>
      </c>
      <c r="CT133" t="s">
        <v>190</v>
      </c>
      <c r="CU133" t="s">
        <v>1233</v>
      </c>
      <c r="CW133">
        <v>0</v>
      </c>
      <c r="CZ133" s="1">
        <v>46141</v>
      </c>
      <c r="DA133" t="s">
        <v>172</v>
      </c>
      <c r="DB133" t="s">
        <v>172</v>
      </c>
      <c r="DC133" t="s">
        <v>172</v>
      </c>
      <c r="DD133" t="s">
        <v>172</v>
      </c>
      <c r="DG133" s="1">
        <v>46141</v>
      </c>
      <c r="DH133">
        <v>0</v>
      </c>
      <c r="DI133">
        <v>0</v>
      </c>
      <c r="DL133" t="s">
        <v>963</v>
      </c>
      <c r="DM133" t="s">
        <v>172</v>
      </c>
      <c r="DN133" t="s">
        <v>201</v>
      </c>
      <c r="DU133" t="s">
        <v>1238</v>
      </c>
      <c r="DV133" s="3">
        <v>262399.71000000002</v>
      </c>
      <c r="DW133">
        <v>-51.71</v>
      </c>
      <c r="DX133" s="3">
        <v>262399.71000000002</v>
      </c>
      <c r="DY133">
        <v>-51.71</v>
      </c>
      <c r="EN133" t="s">
        <v>537</v>
      </c>
      <c r="ET133" t="s">
        <v>1239</v>
      </c>
    </row>
    <row r="134" spans="1:153" ht="116" x14ac:dyDescent="0.35">
      <c r="A134" t="str">
        <f>HYPERLINK("https://7lm.cvcrm.com.br/gestor/comercial/reservas/7026/administrar","7026")</f>
        <v>7026</v>
      </c>
      <c r="B134" t="s">
        <v>156</v>
      </c>
      <c r="C134" s="1">
        <v>46141</v>
      </c>
      <c r="D134" s="2">
        <v>0.43260416666666668</v>
      </c>
      <c r="E134" t="s">
        <v>294</v>
      </c>
      <c r="F134" t="s">
        <v>295</v>
      </c>
      <c r="G134" t="s">
        <v>203</v>
      </c>
      <c r="H134" t="s">
        <v>319</v>
      </c>
      <c r="I134" t="s">
        <v>666</v>
      </c>
      <c r="J134">
        <v>1</v>
      </c>
      <c r="K134">
        <v>8408</v>
      </c>
      <c r="L134">
        <v>30031</v>
      </c>
      <c r="M134" t="s">
        <v>1240</v>
      </c>
      <c r="N134" s="1">
        <v>46148</v>
      </c>
      <c r="O134" s="2">
        <v>0.57065972222222228</v>
      </c>
      <c r="Q134">
        <v>9929</v>
      </c>
      <c r="R134" t="str">
        <f>HYPERLINK("https://7lm.cvcrm.com.br/gestor/relatorios/associado/html?q[1|r.idreserva]=7026","MACIEL DA SILVA LIMA")</f>
        <v>MACIEL DA SILVA LIMA</v>
      </c>
      <c r="S134">
        <v>2208866100</v>
      </c>
      <c r="T134">
        <v>5561999721682</v>
      </c>
      <c r="U134">
        <v>5561999660756</v>
      </c>
      <c r="V134" t="s">
        <v>1241</v>
      </c>
      <c r="W134" t="s">
        <v>163</v>
      </c>
      <c r="X134" t="s">
        <v>376</v>
      </c>
      <c r="Y134" t="s">
        <v>189</v>
      </c>
      <c r="Z134" t="s">
        <v>190</v>
      </c>
      <c r="AA134" t="s">
        <v>1242</v>
      </c>
      <c r="AB134" t="s">
        <v>1243</v>
      </c>
      <c r="AC134" t="s">
        <v>1244</v>
      </c>
      <c r="AD134" t="s">
        <v>1244</v>
      </c>
      <c r="AF134" t="s">
        <v>303</v>
      </c>
      <c r="AG134" t="s">
        <v>195</v>
      </c>
      <c r="AH134" s="3">
        <v>254929.47</v>
      </c>
      <c r="AI134" s="3">
        <v>254929.47</v>
      </c>
      <c r="AJ134" s="1">
        <v>46188</v>
      </c>
      <c r="AN134" t="s">
        <v>172</v>
      </c>
      <c r="AR134" s="7" t="s">
        <v>1245</v>
      </c>
      <c r="AT134" t="s">
        <v>196</v>
      </c>
      <c r="AU134" t="s">
        <v>292</v>
      </c>
      <c r="AW134">
        <v>0</v>
      </c>
      <c r="AX134" s="1">
        <v>46149</v>
      </c>
      <c r="AY134" s="2">
        <v>0.43221064814814814</v>
      </c>
      <c r="AZ134">
        <v>204736</v>
      </c>
      <c r="BA134" s="1">
        <v>46139</v>
      </c>
      <c r="BC134" t="s">
        <v>176</v>
      </c>
      <c r="BD134" s="1">
        <v>46139</v>
      </c>
      <c r="BE134" t="s">
        <v>176</v>
      </c>
      <c r="BL134" s="4">
        <v>0</v>
      </c>
      <c r="BM134" s="1">
        <v>46604</v>
      </c>
      <c r="BN134" s="1">
        <v>46149</v>
      </c>
      <c r="BO134">
        <v>0</v>
      </c>
      <c r="BP134">
        <v>31595</v>
      </c>
      <c r="BQ134" t="s">
        <v>156</v>
      </c>
      <c r="BR134" s="3">
        <v>166155.34</v>
      </c>
      <c r="BS134" s="3">
        <v>3831</v>
      </c>
      <c r="BT134">
        <v>0</v>
      </c>
      <c r="BU134" s="3">
        <v>169986.34</v>
      </c>
      <c r="BV134" s="3">
        <v>254929.47</v>
      </c>
      <c r="BX134">
        <v>0</v>
      </c>
      <c r="BZ134">
        <v>0</v>
      </c>
      <c r="CA134">
        <v>0</v>
      </c>
      <c r="CB134">
        <v>0</v>
      </c>
      <c r="CC134" s="3">
        <v>254929.47</v>
      </c>
      <c r="CD134" s="5">
        <v>0</v>
      </c>
      <c r="CF134" s="6">
        <v>46143</v>
      </c>
      <c r="CH134">
        <v>0</v>
      </c>
      <c r="CI134">
        <v>0</v>
      </c>
      <c r="CJ134">
        <v>0</v>
      </c>
      <c r="CK134">
        <v>0</v>
      </c>
      <c r="CL134">
        <v>0</v>
      </c>
      <c r="CM134">
        <v>0</v>
      </c>
      <c r="CN134">
        <v>0</v>
      </c>
      <c r="CO134">
        <v>0</v>
      </c>
      <c r="CP134">
        <v>0</v>
      </c>
      <c r="CQ134">
        <v>0</v>
      </c>
      <c r="CR134">
        <v>0</v>
      </c>
      <c r="CS134" t="s">
        <v>360</v>
      </c>
      <c r="CT134" t="s">
        <v>190</v>
      </c>
      <c r="CU134" t="s">
        <v>666</v>
      </c>
      <c r="CW134">
        <v>-47.3048</v>
      </c>
      <c r="CZ134" s="1">
        <v>46141</v>
      </c>
      <c r="DA134" t="s">
        <v>172</v>
      </c>
      <c r="DB134" t="s">
        <v>172</v>
      </c>
      <c r="DC134" t="s">
        <v>172</v>
      </c>
      <c r="DD134" t="s">
        <v>172</v>
      </c>
      <c r="DG134" s="1">
        <v>46141</v>
      </c>
      <c r="DH134">
        <v>0</v>
      </c>
      <c r="DI134">
        <v>0</v>
      </c>
      <c r="DJ134" s="1">
        <v>46149</v>
      </c>
      <c r="DL134" t="s">
        <v>200</v>
      </c>
      <c r="DM134" t="s">
        <v>172</v>
      </c>
      <c r="DN134" t="s">
        <v>201</v>
      </c>
      <c r="DV134" s="3">
        <v>254929.47</v>
      </c>
      <c r="DW134">
        <v>0</v>
      </c>
      <c r="DX134" s="3">
        <v>254929.47</v>
      </c>
      <c r="DY134">
        <v>0</v>
      </c>
      <c r="EG134" s="1">
        <v>46147</v>
      </c>
      <c r="EH134" s="1">
        <v>46147</v>
      </c>
      <c r="EN134" t="s">
        <v>156</v>
      </c>
      <c r="EP134" s="1">
        <v>46146</v>
      </c>
      <c r="ER134" s="1">
        <v>46146</v>
      </c>
      <c r="ES134" t="s">
        <v>1246</v>
      </c>
      <c r="EW134" s="1">
        <v>46171</v>
      </c>
    </row>
    <row r="135" spans="1:153" ht="246.5" x14ac:dyDescent="0.35">
      <c r="A135" t="str">
        <f>HYPERLINK("https://7lm.cvcrm.com.br/gestor/comercial/reservas/7025/administrar","7025")</f>
        <v>7025</v>
      </c>
      <c r="B135" t="s">
        <v>156</v>
      </c>
      <c r="C135" s="1">
        <v>46140</v>
      </c>
      <c r="D135" s="2">
        <v>0.76428240740740738</v>
      </c>
      <c r="E135" t="s">
        <v>294</v>
      </c>
      <c r="F135" t="s">
        <v>182</v>
      </c>
      <c r="G135" t="s">
        <v>159</v>
      </c>
      <c r="H135" t="s">
        <v>538</v>
      </c>
      <c r="I135" t="s">
        <v>1247</v>
      </c>
      <c r="J135">
        <v>1</v>
      </c>
      <c r="K135">
        <v>8438</v>
      </c>
      <c r="L135">
        <v>30151</v>
      </c>
      <c r="M135" t="s">
        <v>1248</v>
      </c>
      <c r="N135" s="1">
        <v>46150</v>
      </c>
      <c r="O135" s="2">
        <v>0.52443287037037034</v>
      </c>
      <c r="Q135">
        <v>9946</v>
      </c>
      <c r="R135" t="str">
        <f>HYPERLINK("https://7lm.cvcrm.com.br/gestor/relatorios/associado/html?q[1|r.idreserva]=7025","LEIDY DAIANY DOS REIS")</f>
        <v>LEIDY DAIANY DOS REIS</v>
      </c>
      <c r="S135">
        <v>1150160152</v>
      </c>
      <c r="T135">
        <v>5561999586349</v>
      </c>
      <c r="U135">
        <v>5561996074691</v>
      </c>
      <c r="V135" t="s">
        <v>1249</v>
      </c>
      <c r="W135" t="s">
        <v>187</v>
      </c>
      <c r="X135" t="s">
        <v>366</v>
      </c>
      <c r="Y135" t="s">
        <v>189</v>
      </c>
      <c r="Z135" t="s">
        <v>190</v>
      </c>
      <c r="AA135" t="s">
        <v>1242</v>
      </c>
      <c r="AB135" t="s">
        <v>1250</v>
      </c>
      <c r="AC135" t="s">
        <v>1251</v>
      </c>
      <c r="AD135" t="s">
        <v>1251</v>
      </c>
      <c r="AF135" t="s">
        <v>250</v>
      </c>
      <c r="AG135" t="s">
        <v>251</v>
      </c>
      <c r="AH135" s="3">
        <v>241000.45</v>
      </c>
      <c r="AI135" s="3">
        <v>241000.45</v>
      </c>
      <c r="AJ135" s="1">
        <v>46140</v>
      </c>
      <c r="AN135" t="s">
        <v>172</v>
      </c>
      <c r="AR135" s="7" t="s">
        <v>353</v>
      </c>
      <c r="AT135" t="s">
        <v>261</v>
      </c>
      <c r="AU135" t="s">
        <v>1073</v>
      </c>
      <c r="AW135">
        <v>0</v>
      </c>
      <c r="AX135" s="1">
        <v>46156</v>
      </c>
      <c r="AY135" s="2">
        <v>0.49319444444444444</v>
      </c>
      <c r="AZ135">
        <v>15171</v>
      </c>
      <c r="BA135" s="1">
        <v>43899</v>
      </c>
      <c r="BB135" s="1">
        <v>46137</v>
      </c>
      <c r="BC135" t="s">
        <v>275</v>
      </c>
      <c r="BD135" s="1">
        <v>46139</v>
      </c>
      <c r="BE135" t="s">
        <v>427</v>
      </c>
      <c r="BL135" s="4">
        <v>0</v>
      </c>
      <c r="BM135" s="1">
        <v>46899</v>
      </c>
      <c r="BN135" s="1">
        <v>46156</v>
      </c>
      <c r="BO135">
        <v>0</v>
      </c>
      <c r="BP135">
        <v>31684</v>
      </c>
      <c r="BQ135" t="s">
        <v>156</v>
      </c>
      <c r="BR135">
        <v>0</v>
      </c>
      <c r="BS135">
        <v>0</v>
      </c>
      <c r="BT135">
        <v>0</v>
      </c>
      <c r="BU135">
        <v>0</v>
      </c>
      <c r="BV135" s="3">
        <v>241000.45</v>
      </c>
      <c r="BX135">
        <v>0</v>
      </c>
      <c r="BZ135">
        <v>0</v>
      </c>
      <c r="CA135">
        <v>0</v>
      </c>
      <c r="CB135">
        <v>0</v>
      </c>
      <c r="CC135" s="3">
        <v>241000.45</v>
      </c>
      <c r="CD135" s="5">
        <v>0</v>
      </c>
      <c r="CF135" s="6">
        <v>46143</v>
      </c>
      <c r="CH135">
        <v>0</v>
      </c>
      <c r="CI135">
        <v>0</v>
      </c>
      <c r="CJ135">
        <v>0</v>
      </c>
      <c r="CK135">
        <v>0</v>
      </c>
      <c r="CL135">
        <v>0</v>
      </c>
      <c r="CM135">
        <v>0</v>
      </c>
      <c r="CN135">
        <v>0</v>
      </c>
      <c r="CO135">
        <v>0</v>
      </c>
      <c r="CP135">
        <v>0</v>
      </c>
      <c r="CQ135">
        <v>0</v>
      </c>
      <c r="CR135">
        <v>0</v>
      </c>
      <c r="CS135" t="s">
        <v>599</v>
      </c>
      <c r="CT135" t="s">
        <v>190</v>
      </c>
      <c r="CU135" t="s">
        <v>1247</v>
      </c>
      <c r="CW135">
        <v>-54.733199999999997</v>
      </c>
      <c r="CZ135" s="1">
        <v>46140</v>
      </c>
      <c r="DA135" t="s">
        <v>172</v>
      </c>
      <c r="DB135" t="s">
        <v>172</v>
      </c>
      <c r="DC135" t="s">
        <v>172</v>
      </c>
      <c r="DD135" t="s">
        <v>172</v>
      </c>
      <c r="DG135" s="1">
        <v>46140</v>
      </c>
      <c r="DH135">
        <v>0</v>
      </c>
      <c r="DI135">
        <v>0</v>
      </c>
      <c r="DJ135" s="1">
        <v>46156</v>
      </c>
      <c r="DK135" t="s">
        <v>179</v>
      </c>
      <c r="DL135" t="s">
        <v>200</v>
      </c>
      <c r="DM135" t="s">
        <v>172</v>
      </c>
      <c r="DN135" t="s">
        <v>201</v>
      </c>
      <c r="DV135" s="3">
        <v>241000.45</v>
      </c>
      <c r="DW135">
        <v>0</v>
      </c>
      <c r="DX135" s="3">
        <v>241000.45</v>
      </c>
      <c r="DY135">
        <v>0</v>
      </c>
      <c r="EF135" s="1">
        <v>46155</v>
      </c>
      <c r="EG135" s="1">
        <v>46150</v>
      </c>
      <c r="EK135" s="1">
        <v>46155</v>
      </c>
      <c r="EL135" s="1">
        <v>46155</v>
      </c>
      <c r="EM135" s="1">
        <v>46155</v>
      </c>
      <c r="EN135" t="s">
        <v>156</v>
      </c>
      <c r="EP135" s="1">
        <v>46154</v>
      </c>
      <c r="EU135" s="1">
        <v>46150</v>
      </c>
      <c r="EW135" s="1">
        <v>46140</v>
      </c>
    </row>
    <row r="136" spans="1:153" x14ac:dyDescent="0.35">
      <c r="A136" t="str">
        <f>HYPERLINK("https://7lm.cvcrm.com.br/gestor/comercial/reservas/7024/administrar","7024")</f>
        <v>7024</v>
      </c>
      <c r="B136" t="s">
        <v>156</v>
      </c>
      <c r="C136" s="1">
        <v>46140</v>
      </c>
      <c r="D136" s="2">
        <v>0.70359953703703704</v>
      </c>
      <c r="E136" t="s">
        <v>527</v>
      </c>
      <c r="F136" t="s">
        <v>182</v>
      </c>
      <c r="G136" t="s">
        <v>159</v>
      </c>
      <c r="H136" t="s">
        <v>241</v>
      </c>
      <c r="I136" t="s">
        <v>242</v>
      </c>
      <c r="J136">
        <v>1</v>
      </c>
      <c r="L136">
        <v>30151</v>
      </c>
      <c r="M136" t="s">
        <v>243</v>
      </c>
      <c r="N136" s="1">
        <v>46146</v>
      </c>
      <c r="O136" s="2">
        <v>0.77256944444444442</v>
      </c>
      <c r="R136" t="str">
        <f>HYPERLINK("https://7lm.cvcrm.com.br/gestor/relatorios/associado/html?q[1|r.idreserva]=7024","DANILO NUNES DOS REIS")</f>
        <v>DANILO NUNES DOS REIS</v>
      </c>
      <c r="S136">
        <v>2245571142</v>
      </c>
      <c r="T136">
        <v>556196510289</v>
      </c>
      <c r="V136" t="s">
        <v>1252</v>
      </c>
      <c r="W136" t="s">
        <v>163</v>
      </c>
      <c r="X136" t="s">
        <v>299</v>
      </c>
      <c r="Y136" t="s">
        <v>189</v>
      </c>
      <c r="Z136" t="s">
        <v>190</v>
      </c>
      <c r="AA136" t="s">
        <v>1096</v>
      </c>
      <c r="AB136" t="s">
        <v>1253</v>
      </c>
      <c r="AC136" t="s">
        <v>845</v>
      </c>
      <c r="AD136" t="s">
        <v>845</v>
      </c>
      <c r="AF136" t="s">
        <v>352</v>
      </c>
      <c r="AG136" t="s">
        <v>251</v>
      </c>
      <c r="AH136" s="3">
        <v>246000.13</v>
      </c>
      <c r="AI136" s="3">
        <v>246000.13</v>
      </c>
      <c r="AJ136" s="1">
        <v>46198</v>
      </c>
      <c r="AN136" t="s">
        <v>172</v>
      </c>
      <c r="AO136" t="s">
        <v>932</v>
      </c>
      <c r="AP136" t="s">
        <v>1254</v>
      </c>
      <c r="AR136" t="s">
        <v>1255</v>
      </c>
      <c r="AT136" t="s">
        <v>261</v>
      </c>
      <c r="AU136" t="s">
        <v>276</v>
      </c>
      <c r="AW136">
        <v>0</v>
      </c>
      <c r="AX136" s="1">
        <v>46149</v>
      </c>
      <c r="AY136" s="2">
        <v>0.44465277777777779</v>
      </c>
      <c r="AZ136">
        <v>187991</v>
      </c>
      <c r="BA136" s="1">
        <v>46059</v>
      </c>
      <c r="BB136" s="1">
        <v>46132</v>
      </c>
      <c r="BC136" t="s">
        <v>275</v>
      </c>
      <c r="BD136" s="1">
        <v>46134</v>
      </c>
      <c r="BE136" t="s">
        <v>276</v>
      </c>
      <c r="BL136" s="4">
        <v>0</v>
      </c>
      <c r="BM136" s="1">
        <v>46899</v>
      </c>
      <c r="BO136">
        <v>0</v>
      </c>
      <c r="BP136">
        <v>31559</v>
      </c>
      <c r="BQ136" t="s">
        <v>156</v>
      </c>
      <c r="BR136" s="3">
        <v>138516.25</v>
      </c>
      <c r="BS136" s="3">
        <v>22390</v>
      </c>
      <c r="BT136">
        <v>0</v>
      </c>
      <c r="BU136" s="3">
        <v>160906.25</v>
      </c>
      <c r="BV136" s="3">
        <v>246000.13</v>
      </c>
      <c r="BX136">
        <v>0</v>
      </c>
      <c r="BZ136">
        <v>0</v>
      </c>
      <c r="CA136">
        <v>0</v>
      </c>
      <c r="CB136">
        <v>0</v>
      </c>
      <c r="CC136" s="3">
        <v>246000.13</v>
      </c>
      <c r="CD136" s="5">
        <v>0</v>
      </c>
      <c r="CF136" s="6">
        <v>46143</v>
      </c>
      <c r="CH136">
        <v>0</v>
      </c>
      <c r="CI136">
        <v>0</v>
      </c>
      <c r="CJ136">
        <v>0</v>
      </c>
      <c r="CK136">
        <v>0</v>
      </c>
      <c r="CL136">
        <v>0</v>
      </c>
      <c r="CM136">
        <v>0</v>
      </c>
      <c r="CN136">
        <v>0</v>
      </c>
      <c r="CO136">
        <v>0</v>
      </c>
      <c r="CP136">
        <v>0</v>
      </c>
      <c r="CQ136">
        <v>0</v>
      </c>
      <c r="CR136">
        <v>0</v>
      </c>
      <c r="CS136" t="s">
        <v>659</v>
      </c>
      <c r="CT136" t="s">
        <v>190</v>
      </c>
      <c r="CU136" t="s">
        <v>242</v>
      </c>
      <c r="CW136">
        <v>-53.7941</v>
      </c>
      <c r="CZ136" s="1">
        <v>46140</v>
      </c>
      <c r="DA136" t="s">
        <v>172</v>
      </c>
      <c r="DB136" t="s">
        <v>172</v>
      </c>
      <c r="DC136" t="s">
        <v>172</v>
      </c>
      <c r="DD136" t="s">
        <v>172</v>
      </c>
      <c r="DG136" s="1">
        <v>46140</v>
      </c>
      <c r="DH136">
        <v>0</v>
      </c>
      <c r="DI136">
        <v>0</v>
      </c>
      <c r="DK136" t="s">
        <v>179</v>
      </c>
      <c r="DL136" t="s">
        <v>200</v>
      </c>
      <c r="DM136" t="s">
        <v>172</v>
      </c>
      <c r="DN136" t="s">
        <v>201</v>
      </c>
      <c r="DV136" s="3">
        <v>246000.13</v>
      </c>
      <c r="DW136">
        <v>0</v>
      </c>
      <c r="DX136" s="3">
        <v>246000.13</v>
      </c>
      <c r="DY136">
        <v>0</v>
      </c>
      <c r="EM136" s="1">
        <v>46146</v>
      </c>
      <c r="EN136" t="s">
        <v>537</v>
      </c>
      <c r="EP136" s="1">
        <v>46142</v>
      </c>
      <c r="ER136" s="1">
        <v>46142</v>
      </c>
      <c r="ES136" t="s">
        <v>1256</v>
      </c>
      <c r="ET136" t="s">
        <v>1257</v>
      </c>
    </row>
    <row r="137" spans="1:153" ht="246.5" x14ac:dyDescent="0.35">
      <c r="A137" t="str">
        <f>HYPERLINK("https://7lm.cvcrm.com.br/gestor/comercial/reservas/7023/administrar","7023")</f>
        <v>7023</v>
      </c>
      <c r="B137" t="s">
        <v>156</v>
      </c>
      <c r="C137" s="1">
        <v>46140</v>
      </c>
      <c r="D137" s="2">
        <v>0.69614583333333335</v>
      </c>
      <c r="E137" t="s">
        <v>294</v>
      </c>
      <c r="F137" t="s">
        <v>458</v>
      </c>
      <c r="G137" t="s">
        <v>203</v>
      </c>
      <c r="H137" t="s">
        <v>204</v>
      </c>
      <c r="I137" t="s">
        <v>1258</v>
      </c>
      <c r="J137">
        <v>1</v>
      </c>
      <c r="K137">
        <v>8448</v>
      </c>
      <c r="L137">
        <v>20001</v>
      </c>
      <c r="M137" t="s">
        <v>1259</v>
      </c>
      <c r="N137" s="1">
        <v>46157</v>
      </c>
      <c r="O137" s="2">
        <v>0.6495023148148148</v>
      </c>
      <c r="Q137">
        <v>9954</v>
      </c>
      <c r="R137" t="str">
        <f>HYPERLINK("https://7lm.cvcrm.com.br/gestor/relatorios/associado/html?q[1|r.idreserva]=7023","CLEVERTON SANTOS LIMA")</f>
        <v>CLEVERTON SANTOS LIMA</v>
      </c>
      <c r="S137">
        <v>5033176161</v>
      </c>
      <c r="T137">
        <v>5561991124991</v>
      </c>
      <c r="U137">
        <v>5561992198106</v>
      </c>
      <c r="V137" t="s">
        <v>1260</v>
      </c>
      <c r="W137" t="s">
        <v>163</v>
      </c>
      <c r="X137" t="s">
        <v>1261</v>
      </c>
      <c r="Y137" t="s">
        <v>189</v>
      </c>
      <c r="Z137" t="s">
        <v>214</v>
      </c>
      <c r="AA137" t="s">
        <v>1262</v>
      </c>
      <c r="AB137" t="s">
        <v>1263</v>
      </c>
      <c r="AC137" t="s">
        <v>1264</v>
      </c>
      <c r="AD137" t="s">
        <v>1265</v>
      </c>
      <c r="AF137" t="s">
        <v>634</v>
      </c>
      <c r="AG137" t="s">
        <v>195</v>
      </c>
      <c r="AH137" s="3">
        <v>218259.17</v>
      </c>
      <c r="AI137" s="3">
        <v>218259.17</v>
      </c>
      <c r="AJ137" s="1">
        <v>46188</v>
      </c>
      <c r="AN137" t="s">
        <v>172</v>
      </c>
      <c r="AR137" s="7" t="s">
        <v>353</v>
      </c>
      <c r="AT137" t="s">
        <v>196</v>
      </c>
      <c r="AU137" t="s">
        <v>316</v>
      </c>
      <c r="AW137">
        <v>0</v>
      </c>
      <c r="AX137" s="1">
        <v>46157</v>
      </c>
      <c r="AY137" s="2">
        <v>0.59484953703703702</v>
      </c>
      <c r="AZ137">
        <v>111910</v>
      </c>
      <c r="BA137" s="1">
        <v>45371</v>
      </c>
      <c r="BB137" s="1">
        <v>45999</v>
      </c>
      <c r="BC137" t="s">
        <v>0</v>
      </c>
      <c r="BD137" s="1">
        <v>46140</v>
      </c>
      <c r="BE137" t="s">
        <v>427</v>
      </c>
      <c r="BL137" s="4">
        <v>0</v>
      </c>
      <c r="BM137" s="1">
        <v>46572</v>
      </c>
      <c r="BN137" s="1">
        <v>46157</v>
      </c>
      <c r="BO137">
        <v>0</v>
      </c>
      <c r="BP137">
        <v>28066</v>
      </c>
      <c r="BQ137" t="s">
        <v>156</v>
      </c>
      <c r="BR137" s="3">
        <v>142963.45000000001</v>
      </c>
      <c r="BS137" s="3">
        <v>21873</v>
      </c>
      <c r="BT137">
        <v>0</v>
      </c>
      <c r="BU137" s="3">
        <v>164836.45000000001</v>
      </c>
      <c r="BV137" s="3">
        <v>218259.17</v>
      </c>
      <c r="BX137">
        <v>0</v>
      </c>
      <c r="BZ137">
        <v>0</v>
      </c>
      <c r="CA137">
        <v>0</v>
      </c>
      <c r="CB137">
        <v>0</v>
      </c>
      <c r="CC137" s="3">
        <v>218259.17</v>
      </c>
      <c r="CD137" s="5">
        <v>0</v>
      </c>
      <c r="CE137" t="s">
        <v>467</v>
      </c>
      <c r="CF137" s="6">
        <v>46143</v>
      </c>
      <c r="CH137">
        <v>0</v>
      </c>
      <c r="CI137">
        <v>0</v>
      </c>
      <c r="CJ137">
        <v>0</v>
      </c>
      <c r="CK137">
        <v>0</v>
      </c>
      <c r="CL137">
        <v>0</v>
      </c>
      <c r="CM137">
        <v>0</v>
      </c>
      <c r="CN137">
        <v>0</v>
      </c>
      <c r="CO137">
        <v>0</v>
      </c>
      <c r="CP137">
        <v>0</v>
      </c>
      <c r="CQ137">
        <v>0</v>
      </c>
      <c r="CR137">
        <v>0</v>
      </c>
      <c r="CS137" t="s">
        <v>360</v>
      </c>
      <c r="CT137" t="s">
        <v>214</v>
      </c>
      <c r="CU137" t="s">
        <v>1258</v>
      </c>
      <c r="CW137">
        <v>-59.174599999999998</v>
      </c>
      <c r="CZ137" s="1">
        <v>46140</v>
      </c>
      <c r="DA137" t="s">
        <v>172</v>
      </c>
      <c r="DB137" t="s">
        <v>172</v>
      </c>
      <c r="DC137" t="s">
        <v>172</v>
      </c>
      <c r="DD137" t="s">
        <v>172</v>
      </c>
      <c r="DG137" s="1">
        <v>46140</v>
      </c>
      <c r="DH137">
        <v>0</v>
      </c>
      <c r="DI137">
        <v>0</v>
      </c>
      <c r="DJ137" s="1">
        <v>46157</v>
      </c>
      <c r="DL137" t="s">
        <v>794</v>
      </c>
      <c r="DM137" t="s">
        <v>172</v>
      </c>
      <c r="DN137" t="s">
        <v>795</v>
      </c>
      <c r="DU137" t="s">
        <v>1266</v>
      </c>
      <c r="DV137" s="3">
        <v>242540.83</v>
      </c>
      <c r="DW137">
        <v>-52.63</v>
      </c>
      <c r="DX137" s="3">
        <v>242540.83</v>
      </c>
      <c r="DY137">
        <v>-52.63</v>
      </c>
      <c r="EF137" s="1">
        <v>46157</v>
      </c>
      <c r="EG137" s="1">
        <v>46155</v>
      </c>
      <c r="EK137" s="1">
        <v>46157</v>
      </c>
      <c r="EN137" t="s">
        <v>156</v>
      </c>
      <c r="EP137" s="1">
        <v>46147</v>
      </c>
      <c r="EW137" s="1">
        <v>46140</v>
      </c>
    </row>
    <row r="138" spans="1:153" ht="246.5" x14ac:dyDescent="0.35">
      <c r="A138" t="str">
        <f>HYPERLINK("https://7lm.cvcrm.com.br/gestor/comercial/reservas/7022/administrar","7022")</f>
        <v>7022</v>
      </c>
      <c r="B138" t="s">
        <v>156</v>
      </c>
      <c r="C138" s="1">
        <v>46140</v>
      </c>
      <c r="D138" s="2">
        <v>0.65459490740740744</v>
      </c>
      <c r="E138" t="s">
        <v>294</v>
      </c>
      <c r="F138" t="s">
        <v>295</v>
      </c>
      <c r="G138" t="s">
        <v>203</v>
      </c>
      <c r="H138" t="s">
        <v>528</v>
      </c>
      <c r="I138" t="s">
        <v>1267</v>
      </c>
      <c r="J138">
        <v>1</v>
      </c>
      <c r="K138">
        <v>8404</v>
      </c>
      <c r="L138">
        <v>30031</v>
      </c>
      <c r="M138" t="s">
        <v>1268</v>
      </c>
      <c r="N138" s="1">
        <v>46148</v>
      </c>
      <c r="O138" s="2">
        <v>0.84468750000000004</v>
      </c>
      <c r="Q138">
        <v>9927</v>
      </c>
      <c r="R138" t="str">
        <f>HYPERLINK("https://7lm.cvcrm.com.br/gestor/relatorios/associado/html?q[1|r.idreserva]=7022","DENILSON DA SILVA BATISTA")</f>
        <v>DENILSON DA SILVA BATISTA</v>
      </c>
      <c r="S138">
        <v>13509062639</v>
      </c>
      <c r="T138">
        <v>5561996640212</v>
      </c>
      <c r="U138">
        <v>5561996988129</v>
      </c>
      <c r="V138" t="s">
        <v>1269</v>
      </c>
      <c r="W138" t="s">
        <v>163</v>
      </c>
      <c r="X138" t="s">
        <v>299</v>
      </c>
      <c r="Y138" t="s">
        <v>189</v>
      </c>
      <c r="Z138" t="s">
        <v>190</v>
      </c>
      <c r="AA138" t="s">
        <v>1270</v>
      </c>
      <c r="AB138" t="s">
        <v>1271</v>
      </c>
      <c r="AC138" t="s">
        <v>1104</v>
      </c>
      <c r="AF138" t="s">
        <v>303</v>
      </c>
      <c r="AG138" t="s">
        <v>251</v>
      </c>
      <c r="AH138" s="3">
        <v>253334.07</v>
      </c>
      <c r="AI138" s="3">
        <v>253334.07</v>
      </c>
      <c r="AJ138" s="1">
        <v>46208</v>
      </c>
      <c r="AN138" t="s">
        <v>172</v>
      </c>
      <c r="AR138" s="7" t="s">
        <v>353</v>
      </c>
      <c r="AT138" t="s">
        <v>196</v>
      </c>
      <c r="AU138" t="s">
        <v>292</v>
      </c>
      <c r="AW138">
        <v>0</v>
      </c>
      <c r="AX138" s="1">
        <v>46149</v>
      </c>
      <c r="AY138" s="2">
        <v>0.4321875</v>
      </c>
      <c r="AZ138">
        <v>183308</v>
      </c>
      <c r="BA138" s="1">
        <v>46032</v>
      </c>
      <c r="BC138" t="s">
        <v>0</v>
      </c>
      <c r="BD138" s="1">
        <v>46140</v>
      </c>
      <c r="BE138" t="s">
        <v>317</v>
      </c>
      <c r="BL138" s="4">
        <v>0</v>
      </c>
      <c r="BM138" s="1">
        <v>46604</v>
      </c>
      <c r="BN138" s="1">
        <v>46149</v>
      </c>
      <c r="BO138">
        <v>0</v>
      </c>
      <c r="BP138">
        <v>31288</v>
      </c>
      <c r="BQ138" t="s">
        <v>156</v>
      </c>
      <c r="BR138" s="3">
        <v>145303.34</v>
      </c>
      <c r="BS138" s="3">
        <v>19010</v>
      </c>
      <c r="BT138">
        <v>0</v>
      </c>
      <c r="BU138" s="3">
        <v>164313.34</v>
      </c>
      <c r="BV138" s="3">
        <v>253334.07</v>
      </c>
      <c r="BX138">
        <v>0</v>
      </c>
      <c r="BZ138">
        <v>0</v>
      </c>
      <c r="CA138">
        <v>0</v>
      </c>
      <c r="CB138">
        <v>0</v>
      </c>
      <c r="CC138" s="3">
        <v>253334.07</v>
      </c>
      <c r="CD138" s="5">
        <v>0</v>
      </c>
      <c r="CF138" s="6">
        <v>46143</v>
      </c>
      <c r="CH138">
        <v>0</v>
      </c>
      <c r="CI138">
        <v>0</v>
      </c>
      <c r="CJ138">
        <v>0</v>
      </c>
      <c r="CK138">
        <v>0</v>
      </c>
      <c r="CL138">
        <v>0</v>
      </c>
      <c r="CM138">
        <v>0</v>
      </c>
      <c r="CN138">
        <v>0</v>
      </c>
      <c r="CO138">
        <v>0</v>
      </c>
      <c r="CP138">
        <v>0</v>
      </c>
      <c r="CQ138">
        <v>0</v>
      </c>
      <c r="CR138">
        <v>0</v>
      </c>
      <c r="CS138" t="s">
        <v>649</v>
      </c>
      <c r="CT138" t="s">
        <v>190</v>
      </c>
      <c r="CU138" t="s">
        <v>1267</v>
      </c>
      <c r="CW138">
        <v>-45.130699999999997</v>
      </c>
      <c r="CZ138" s="1">
        <v>46140</v>
      </c>
      <c r="DA138" t="s">
        <v>172</v>
      </c>
      <c r="DB138" t="s">
        <v>172</v>
      </c>
      <c r="DC138" t="s">
        <v>172</v>
      </c>
      <c r="DD138" t="s">
        <v>172</v>
      </c>
      <c r="DG138" s="1">
        <v>46140</v>
      </c>
      <c r="DH138">
        <v>0</v>
      </c>
      <c r="DI138">
        <v>0</v>
      </c>
      <c r="DJ138" s="1">
        <v>46149</v>
      </c>
      <c r="DL138" t="s">
        <v>200</v>
      </c>
      <c r="DM138" t="s">
        <v>172</v>
      </c>
      <c r="DN138" t="s">
        <v>201</v>
      </c>
      <c r="DP138" s="8">
        <v>0.01</v>
      </c>
      <c r="DV138" s="3">
        <v>253334.07</v>
      </c>
      <c r="DW138">
        <v>0</v>
      </c>
      <c r="DX138" s="3">
        <v>253334.07</v>
      </c>
      <c r="DY138">
        <v>0</v>
      </c>
      <c r="EG138" s="1">
        <v>46147</v>
      </c>
      <c r="EN138" t="s">
        <v>156</v>
      </c>
      <c r="EP138" s="1">
        <v>46148</v>
      </c>
      <c r="EQ138" s="1">
        <v>46147</v>
      </c>
      <c r="ER138" s="1">
        <v>46117</v>
      </c>
      <c r="ES138" t="s">
        <v>1272</v>
      </c>
      <c r="EV138" s="1">
        <v>46147</v>
      </c>
      <c r="EW138" s="1">
        <v>46140</v>
      </c>
    </row>
    <row r="139" spans="1:153" x14ac:dyDescent="0.35">
      <c r="A139" t="str">
        <f>HYPERLINK("https://7lm.cvcrm.com.br/gestor/comercial/reservas/7021/administrar","7021")</f>
        <v>7021</v>
      </c>
      <c r="B139" t="s">
        <v>172</v>
      </c>
      <c r="C139" s="1">
        <v>46140</v>
      </c>
      <c r="D139" s="2">
        <v>0.58458333333333334</v>
      </c>
      <c r="E139" t="s">
        <v>157</v>
      </c>
      <c r="F139" t="s">
        <v>182</v>
      </c>
      <c r="G139" t="s">
        <v>159</v>
      </c>
      <c r="H139" t="s">
        <v>183</v>
      </c>
      <c r="I139" t="s">
        <v>1273</v>
      </c>
      <c r="J139">
        <v>1</v>
      </c>
      <c r="L139">
        <v>30151</v>
      </c>
      <c r="M139" t="s">
        <v>1274</v>
      </c>
      <c r="R139" t="str">
        <f>HYPERLINK("https://7lm.cvcrm.com.br/gestor/relatorios/associado/html?q[1|r.idreserva]=7021","ALEX LUIZ PEREIRA DA SILVA")</f>
        <v>ALEX LUIZ PEREIRA DA SILVA</v>
      </c>
      <c r="S139">
        <v>5285178134</v>
      </c>
      <c r="T139">
        <v>556199908228</v>
      </c>
      <c r="V139" t="s">
        <v>1275</v>
      </c>
      <c r="W139" t="s">
        <v>163</v>
      </c>
      <c r="X139" t="s">
        <v>1276</v>
      </c>
      <c r="Y139" t="s">
        <v>189</v>
      </c>
      <c r="Z139" t="s">
        <v>190</v>
      </c>
      <c r="AA139" t="s">
        <v>332</v>
      </c>
      <c r="AB139" t="s">
        <v>1277</v>
      </c>
      <c r="AC139" t="s">
        <v>917</v>
      </c>
      <c r="AF139" t="s">
        <v>194</v>
      </c>
      <c r="AG139" t="s">
        <v>195</v>
      </c>
      <c r="AH139" s="3">
        <v>244999.97</v>
      </c>
      <c r="AI139" s="3">
        <v>244999.97</v>
      </c>
      <c r="AJ139" s="1">
        <v>46198</v>
      </c>
      <c r="AN139" t="s">
        <v>172</v>
      </c>
      <c r="AT139" t="s">
        <v>196</v>
      </c>
      <c r="AU139" t="s">
        <v>174</v>
      </c>
      <c r="AW139">
        <v>0</v>
      </c>
      <c r="AX139" s="1">
        <v>46140</v>
      </c>
      <c r="AY139" s="2">
        <v>0.58458333333333334</v>
      </c>
      <c r="AZ139">
        <v>150559</v>
      </c>
      <c r="BA139" s="1">
        <v>45714</v>
      </c>
      <c r="BC139" t="s">
        <v>213</v>
      </c>
      <c r="BD139" s="1">
        <v>45714</v>
      </c>
      <c r="BE139" t="s">
        <v>590</v>
      </c>
      <c r="BL139" s="4">
        <v>0</v>
      </c>
      <c r="BM139" s="1">
        <v>46899</v>
      </c>
      <c r="BO139">
        <v>0</v>
      </c>
      <c r="BP139">
        <v>31528</v>
      </c>
      <c r="BQ139" t="s">
        <v>156</v>
      </c>
      <c r="BR139" s="3">
        <v>134072.97</v>
      </c>
      <c r="BS139" s="3">
        <v>26295</v>
      </c>
      <c r="BT139">
        <v>0</v>
      </c>
      <c r="BU139" s="3">
        <v>160367.97</v>
      </c>
      <c r="BV139" s="3">
        <v>244999.97</v>
      </c>
      <c r="BX139">
        <v>0</v>
      </c>
      <c r="BZ139">
        <v>0</v>
      </c>
      <c r="CA139">
        <v>0</v>
      </c>
      <c r="CB139">
        <v>0</v>
      </c>
      <c r="CC139" s="3">
        <v>244999.97</v>
      </c>
      <c r="CD139" s="5">
        <v>0</v>
      </c>
      <c r="CF139" s="6">
        <v>46143</v>
      </c>
      <c r="CH139">
        <v>0</v>
      </c>
      <c r="CI139">
        <v>0</v>
      </c>
      <c r="CJ139">
        <v>0</v>
      </c>
      <c r="CK139">
        <v>0</v>
      </c>
      <c r="CL139">
        <v>0</v>
      </c>
      <c r="CM139">
        <v>0</v>
      </c>
      <c r="CN139">
        <v>0</v>
      </c>
      <c r="CO139">
        <v>0</v>
      </c>
      <c r="CP139">
        <v>0</v>
      </c>
      <c r="CQ139">
        <v>0</v>
      </c>
      <c r="CR139">
        <v>0</v>
      </c>
      <c r="CT139" t="s">
        <v>190</v>
      </c>
      <c r="CU139" t="s">
        <v>1273</v>
      </c>
      <c r="CW139">
        <v>0</v>
      </c>
      <c r="CZ139" s="1">
        <v>46140</v>
      </c>
      <c r="DA139" t="s">
        <v>172</v>
      </c>
      <c r="DB139" t="s">
        <v>172</v>
      </c>
      <c r="DC139" t="s">
        <v>172</v>
      </c>
      <c r="DD139" t="s">
        <v>172</v>
      </c>
      <c r="DG139" s="1">
        <v>46140</v>
      </c>
      <c r="DH139">
        <v>0</v>
      </c>
      <c r="DI139">
        <v>0</v>
      </c>
      <c r="DK139" t="s">
        <v>179</v>
      </c>
      <c r="DL139" t="s">
        <v>200</v>
      </c>
      <c r="DM139" t="s">
        <v>172</v>
      </c>
      <c r="DN139" t="s">
        <v>201</v>
      </c>
      <c r="DV139" s="3">
        <v>244999.97</v>
      </c>
      <c r="DW139">
        <v>0</v>
      </c>
      <c r="DX139" s="3">
        <v>244999.97</v>
      </c>
      <c r="DY139">
        <v>0</v>
      </c>
      <c r="EN139" t="s">
        <v>537</v>
      </c>
      <c r="ET139" t="s">
        <v>1278</v>
      </c>
    </row>
    <row r="140" spans="1:153" ht="246.5" x14ac:dyDescent="0.35">
      <c r="A140" t="str">
        <f>HYPERLINK("https://7lm.cvcrm.com.br/gestor/comercial/reservas/7020/administrar","7020")</f>
        <v>7020</v>
      </c>
      <c r="B140" t="s">
        <v>156</v>
      </c>
      <c r="C140" s="1">
        <v>46140</v>
      </c>
      <c r="D140" s="2">
        <v>0.46682870370370372</v>
      </c>
      <c r="E140" t="s">
        <v>294</v>
      </c>
      <c r="F140" t="s">
        <v>202</v>
      </c>
      <c r="G140" t="s">
        <v>203</v>
      </c>
      <c r="H140" t="s">
        <v>277</v>
      </c>
      <c r="I140" t="s">
        <v>583</v>
      </c>
      <c r="J140">
        <v>1</v>
      </c>
      <c r="K140">
        <v>8390</v>
      </c>
      <c r="L140">
        <v>20031</v>
      </c>
      <c r="M140" t="s">
        <v>1279</v>
      </c>
      <c r="N140" s="1">
        <v>46147</v>
      </c>
      <c r="O140" s="2">
        <v>0.54612268518518514</v>
      </c>
      <c r="Q140">
        <v>9916</v>
      </c>
      <c r="R140" t="str">
        <f>HYPERLINK("https://7lm.cvcrm.com.br/gestor/relatorios/associado/html?q[1|r.idreserva]=7020","LUIS PHILIPI DOS SANTOS VIRGENS")</f>
        <v>LUIS PHILIPI DOS SANTOS VIRGENS</v>
      </c>
      <c r="S140">
        <v>6572892131</v>
      </c>
      <c r="T140">
        <v>5561996638035</v>
      </c>
      <c r="U140">
        <v>5561992759614</v>
      </c>
      <c r="V140" t="s">
        <v>1280</v>
      </c>
      <c r="W140" t="s">
        <v>187</v>
      </c>
      <c r="X140" t="s">
        <v>299</v>
      </c>
      <c r="Y140" t="s">
        <v>165</v>
      </c>
      <c r="Z140" t="s">
        <v>257</v>
      </c>
      <c r="AA140" t="s">
        <v>1281</v>
      </c>
      <c r="AB140" t="s">
        <v>1282</v>
      </c>
      <c r="AC140" t="s">
        <v>633</v>
      </c>
      <c r="AF140" t="s">
        <v>634</v>
      </c>
      <c r="AG140" t="s">
        <v>195</v>
      </c>
      <c r="AH140" s="3">
        <v>223250.27</v>
      </c>
      <c r="AI140" s="3">
        <v>223250.27</v>
      </c>
      <c r="AJ140" s="1">
        <v>46140</v>
      </c>
      <c r="AN140" t="s">
        <v>172</v>
      </c>
      <c r="AR140" s="7" t="s">
        <v>353</v>
      </c>
      <c r="AT140" t="s">
        <v>196</v>
      </c>
      <c r="AU140" t="s">
        <v>316</v>
      </c>
      <c r="AW140">
        <v>0</v>
      </c>
      <c r="AX140" s="1">
        <v>46142</v>
      </c>
      <c r="AY140" s="2">
        <v>0.61744212962962963</v>
      </c>
      <c r="AZ140">
        <v>196404</v>
      </c>
      <c r="BA140" s="1">
        <v>46100</v>
      </c>
      <c r="BC140" t="s">
        <v>0</v>
      </c>
      <c r="BD140" s="1">
        <v>46140</v>
      </c>
      <c r="BE140" t="s">
        <v>198</v>
      </c>
      <c r="BL140" s="4">
        <v>0</v>
      </c>
      <c r="BM140" s="1">
        <v>46808</v>
      </c>
      <c r="BN140" s="1">
        <v>46142</v>
      </c>
      <c r="BO140">
        <v>0</v>
      </c>
      <c r="BP140">
        <v>31423</v>
      </c>
      <c r="BQ140" t="s">
        <v>156</v>
      </c>
      <c r="BR140" s="3">
        <v>115342.84</v>
      </c>
      <c r="BS140" s="3">
        <v>50477</v>
      </c>
      <c r="BT140">
        <v>0</v>
      </c>
      <c r="BU140" s="3">
        <v>165819.84</v>
      </c>
      <c r="BV140" s="3">
        <v>223250.27</v>
      </c>
      <c r="BX140">
        <v>0</v>
      </c>
      <c r="BZ140">
        <v>0</v>
      </c>
      <c r="CA140">
        <v>0</v>
      </c>
      <c r="CB140">
        <v>0</v>
      </c>
      <c r="CC140" s="3">
        <v>223250.27</v>
      </c>
      <c r="CD140" s="5">
        <v>0</v>
      </c>
      <c r="CF140" s="6">
        <v>46113</v>
      </c>
      <c r="CH140">
        <v>0</v>
      </c>
      <c r="CI140">
        <v>0</v>
      </c>
      <c r="CJ140">
        <v>0</v>
      </c>
      <c r="CK140">
        <v>0</v>
      </c>
      <c r="CL140">
        <v>0</v>
      </c>
      <c r="CM140">
        <v>0</v>
      </c>
      <c r="CN140">
        <v>0</v>
      </c>
      <c r="CO140">
        <v>0</v>
      </c>
      <c r="CP140">
        <v>0</v>
      </c>
      <c r="CQ140">
        <v>0</v>
      </c>
      <c r="CR140">
        <v>0</v>
      </c>
      <c r="CS140" t="s">
        <v>360</v>
      </c>
      <c r="CT140" t="s">
        <v>214</v>
      </c>
      <c r="CU140" t="s">
        <v>583</v>
      </c>
      <c r="CW140">
        <v>-52.819800000000001</v>
      </c>
      <c r="CZ140" s="1">
        <v>46140</v>
      </c>
      <c r="DA140" t="s">
        <v>172</v>
      </c>
      <c r="DB140" t="s">
        <v>172</v>
      </c>
      <c r="DC140" t="s">
        <v>172</v>
      </c>
      <c r="DD140" t="s">
        <v>172</v>
      </c>
      <c r="DG140" s="1">
        <v>46140</v>
      </c>
      <c r="DH140">
        <v>0</v>
      </c>
      <c r="DI140">
        <v>0</v>
      </c>
      <c r="DJ140" s="1">
        <v>46142</v>
      </c>
      <c r="DL140" t="s">
        <v>215</v>
      </c>
      <c r="DM140" t="s">
        <v>172</v>
      </c>
      <c r="DN140" t="s">
        <v>201</v>
      </c>
      <c r="DV140" s="3">
        <v>223250.27</v>
      </c>
      <c r="DW140">
        <v>0</v>
      </c>
      <c r="DX140" s="3">
        <v>223250.27</v>
      </c>
      <c r="DY140">
        <v>0</v>
      </c>
      <c r="EF140" s="1">
        <v>46147</v>
      </c>
      <c r="EG140" s="1">
        <v>46142</v>
      </c>
      <c r="EK140" s="1">
        <v>46147</v>
      </c>
      <c r="EN140" t="s">
        <v>172</v>
      </c>
      <c r="EW140" s="1">
        <v>46140</v>
      </c>
    </row>
    <row r="141" spans="1:153" ht="261" x14ac:dyDescent="0.35">
      <c r="A141" t="str">
        <f>HYPERLINK("https://7lm.cvcrm.com.br/gestor/comercial/reservas/7019/administrar","7019")</f>
        <v>7019</v>
      </c>
      <c r="B141" t="s">
        <v>156</v>
      </c>
      <c r="C141" s="1">
        <v>46139</v>
      </c>
      <c r="D141" s="2">
        <v>0.76342592592592595</v>
      </c>
      <c r="E141" t="s">
        <v>157</v>
      </c>
      <c r="F141" t="s">
        <v>182</v>
      </c>
      <c r="G141" t="s">
        <v>159</v>
      </c>
      <c r="H141" t="s">
        <v>183</v>
      </c>
      <c r="I141" t="s">
        <v>1283</v>
      </c>
      <c r="J141">
        <v>1</v>
      </c>
      <c r="L141">
        <v>30151</v>
      </c>
      <c r="M141" t="s">
        <v>1284</v>
      </c>
      <c r="N141" s="1">
        <v>46141</v>
      </c>
      <c r="O141" s="2">
        <v>0.73394675925925923</v>
      </c>
      <c r="R141" t="str">
        <f>HYPERLINK("https://7lm.cvcrm.com.br/gestor/relatorios/associado/html?q[1|r.idreserva]=7019","LUCAS OTAVIO GOMES FERREIRA")</f>
        <v>LUCAS OTAVIO GOMES FERREIRA</v>
      </c>
      <c r="S141">
        <v>9109359125</v>
      </c>
      <c r="T141">
        <v>5561996315008</v>
      </c>
      <c r="V141" t="s">
        <v>1285</v>
      </c>
      <c r="W141" t="s">
        <v>163</v>
      </c>
      <c r="X141" t="s">
        <v>366</v>
      </c>
      <c r="Y141" t="s">
        <v>189</v>
      </c>
      <c r="Z141" t="s">
        <v>190</v>
      </c>
      <c r="AA141" t="s">
        <v>1286</v>
      </c>
      <c r="AB141" t="s">
        <v>1287</v>
      </c>
      <c r="AC141" t="s">
        <v>447</v>
      </c>
      <c r="AD141" t="s">
        <v>447</v>
      </c>
      <c r="AF141" t="s">
        <v>250</v>
      </c>
      <c r="AG141" t="s">
        <v>195</v>
      </c>
      <c r="AH141" s="3">
        <v>242050.3</v>
      </c>
      <c r="AI141" s="3">
        <v>242050.3</v>
      </c>
      <c r="AJ141" s="1">
        <v>46169</v>
      </c>
      <c r="AN141" t="s">
        <v>172</v>
      </c>
      <c r="AR141" s="7" t="s">
        <v>1288</v>
      </c>
      <c r="AT141" t="s">
        <v>261</v>
      </c>
      <c r="AU141" t="s">
        <v>175</v>
      </c>
      <c r="AW141">
        <v>0</v>
      </c>
      <c r="AX141" s="1">
        <v>46139</v>
      </c>
      <c r="AY141" s="2">
        <v>0.76342592592592595</v>
      </c>
      <c r="AZ141">
        <v>204780</v>
      </c>
      <c r="BA141" s="1">
        <v>46139</v>
      </c>
      <c r="BC141" t="s">
        <v>0</v>
      </c>
      <c r="BD141" s="1">
        <v>46139</v>
      </c>
      <c r="BE141" t="s">
        <v>213</v>
      </c>
      <c r="BL141" s="4">
        <v>0</v>
      </c>
      <c r="BM141" s="1">
        <v>46899</v>
      </c>
      <c r="BO141">
        <v>0</v>
      </c>
      <c r="BP141">
        <v>31604</v>
      </c>
      <c r="BQ141" t="s">
        <v>156</v>
      </c>
      <c r="BR141">
        <v>0</v>
      </c>
      <c r="BS141">
        <v>0</v>
      </c>
      <c r="BT141">
        <v>0</v>
      </c>
      <c r="BU141">
        <v>0</v>
      </c>
      <c r="BV141" s="3">
        <v>242050.3</v>
      </c>
      <c r="BX141">
        <v>0</v>
      </c>
      <c r="BZ141">
        <v>0</v>
      </c>
      <c r="CA141">
        <v>0</v>
      </c>
      <c r="CB141">
        <v>0</v>
      </c>
      <c r="CC141" s="3">
        <v>242050.3</v>
      </c>
      <c r="CD141" s="5">
        <v>0</v>
      </c>
      <c r="CF141" s="6">
        <v>46143</v>
      </c>
      <c r="CH141">
        <v>0</v>
      </c>
      <c r="CI141">
        <v>0</v>
      </c>
      <c r="CJ141">
        <v>0</v>
      </c>
      <c r="CK141">
        <v>0</v>
      </c>
      <c r="CL141">
        <v>0</v>
      </c>
      <c r="CM141">
        <v>0</v>
      </c>
      <c r="CN141">
        <v>0</v>
      </c>
      <c r="CO141">
        <v>0</v>
      </c>
      <c r="CP141">
        <v>0</v>
      </c>
      <c r="CQ141">
        <v>0</v>
      </c>
      <c r="CR141">
        <v>0</v>
      </c>
      <c r="CS141" t="s">
        <v>199</v>
      </c>
      <c r="CT141" t="s">
        <v>190</v>
      </c>
      <c r="CU141" t="s">
        <v>1283</v>
      </c>
      <c r="CW141">
        <v>-54.536000000000001</v>
      </c>
      <c r="CZ141" s="1">
        <v>46139</v>
      </c>
      <c r="DA141" t="s">
        <v>172</v>
      </c>
      <c r="DB141" t="s">
        <v>172</v>
      </c>
      <c r="DC141" t="s">
        <v>172</v>
      </c>
      <c r="DD141" t="s">
        <v>172</v>
      </c>
      <c r="DG141" s="1">
        <v>46139</v>
      </c>
      <c r="DH141">
        <v>0</v>
      </c>
      <c r="DI141">
        <v>0</v>
      </c>
      <c r="DK141" t="s">
        <v>179</v>
      </c>
      <c r="DL141" t="s">
        <v>200</v>
      </c>
      <c r="DM141" t="s">
        <v>172</v>
      </c>
      <c r="DN141" t="s">
        <v>201</v>
      </c>
      <c r="DV141" s="3">
        <v>242050.3</v>
      </c>
      <c r="DW141">
        <v>0</v>
      </c>
      <c r="DX141" s="3">
        <v>242050.3</v>
      </c>
      <c r="DY141">
        <v>0</v>
      </c>
      <c r="EN141" t="s">
        <v>537</v>
      </c>
      <c r="ER141" s="1">
        <v>46153</v>
      </c>
      <c r="ES141" t="s">
        <v>1289</v>
      </c>
      <c r="ET141" t="s">
        <v>1290</v>
      </c>
      <c r="EU141" s="1">
        <v>46171</v>
      </c>
      <c r="EW141" s="1">
        <v>46139</v>
      </c>
    </row>
    <row r="142" spans="1:153" x14ac:dyDescent="0.35">
      <c r="A142" t="str">
        <f>HYPERLINK("https://7lm.cvcrm.com.br/gestor/comercial/reservas/7018/administrar","7018")</f>
        <v>7018</v>
      </c>
      <c r="B142" t="s">
        <v>156</v>
      </c>
      <c r="C142" s="1">
        <v>46139</v>
      </c>
      <c r="D142" s="2">
        <v>0.6320486111111111</v>
      </c>
      <c r="E142" t="s">
        <v>294</v>
      </c>
      <c r="F142" t="s">
        <v>158</v>
      </c>
      <c r="G142" t="s">
        <v>159</v>
      </c>
      <c r="H142" t="s">
        <v>160</v>
      </c>
      <c r="I142">
        <v>1101</v>
      </c>
      <c r="J142">
        <v>1</v>
      </c>
      <c r="K142">
        <v>8504</v>
      </c>
      <c r="L142">
        <v>10001</v>
      </c>
      <c r="M142" t="s">
        <v>1291</v>
      </c>
      <c r="N142" s="1">
        <v>46164</v>
      </c>
      <c r="O142" s="2">
        <v>0.61204861111111108</v>
      </c>
      <c r="Q142">
        <v>10023</v>
      </c>
      <c r="R142" t="str">
        <f>HYPERLINK("https://7lm.cvcrm.com.br/gestor/relatorios/associado/html?q[1|r.idreserva]=7018","HALINA SOARES JANCOSKI")</f>
        <v>HALINA SOARES JANCOSKI</v>
      </c>
      <c r="S142">
        <v>69954011153</v>
      </c>
      <c r="T142">
        <v>5561998470888</v>
      </c>
      <c r="U142">
        <v>5561998470888</v>
      </c>
      <c r="V142" t="s">
        <v>1292</v>
      </c>
      <c r="W142" t="s">
        <v>187</v>
      </c>
      <c r="X142" t="s">
        <v>163</v>
      </c>
      <c r="Y142" t="s">
        <v>165</v>
      </c>
      <c r="Z142" t="s">
        <v>257</v>
      </c>
      <c r="AA142" t="s">
        <v>258</v>
      </c>
      <c r="AB142" t="s">
        <v>1293</v>
      </c>
      <c r="AC142" t="s">
        <v>1294</v>
      </c>
      <c r="AE142" t="s">
        <v>1295</v>
      </c>
      <c r="AF142" t="s">
        <v>170</v>
      </c>
      <c r="AG142" t="s">
        <v>552</v>
      </c>
      <c r="AH142" s="3">
        <v>384849</v>
      </c>
      <c r="AI142" s="3">
        <v>384849</v>
      </c>
      <c r="AJ142" s="1">
        <v>46136</v>
      </c>
      <c r="AN142" t="s">
        <v>172</v>
      </c>
      <c r="AT142" t="s">
        <v>196</v>
      </c>
      <c r="AU142" t="s">
        <v>590</v>
      </c>
      <c r="AW142">
        <v>0</v>
      </c>
      <c r="AX142" s="1">
        <v>46164</v>
      </c>
      <c r="AY142" s="2">
        <v>0.64309027777777783</v>
      </c>
      <c r="AZ142" t="s">
        <v>1296</v>
      </c>
      <c r="BA142" t="s">
        <v>1297</v>
      </c>
      <c r="BB142" t="s">
        <v>356</v>
      </c>
      <c r="BC142" t="s">
        <v>357</v>
      </c>
      <c r="BD142" t="s">
        <v>1298</v>
      </c>
      <c r="BE142" t="s">
        <v>1299</v>
      </c>
      <c r="BL142" s="4">
        <v>0</v>
      </c>
      <c r="BM142" s="1">
        <v>46387</v>
      </c>
      <c r="BN142" s="1">
        <v>46164</v>
      </c>
      <c r="BO142">
        <v>0</v>
      </c>
      <c r="BP142">
        <v>31021</v>
      </c>
      <c r="BQ142" t="s">
        <v>156</v>
      </c>
      <c r="BR142">
        <v>0</v>
      </c>
      <c r="BS142">
        <v>0</v>
      </c>
      <c r="BT142">
        <v>0</v>
      </c>
      <c r="BU142">
        <v>0</v>
      </c>
      <c r="BV142" s="3">
        <v>384849</v>
      </c>
      <c r="BX142">
        <v>0</v>
      </c>
      <c r="BZ142">
        <v>0</v>
      </c>
      <c r="CA142">
        <v>0</v>
      </c>
      <c r="CB142">
        <v>0</v>
      </c>
      <c r="CC142" s="3">
        <v>384849</v>
      </c>
      <c r="CD142" s="5">
        <v>0</v>
      </c>
      <c r="CF142" s="6">
        <v>46143</v>
      </c>
      <c r="CH142">
        <v>0</v>
      </c>
      <c r="CI142">
        <v>0</v>
      </c>
      <c r="CJ142">
        <v>0</v>
      </c>
      <c r="CK142">
        <v>0</v>
      </c>
      <c r="CL142">
        <v>0</v>
      </c>
      <c r="CM142">
        <v>0</v>
      </c>
      <c r="CN142">
        <v>0</v>
      </c>
      <c r="CO142">
        <v>0</v>
      </c>
      <c r="CP142">
        <v>0</v>
      </c>
      <c r="CQ142">
        <v>0</v>
      </c>
      <c r="CR142">
        <v>0</v>
      </c>
      <c r="CS142" t="s">
        <v>649</v>
      </c>
      <c r="CT142" t="s">
        <v>178</v>
      </c>
      <c r="CU142">
        <v>1101</v>
      </c>
      <c r="CW142">
        <v>-61.691000000000003</v>
      </c>
      <c r="CZ142" s="1">
        <v>46139</v>
      </c>
      <c r="DA142" t="s">
        <v>172</v>
      </c>
      <c r="DB142" t="s">
        <v>172</v>
      </c>
      <c r="DC142" t="s">
        <v>172</v>
      </c>
      <c r="DD142" t="s">
        <v>172</v>
      </c>
      <c r="DG142" s="1">
        <v>46139</v>
      </c>
      <c r="DH142">
        <v>0</v>
      </c>
      <c r="DI142">
        <v>0</v>
      </c>
      <c r="DJ142" s="1">
        <v>46164</v>
      </c>
      <c r="DK142" t="s">
        <v>179</v>
      </c>
      <c r="DM142" t="s">
        <v>172</v>
      </c>
      <c r="DN142" t="s">
        <v>1300</v>
      </c>
      <c r="DU142" t="s">
        <v>734</v>
      </c>
      <c r="DV142" s="3">
        <v>627752.48</v>
      </c>
      <c r="DW142">
        <v>-61.99</v>
      </c>
      <c r="DX142" s="3">
        <v>627752.48</v>
      </c>
      <c r="DY142">
        <v>-61.99</v>
      </c>
    </row>
    <row r="143" spans="1:153" ht="87" x14ac:dyDescent="0.35">
      <c r="A143" t="str">
        <f>HYPERLINK("https://7lm.cvcrm.com.br/gestor/comercial/reservas/7017/administrar","7017")</f>
        <v>7017</v>
      </c>
      <c r="B143" t="s">
        <v>156</v>
      </c>
      <c r="C143" s="1">
        <v>46139</v>
      </c>
      <c r="D143" s="2">
        <v>0.57049768518518518</v>
      </c>
      <c r="E143" t="s">
        <v>294</v>
      </c>
      <c r="F143" t="s">
        <v>158</v>
      </c>
      <c r="G143" t="s">
        <v>159</v>
      </c>
      <c r="H143" t="s">
        <v>160</v>
      </c>
      <c r="I143">
        <v>103</v>
      </c>
      <c r="J143">
        <v>1</v>
      </c>
      <c r="K143">
        <v>8381</v>
      </c>
      <c r="L143">
        <v>10001</v>
      </c>
      <c r="M143" t="s">
        <v>1301</v>
      </c>
      <c r="N143" s="1">
        <v>46141</v>
      </c>
      <c r="O143" s="2">
        <v>0.36184027777777777</v>
      </c>
      <c r="Q143">
        <v>9909</v>
      </c>
      <c r="R143" t="str">
        <f>HYPERLINK("https://7lm.cvcrm.com.br/gestor/relatorios/associado/html?q[1|r.idreserva]=7017","LUCAS VERAS COELHO DE OLIVEIRA")</f>
        <v>LUCAS VERAS COELHO DE OLIVEIRA</v>
      </c>
      <c r="S143">
        <v>3612324110</v>
      </c>
      <c r="T143">
        <v>5561985213422</v>
      </c>
      <c r="U143">
        <v>5561985213422</v>
      </c>
      <c r="V143" t="s">
        <v>1302</v>
      </c>
      <c r="W143" t="s">
        <v>163</v>
      </c>
      <c r="X143" t="s">
        <v>1147</v>
      </c>
      <c r="Y143" t="s">
        <v>165</v>
      </c>
      <c r="Z143" t="s">
        <v>257</v>
      </c>
      <c r="AA143" t="s">
        <v>812</v>
      </c>
      <c r="AB143" t="s">
        <v>1303</v>
      </c>
      <c r="AC143" t="s">
        <v>1304</v>
      </c>
      <c r="AE143" t="s">
        <v>733</v>
      </c>
      <c r="AF143" t="s">
        <v>170</v>
      </c>
      <c r="AG143" t="s">
        <v>171</v>
      </c>
      <c r="AH143" s="3">
        <v>410000</v>
      </c>
      <c r="AI143" s="3">
        <v>410000</v>
      </c>
      <c r="AJ143" s="1">
        <v>46140</v>
      </c>
      <c r="AN143" t="s">
        <v>172</v>
      </c>
      <c r="AR143" s="7" t="s">
        <v>1149</v>
      </c>
      <c r="AT143" t="s">
        <v>196</v>
      </c>
      <c r="AU143" t="s">
        <v>292</v>
      </c>
      <c r="AW143">
        <v>0</v>
      </c>
      <c r="AX143" s="1">
        <v>46141</v>
      </c>
      <c r="AY143" s="2">
        <v>0.4690509259259259</v>
      </c>
      <c r="AZ143">
        <v>199488</v>
      </c>
      <c r="BA143" s="1">
        <v>46118</v>
      </c>
      <c r="BC143" t="s">
        <v>175</v>
      </c>
      <c r="BD143" s="1">
        <v>46118</v>
      </c>
      <c r="BE143" t="s">
        <v>817</v>
      </c>
      <c r="BL143" s="4">
        <v>0</v>
      </c>
      <c r="BM143" s="1">
        <v>46387</v>
      </c>
      <c r="BN143" s="1">
        <v>46141</v>
      </c>
      <c r="BO143">
        <v>0</v>
      </c>
      <c r="BP143">
        <v>30525</v>
      </c>
      <c r="BQ143" t="s">
        <v>156</v>
      </c>
      <c r="BR143" s="3">
        <v>320000</v>
      </c>
      <c r="BS143">
        <v>0</v>
      </c>
      <c r="BT143">
        <v>0</v>
      </c>
      <c r="BU143" s="3">
        <v>320000</v>
      </c>
      <c r="BV143" s="3">
        <v>410000</v>
      </c>
      <c r="BX143">
        <v>0</v>
      </c>
      <c r="BZ143">
        <v>0</v>
      </c>
      <c r="CA143">
        <v>0</v>
      </c>
      <c r="CB143">
        <v>0</v>
      </c>
      <c r="CC143" s="3">
        <v>410000</v>
      </c>
      <c r="CD143" s="5">
        <v>0</v>
      </c>
      <c r="CF143" s="6">
        <v>46113</v>
      </c>
      <c r="CH143">
        <v>0</v>
      </c>
      <c r="CI143">
        <v>0</v>
      </c>
      <c r="CJ143">
        <v>0</v>
      </c>
      <c r="CK143">
        <v>0</v>
      </c>
      <c r="CL143">
        <v>0</v>
      </c>
      <c r="CM143">
        <v>0</v>
      </c>
      <c r="CN143">
        <v>0</v>
      </c>
      <c r="CO143">
        <v>0</v>
      </c>
      <c r="CP143">
        <v>0</v>
      </c>
      <c r="CQ143">
        <v>0</v>
      </c>
      <c r="CR143">
        <v>0</v>
      </c>
      <c r="CS143" t="s">
        <v>649</v>
      </c>
      <c r="CT143" t="s">
        <v>178</v>
      </c>
      <c r="CU143">
        <v>103</v>
      </c>
      <c r="CW143">
        <v>-59.604900000000001</v>
      </c>
      <c r="CZ143" s="1">
        <v>46139</v>
      </c>
      <c r="DA143" t="s">
        <v>172</v>
      </c>
      <c r="DB143" t="s">
        <v>172</v>
      </c>
      <c r="DC143" t="s">
        <v>172</v>
      </c>
      <c r="DD143" t="s">
        <v>172</v>
      </c>
      <c r="DG143" s="1">
        <v>46139</v>
      </c>
      <c r="DH143">
        <v>0</v>
      </c>
      <c r="DI143">
        <v>0</v>
      </c>
      <c r="DJ143" s="1">
        <v>46141</v>
      </c>
      <c r="DK143" t="s">
        <v>179</v>
      </c>
      <c r="DM143" t="s">
        <v>172</v>
      </c>
      <c r="DN143" t="s">
        <v>553</v>
      </c>
      <c r="DU143" t="s">
        <v>734</v>
      </c>
      <c r="DV143" s="3">
        <v>604975</v>
      </c>
      <c r="DW143">
        <v>-59.6</v>
      </c>
      <c r="DX143" s="3">
        <v>604975</v>
      </c>
      <c r="DY143">
        <v>-59.6</v>
      </c>
    </row>
    <row r="144" spans="1:153" ht="246.5" x14ac:dyDescent="0.35">
      <c r="A144" t="str">
        <f>HYPERLINK("https://7lm.cvcrm.com.br/gestor/comercial/reservas/7016/administrar","7016")</f>
        <v>7016</v>
      </c>
      <c r="B144" t="s">
        <v>156</v>
      </c>
      <c r="C144" s="1">
        <v>46139</v>
      </c>
      <c r="D144" s="2">
        <v>0.54652777777777772</v>
      </c>
      <c r="E144" t="s">
        <v>294</v>
      </c>
      <c r="F144" t="s">
        <v>182</v>
      </c>
      <c r="G144" t="s">
        <v>159</v>
      </c>
      <c r="H144" t="s">
        <v>372</v>
      </c>
      <c r="I144" t="s">
        <v>1305</v>
      </c>
      <c r="J144">
        <v>1</v>
      </c>
      <c r="K144">
        <v>8372</v>
      </c>
      <c r="L144">
        <v>30151</v>
      </c>
      <c r="M144" t="s">
        <v>1306</v>
      </c>
      <c r="N144" s="1">
        <v>46139</v>
      </c>
      <c r="O144" s="2">
        <v>0.73650462962962959</v>
      </c>
      <c r="Q144">
        <v>9906</v>
      </c>
      <c r="R144" t="str">
        <f>HYPERLINK("https://7lm.cvcrm.com.br/gestor/relatorios/associado/html?q[1|r.idreserva]=7016","KAMILLA EMANUELLE DE OLIVEIRA")</f>
        <v>KAMILLA EMANUELLE DE OLIVEIRA</v>
      </c>
      <c r="S144">
        <v>9153515102</v>
      </c>
      <c r="T144">
        <v>5561996483780</v>
      </c>
      <c r="U144">
        <v>5561996946238</v>
      </c>
      <c r="V144" t="s">
        <v>1307</v>
      </c>
      <c r="W144" t="s">
        <v>187</v>
      </c>
      <c r="X144" t="s">
        <v>299</v>
      </c>
      <c r="Y144" t="s">
        <v>189</v>
      </c>
      <c r="Z144" t="s">
        <v>190</v>
      </c>
      <c r="AA144" t="s">
        <v>1308</v>
      </c>
      <c r="AB144" t="s">
        <v>1309</v>
      </c>
      <c r="AC144" t="s">
        <v>435</v>
      </c>
      <c r="AD144" t="s">
        <v>435</v>
      </c>
      <c r="AF144" t="s">
        <v>352</v>
      </c>
      <c r="AG144" t="s">
        <v>251</v>
      </c>
      <c r="AH144" s="3">
        <v>246000.25</v>
      </c>
      <c r="AI144" s="3">
        <v>246000.25</v>
      </c>
      <c r="AJ144" s="1">
        <v>46198</v>
      </c>
      <c r="AN144" t="s">
        <v>172</v>
      </c>
      <c r="AR144" s="7" t="s">
        <v>353</v>
      </c>
      <c r="AT144" t="s">
        <v>261</v>
      </c>
      <c r="AU144" t="s">
        <v>292</v>
      </c>
      <c r="AW144">
        <v>0</v>
      </c>
      <c r="AX144" s="1">
        <v>46141</v>
      </c>
      <c r="AY144" s="2">
        <v>0.44598379629629631</v>
      </c>
      <c r="AZ144">
        <v>203416</v>
      </c>
      <c r="BA144" s="1">
        <v>46132</v>
      </c>
      <c r="BC144" t="s">
        <v>0</v>
      </c>
      <c r="BD144" s="1">
        <v>46139</v>
      </c>
      <c r="BE144" t="s">
        <v>625</v>
      </c>
      <c r="BL144" s="4">
        <v>0</v>
      </c>
      <c r="BM144" s="1">
        <v>46899</v>
      </c>
      <c r="BN144" s="1">
        <v>46141</v>
      </c>
      <c r="BO144">
        <v>0</v>
      </c>
      <c r="BP144">
        <v>31316</v>
      </c>
      <c r="BQ144" t="s">
        <v>156</v>
      </c>
      <c r="BR144" s="3">
        <v>134341.45000000001</v>
      </c>
      <c r="BS144" s="3">
        <v>23985</v>
      </c>
      <c r="BT144">
        <v>0</v>
      </c>
      <c r="BU144" s="3">
        <v>158326.45000000001</v>
      </c>
      <c r="BV144" s="3">
        <v>246000.25</v>
      </c>
      <c r="BX144">
        <v>0</v>
      </c>
      <c r="BZ144">
        <v>0</v>
      </c>
      <c r="CA144">
        <v>0</v>
      </c>
      <c r="CB144">
        <v>0</v>
      </c>
      <c r="CC144" s="3">
        <v>246000.25</v>
      </c>
      <c r="CD144" s="5">
        <v>0</v>
      </c>
      <c r="CF144" s="6">
        <v>46113</v>
      </c>
      <c r="CH144">
        <v>0</v>
      </c>
      <c r="CI144">
        <v>0</v>
      </c>
      <c r="CJ144">
        <v>0</v>
      </c>
      <c r="CK144">
        <v>0</v>
      </c>
      <c r="CL144">
        <v>0</v>
      </c>
      <c r="CM144">
        <v>0</v>
      </c>
      <c r="CN144">
        <v>0</v>
      </c>
      <c r="CO144">
        <v>0</v>
      </c>
      <c r="CP144">
        <v>0</v>
      </c>
      <c r="CQ144">
        <v>0</v>
      </c>
      <c r="CR144">
        <v>0</v>
      </c>
      <c r="CS144" t="s">
        <v>659</v>
      </c>
      <c r="CT144" t="s">
        <v>190</v>
      </c>
      <c r="CU144" t="s">
        <v>1305</v>
      </c>
      <c r="CW144">
        <v>-53.7941</v>
      </c>
      <c r="CZ144" s="1">
        <v>46139</v>
      </c>
      <c r="DA144" t="s">
        <v>172</v>
      </c>
      <c r="DB144" t="s">
        <v>172</v>
      </c>
      <c r="DC144" t="s">
        <v>172</v>
      </c>
      <c r="DD144" t="s">
        <v>172</v>
      </c>
      <c r="DG144" s="1">
        <v>46139</v>
      </c>
      <c r="DH144">
        <v>0</v>
      </c>
      <c r="DI144">
        <v>0</v>
      </c>
      <c r="DJ144" s="1">
        <v>46140</v>
      </c>
      <c r="DK144" t="s">
        <v>179</v>
      </c>
      <c r="DL144" t="s">
        <v>200</v>
      </c>
      <c r="DM144" t="s">
        <v>172</v>
      </c>
      <c r="DN144" t="s">
        <v>225</v>
      </c>
      <c r="DU144" t="s">
        <v>440</v>
      </c>
      <c r="DV144" s="3">
        <v>286399.75</v>
      </c>
      <c r="DW144">
        <v>-53.79</v>
      </c>
      <c r="DX144" s="3">
        <v>286399.75</v>
      </c>
      <c r="DY144">
        <v>-53.79</v>
      </c>
      <c r="EG144" s="1">
        <v>46139</v>
      </c>
      <c r="EN144" t="s">
        <v>172</v>
      </c>
      <c r="EU144" s="1">
        <v>46143</v>
      </c>
    </row>
    <row r="145" spans="1:153" x14ac:dyDescent="0.35">
      <c r="A145" t="str">
        <f>HYPERLINK("https://7lm.cvcrm.com.br/gestor/comercial/reservas/7015/administrar","7015")</f>
        <v>7015</v>
      </c>
      <c r="B145" t="s">
        <v>156</v>
      </c>
      <c r="C145" s="1">
        <v>46139</v>
      </c>
      <c r="D145" s="2">
        <v>0.47469907407407408</v>
      </c>
      <c r="E145" t="s">
        <v>1310</v>
      </c>
      <c r="F145" t="s">
        <v>182</v>
      </c>
      <c r="G145" t="s">
        <v>159</v>
      </c>
      <c r="H145" t="s">
        <v>418</v>
      </c>
      <c r="I145" t="s">
        <v>1311</v>
      </c>
      <c r="J145">
        <v>1</v>
      </c>
      <c r="K145">
        <v>8382</v>
      </c>
      <c r="L145">
        <v>30151</v>
      </c>
      <c r="M145" t="s">
        <v>1312</v>
      </c>
      <c r="N145" s="1">
        <v>46142</v>
      </c>
      <c r="O145" s="2">
        <v>0.4064699074074074</v>
      </c>
      <c r="Q145">
        <v>9912</v>
      </c>
      <c r="R145" t="str">
        <f>HYPERLINK("https://7lm.cvcrm.com.br/gestor/relatorios/associado/html?q[1|r.idreserva]=7015","MARIA EDUARDA RODRIGUES DA SILVA")</f>
        <v>MARIA EDUARDA RODRIGUES DA SILVA</v>
      </c>
      <c r="S145">
        <v>7596905102</v>
      </c>
      <c r="T145">
        <v>5561996728004</v>
      </c>
      <c r="U145">
        <v>61920030325</v>
      </c>
      <c r="V145" t="s">
        <v>1313</v>
      </c>
      <c r="W145" t="s">
        <v>187</v>
      </c>
      <c r="X145" t="s">
        <v>288</v>
      </c>
      <c r="Y145" t="s">
        <v>189</v>
      </c>
      <c r="Z145" t="s">
        <v>190</v>
      </c>
      <c r="AA145" t="s">
        <v>500</v>
      </c>
      <c r="AB145" t="s">
        <v>1314</v>
      </c>
      <c r="AC145" t="s">
        <v>509</v>
      </c>
      <c r="AD145" t="s">
        <v>509</v>
      </c>
      <c r="AF145" t="s">
        <v>352</v>
      </c>
      <c r="AG145" t="s">
        <v>195</v>
      </c>
      <c r="AH145" s="3">
        <v>240654.92</v>
      </c>
      <c r="AI145" s="3">
        <v>240654.92</v>
      </c>
      <c r="AJ145" s="1">
        <v>46198</v>
      </c>
      <c r="AN145" t="s">
        <v>172</v>
      </c>
      <c r="AR145" t="s">
        <v>1315</v>
      </c>
      <c r="AT145" t="s">
        <v>261</v>
      </c>
      <c r="AU145" t="s">
        <v>292</v>
      </c>
      <c r="AW145">
        <v>0</v>
      </c>
      <c r="AX145" s="1">
        <v>46154</v>
      </c>
      <c r="AY145" s="2">
        <v>0.44035879629629632</v>
      </c>
      <c r="AZ145">
        <v>195253</v>
      </c>
      <c r="BA145" s="1">
        <v>46095</v>
      </c>
      <c r="BB145" s="1">
        <v>46135</v>
      </c>
      <c r="BC145" t="s">
        <v>275</v>
      </c>
      <c r="BD145" s="1">
        <v>46136</v>
      </c>
      <c r="BE145" t="s">
        <v>176</v>
      </c>
      <c r="BL145" s="4">
        <v>0</v>
      </c>
      <c r="BM145" s="1">
        <v>46899</v>
      </c>
      <c r="BN145" s="1">
        <v>46141</v>
      </c>
      <c r="BO145">
        <v>0</v>
      </c>
      <c r="BP145">
        <v>29663</v>
      </c>
      <c r="BQ145" t="s">
        <v>156</v>
      </c>
      <c r="BR145" s="3">
        <v>138573.96</v>
      </c>
      <c r="BS145" s="3">
        <v>23385</v>
      </c>
      <c r="BT145">
        <v>0</v>
      </c>
      <c r="BU145" s="3">
        <v>161958.96</v>
      </c>
      <c r="BV145" s="3">
        <v>240654.92</v>
      </c>
      <c r="BX145">
        <v>0</v>
      </c>
      <c r="BZ145">
        <v>0</v>
      </c>
      <c r="CA145">
        <v>0</v>
      </c>
      <c r="CB145">
        <v>0</v>
      </c>
      <c r="CC145" s="3">
        <v>240654.92</v>
      </c>
      <c r="CD145" s="5">
        <v>0</v>
      </c>
      <c r="CF145" s="6">
        <v>46113</v>
      </c>
      <c r="CH145">
        <v>0</v>
      </c>
      <c r="CI145">
        <v>0</v>
      </c>
      <c r="CJ145">
        <v>0</v>
      </c>
      <c r="CK145">
        <v>0</v>
      </c>
      <c r="CL145">
        <v>0</v>
      </c>
      <c r="CM145">
        <v>0</v>
      </c>
      <c r="CN145">
        <v>0</v>
      </c>
      <c r="CO145">
        <v>0</v>
      </c>
      <c r="CP145">
        <v>0</v>
      </c>
      <c r="CQ145">
        <v>0</v>
      </c>
      <c r="CR145">
        <v>0</v>
      </c>
      <c r="CS145" t="s">
        <v>360</v>
      </c>
      <c r="CT145" t="s">
        <v>190</v>
      </c>
      <c r="CU145" t="s">
        <v>1311</v>
      </c>
      <c r="CW145">
        <v>-54.798099999999998</v>
      </c>
      <c r="CZ145" s="1">
        <v>46139</v>
      </c>
      <c r="DA145" t="s">
        <v>172</v>
      </c>
      <c r="DB145" t="s">
        <v>172</v>
      </c>
      <c r="DC145" t="s">
        <v>172</v>
      </c>
      <c r="DD145" t="s">
        <v>172</v>
      </c>
      <c r="DG145" s="1">
        <v>46139</v>
      </c>
      <c r="DH145">
        <v>0</v>
      </c>
      <c r="DI145">
        <v>0</v>
      </c>
      <c r="DJ145" s="1">
        <v>46141</v>
      </c>
      <c r="DK145" t="s">
        <v>179</v>
      </c>
      <c r="DL145" t="s">
        <v>200</v>
      </c>
      <c r="DM145" t="s">
        <v>172</v>
      </c>
      <c r="DN145" t="s">
        <v>201</v>
      </c>
      <c r="DP145" s="8">
        <v>0.01</v>
      </c>
      <c r="DV145" s="3">
        <v>240654.92</v>
      </c>
      <c r="DW145">
        <v>0</v>
      </c>
      <c r="DX145" s="3">
        <v>240654.92</v>
      </c>
      <c r="DY145">
        <v>0</v>
      </c>
      <c r="EG145" s="1">
        <v>46140</v>
      </c>
      <c r="EH145" s="1">
        <v>46140</v>
      </c>
      <c r="EN145" t="s">
        <v>156</v>
      </c>
      <c r="EP145" s="1">
        <v>46140</v>
      </c>
      <c r="ER145" s="1">
        <v>46139</v>
      </c>
      <c r="ES145" t="s">
        <v>1316</v>
      </c>
      <c r="EU145" s="1">
        <v>46143</v>
      </c>
    </row>
    <row r="146" spans="1:153" ht="246.5" x14ac:dyDescent="0.35">
      <c r="A146" t="str">
        <f>HYPERLINK("https://7lm.cvcrm.com.br/gestor/comercial/reservas/7014/administrar","7014")</f>
        <v>7014</v>
      </c>
      <c r="B146" t="s">
        <v>156</v>
      </c>
      <c r="C146" s="1">
        <v>46138</v>
      </c>
      <c r="D146" s="2">
        <v>0.38178240740740743</v>
      </c>
      <c r="E146" t="s">
        <v>294</v>
      </c>
      <c r="F146" t="s">
        <v>957</v>
      </c>
      <c r="G146" t="s">
        <v>159</v>
      </c>
      <c r="H146" t="s">
        <v>418</v>
      </c>
      <c r="I146" t="s">
        <v>1311</v>
      </c>
      <c r="J146">
        <v>1</v>
      </c>
      <c r="K146">
        <v>8406</v>
      </c>
      <c r="L146">
        <v>30121</v>
      </c>
      <c r="M146" t="s">
        <v>1317</v>
      </c>
      <c r="N146" s="1">
        <v>46148</v>
      </c>
      <c r="O146" s="2">
        <v>0.61712962962962958</v>
      </c>
      <c r="Q146">
        <v>9928</v>
      </c>
      <c r="R146" t="str">
        <f>HYPERLINK("https://7lm.cvcrm.com.br/gestor/relatorios/associado/html?q[1|r.idreserva]=7014","GUSTAVO CAMPOS VIANNA")</f>
        <v>GUSTAVO CAMPOS VIANNA</v>
      </c>
      <c r="S146">
        <v>5660707157</v>
      </c>
      <c r="T146">
        <v>5561998536653</v>
      </c>
      <c r="U146">
        <v>5561998026590</v>
      </c>
      <c r="V146" t="s">
        <v>1318</v>
      </c>
      <c r="W146" t="s">
        <v>163</v>
      </c>
      <c r="X146" t="s">
        <v>288</v>
      </c>
      <c r="Y146" t="s">
        <v>189</v>
      </c>
      <c r="Z146" t="s">
        <v>190</v>
      </c>
      <c r="AA146" t="s">
        <v>367</v>
      </c>
      <c r="AB146" t="s">
        <v>1319</v>
      </c>
      <c r="AC146" t="s">
        <v>665</v>
      </c>
      <c r="AD146" t="s">
        <v>665</v>
      </c>
      <c r="AF146" t="s">
        <v>250</v>
      </c>
      <c r="AG146" t="s">
        <v>251</v>
      </c>
      <c r="AH146" s="3">
        <v>253928.87</v>
      </c>
      <c r="AI146" s="3">
        <v>253928.87</v>
      </c>
      <c r="AJ146" s="1">
        <v>46153</v>
      </c>
      <c r="AN146" t="s">
        <v>172</v>
      </c>
      <c r="AR146" s="7" t="s">
        <v>353</v>
      </c>
      <c r="AU146" t="s">
        <v>175</v>
      </c>
      <c r="AW146">
        <v>0</v>
      </c>
      <c r="AX146" s="1">
        <v>46149</v>
      </c>
      <c r="AY146" s="2">
        <v>0.4321990740740741</v>
      </c>
      <c r="AZ146">
        <v>87405</v>
      </c>
      <c r="BA146" s="1">
        <v>45054</v>
      </c>
      <c r="BC146" t="s">
        <v>176</v>
      </c>
      <c r="BD146" s="1">
        <v>45054</v>
      </c>
      <c r="BE146" t="s">
        <v>427</v>
      </c>
      <c r="BL146" s="4">
        <v>0</v>
      </c>
      <c r="BM146" s="1">
        <v>47031</v>
      </c>
      <c r="BN146" s="1">
        <v>46149</v>
      </c>
      <c r="BO146">
        <v>0</v>
      </c>
      <c r="BP146">
        <v>31210</v>
      </c>
      <c r="BQ146" t="s">
        <v>156</v>
      </c>
      <c r="BR146">
        <v>0</v>
      </c>
      <c r="BS146">
        <v>0</v>
      </c>
      <c r="BT146">
        <v>0</v>
      </c>
      <c r="BU146">
        <v>0</v>
      </c>
      <c r="BV146" s="3">
        <v>253928.87</v>
      </c>
      <c r="BX146">
        <v>0</v>
      </c>
      <c r="BZ146">
        <v>0</v>
      </c>
      <c r="CA146">
        <v>0</v>
      </c>
      <c r="CB146">
        <v>0</v>
      </c>
      <c r="CC146" s="3">
        <v>253928.87</v>
      </c>
      <c r="CD146" s="5">
        <v>0</v>
      </c>
      <c r="CF146" s="6">
        <v>46143</v>
      </c>
      <c r="CH146">
        <v>0</v>
      </c>
      <c r="CI146">
        <v>0</v>
      </c>
      <c r="CJ146">
        <v>0</v>
      </c>
      <c r="CK146">
        <v>0</v>
      </c>
      <c r="CL146">
        <v>0</v>
      </c>
      <c r="CM146">
        <v>0</v>
      </c>
      <c r="CN146">
        <v>0</v>
      </c>
      <c r="CO146">
        <v>0</v>
      </c>
      <c r="CP146">
        <v>0</v>
      </c>
      <c r="CQ146">
        <v>0</v>
      </c>
      <c r="CR146">
        <v>0</v>
      </c>
      <c r="CS146" t="s">
        <v>360</v>
      </c>
      <c r="CT146" t="s">
        <v>190</v>
      </c>
      <c r="CU146" t="s">
        <v>1311</v>
      </c>
      <c r="CW146">
        <v>-45.379399999999997</v>
      </c>
      <c r="CZ146" s="1">
        <v>46138</v>
      </c>
      <c r="DA146" t="s">
        <v>172</v>
      </c>
      <c r="DB146" t="s">
        <v>172</v>
      </c>
      <c r="DC146" t="s">
        <v>172</v>
      </c>
      <c r="DD146" t="s">
        <v>172</v>
      </c>
      <c r="DF146" t="s">
        <v>1320</v>
      </c>
      <c r="DG146" s="1">
        <v>46138</v>
      </c>
      <c r="DH146">
        <v>0</v>
      </c>
      <c r="DI146">
        <v>0</v>
      </c>
      <c r="DJ146" s="1">
        <v>46149</v>
      </c>
      <c r="DL146" t="s">
        <v>963</v>
      </c>
      <c r="DM146" t="s">
        <v>172</v>
      </c>
      <c r="DN146" t="s">
        <v>201</v>
      </c>
      <c r="DV146" s="3">
        <v>253928.87</v>
      </c>
      <c r="DW146">
        <v>0</v>
      </c>
      <c r="DX146" s="3">
        <v>253928.87</v>
      </c>
      <c r="DY146">
        <v>0</v>
      </c>
      <c r="EG146" s="1">
        <v>46147</v>
      </c>
      <c r="EN146" t="s">
        <v>156</v>
      </c>
      <c r="EP146" s="1">
        <v>46146</v>
      </c>
      <c r="ER146" s="1">
        <v>46142</v>
      </c>
      <c r="ES146" t="s">
        <v>1321</v>
      </c>
      <c r="EU146" s="1">
        <v>46140</v>
      </c>
      <c r="EW146" s="1">
        <v>46139</v>
      </c>
    </row>
    <row r="147" spans="1:153" ht="130.5" x14ac:dyDescent="0.35">
      <c r="A147" t="str">
        <f>HYPERLINK("https://7lm.cvcrm.com.br/gestor/comercial/reservas/7013/administrar","7013")</f>
        <v>7013</v>
      </c>
      <c r="B147" t="s">
        <v>156</v>
      </c>
      <c r="C147" s="1">
        <v>46137</v>
      </c>
      <c r="D147" s="2">
        <v>0.8615856481481482</v>
      </c>
      <c r="E147" t="s">
        <v>294</v>
      </c>
      <c r="F147" t="s">
        <v>458</v>
      </c>
      <c r="G147" t="s">
        <v>203</v>
      </c>
      <c r="H147" t="s">
        <v>277</v>
      </c>
      <c r="I147" t="s">
        <v>1322</v>
      </c>
      <c r="J147">
        <v>1</v>
      </c>
      <c r="K147">
        <v>8410</v>
      </c>
      <c r="L147">
        <v>20001</v>
      </c>
      <c r="M147" t="s">
        <v>1323</v>
      </c>
      <c r="N147" s="1">
        <v>46149</v>
      </c>
      <c r="O147" s="2">
        <v>0.43358796296296298</v>
      </c>
      <c r="Q147">
        <v>9930</v>
      </c>
      <c r="R147" t="str">
        <f>HYPERLINK("https://7lm.cvcrm.com.br/gestor/relatorios/associado/html?q[1|r.idreserva]=7013","DENER DORIA RAMOS")</f>
        <v>DENER DORIA RAMOS</v>
      </c>
      <c r="S147">
        <v>4003348109</v>
      </c>
      <c r="T147">
        <v>5561982533681</v>
      </c>
      <c r="U147">
        <v>5561991697339</v>
      </c>
      <c r="V147" t="s">
        <v>1324</v>
      </c>
      <c r="W147" t="s">
        <v>163</v>
      </c>
      <c r="Y147" t="s">
        <v>189</v>
      </c>
      <c r="Z147" t="s">
        <v>208</v>
      </c>
      <c r="AA147" t="s">
        <v>1325</v>
      </c>
      <c r="AB147" t="s">
        <v>1326</v>
      </c>
      <c r="AC147" t="s">
        <v>1327</v>
      </c>
      <c r="AD147" t="s">
        <v>1328</v>
      </c>
      <c r="AF147" t="s">
        <v>634</v>
      </c>
      <c r="AG147" t="s">
        <v>195</v>
      </c>
      <c r="AH147" s="3">
        <v>229562</v>
      </c>
      <c r="AI147" s="3">
        <v>229562</v>
      </c>
      <c r="AJ147" s="1">
        <v>46188</v>
      </c>
      <c r="AN147" t="s">
        <v>172</v>
      </c>
      <c r="AR147" s="7" t="s">
        <v>1329</v>
      </c>
      <c r="AT147" t="s">
        <v>261</v>
      </c>
      <c r="AU147" t="s">
        <v>316</v>
      </c>
      <c r="AW147">
        <v>0</v>
      </c>
      <c r="AX147" s="1">
        <v>46149</v>
      </c>
      <c r="AY147" s="2">
        <v>0.44572916666666668</v>
      </c>
      <c r="AZ147">
        <v>203708</v>
      </c>
      <c r="BA147" s="1">
        <v>46134</v>
      </c>
      <c r="BC147" t="s">
        <v>0</v>
      </c>
      <c r="BD147" s="1">
        <v>46137</v>
      </c>
      <c r="BE147" t="s">
        <v>276</v>
      </c>
      <c r="BL147" s="4">
        <v>0</v>
      </c>
      <c r="BM147" s="1">
        <v>46572</v>
      </c>
      <c r="BN147" s="1">
        <v>46149</v>
      </c>
      <c r="BO147">
        <v>0</v>
      </c>
      <c r="BP147">
        <v>31368</v>
      </c>
      <c r="BQ147" t="s">
        <v>156</v>
      </c>
      <c r="BR147" s="3">
        <v>171146.64</v>
      </c>
      <c r="BS147" s="3">
        <v>1771</v>
      </c>
      <c r="BT147">
        <v>0</v>
      </c>
      <c r="BU147" s="3">
        <v>172917.64</v>
      </c>
      <c r="BV147" s="3">
        <v>229562</v>
      </c>
      <c r="BX147">
        <v>0</v>
      </c>
      <c r="BZ147">
        <v>0</v>
      </c>
      <c r="CA147">
        <v>0</v>
      </c>
      <c r="CB147">
        <v>0</v>
      </c>
      <c r="CC147" s="3">
        <v>229562</v>
      </c>
      <c r="CD147" s="5">
        <v>0</v>
      </c>
      <c r="CE147" t="s">
        <v>467</v>
      </c>
      <c r="CF147" s="6">
        <v>46143</v>
      </c>
      <c r="CH147">
        <v>0</v>
      </c>
      <c r="CI147">
        <v>0</v>
      </c>
      <c r="CJ147">
        <v>0</v>
      </c>
      <c r="CK147">
        <v>0</v>
      </c>
      <c r="CL147">
        <v>0</v>
      </c>
      <c r="CM147">
        <v>0</v>
      </c>
      <c r="CN147">
        <v>0</v>
      </c>
      <c r="CO147">
        <v>0</v>
      </c>
      <c r="CP147">
        <v>0</v>
      </c>
      <c r="CQ147">
        <v>0</v>
      </c>
      <c r="CR147">
        <v>0</v>
      </c>
      <c r="CS147" t="s">
        <v>649</v>
      </c>
      <c r="CT147" t="s">
        <v>214</v>
      </c>
      <c r="CU147" t="s">
        <v>1322</v>
      </c>
      <c r="CW147">
        <v>-58.442100000000003</v>
      </c>
      <c r="CZ147" s="1">
        <v>46137</v>
      </c>
      <c r="DA147" t="s">
        <v>172</v>
      </c>
      <c r="DB147" t="s">
        <v>172</v>
      </c>
      <c r="DC147" t="s">
        <v>172</v>
      </c>
      <c r="DD147" t="s">
        <v>172</v>
      </c>
      <c r="DG147" s="1">
        <v>46137</v>
      </c>
      <c r="DH147">
        <v>0</v>
      </c>
      <c r="DI147">
        <v>0</v>
      </c>
      <c r="DJ147" s="1">
        <v>46149</v>
      </c>
      <c r="DL147" t="s">
        <v>200</v>
      </c>
      <c r="DM147" t="s">
        <v>172</v>
      </c>
      <c r="DN147" t="s">
        <v>201</v>
      </c>
      <c r="DV147" s="3">
        <v>229562</v>
      </c>
      <c r="DW147">
        <v>0</v>
      </c>
      <c r="DX147" s="3">
        <v>229562</v>
      </c>
      <c r="DY147">
        <v>0</v>
      </c>
      <c r="EF147" s="1">
        <v>46147</v>
      </c>
      <c r="EG147" s="1">
        <v>46142</v>
      </c>
      <c r="EK147" s="1">
        <v>46147</v>
      </c>
      <c r="EL147" s="1">
        <v>46147</v>
      </c>
      <c r="EN147" t="s">
        <v>156</v>
      </c>
      <c r="EP147" s="1">
        <v>46147</v>
      </c>
      <c r="EW147" s="1">
        <v>46137</v>
      </c>
    </row>
    <row r="148" spans="1:153" ht="203" x14ac:dyDescent="0.35">
      <c r="A148" t="str">
        <f>HYPERLINK("https://7lm.cvcrm.com.br/gestor/comercial/reservas/7012/administrar","7012")</f>
        <v>7012</v>
      </c>
      <c r="B148" t="s">
        <v>172</v>
      </c>
      <c r="C148" s="1">
        <v>46137</v>
      </c>
      <c r="D148" s="2">
        <v>0.72225694444444444</v>
      </c>
      <c r="E148" t="s">
        <v>527</v>
      </c>
      <c r="F148" t="s">
        <v>458</v>
      </c>
      <c r="G148" t="s">
        <v>203</v>
      </c>
      <c r="H148" t="s">
        <v>204</v>
      </c>
      <c r="I148" t="s">
        <v>788</v>
      </c>
      <c r="J148">
        <v>1</v>
      </c>
      <c r="L148">
        <v>20001</v>
      </c>
      <c r="M148" t="s">
        <v>789</v>
      </c>
      <c r="R148" t="str">
        <f>HYPERLINK("https://7lm.cvcrm.com.br/gestor/relatorios/associado/html?q[1|r.idreserva]=7012","DIONATA DE SOUSA")</f>
        <v>DIONATA DE SOUSA</v>
      </c>
      <c r="S148">
        <v>62186265397</v>
      </c>
      <c r="T148">
        <v>5561981596820</v>
      </c>
      <c r="U148">
        <v>5561999200356</v>
      </c>
      <c r="V148" t="s">
        <v>1330</v>
      </c>
      <c r="W148" t="s">
        <v>163</v>
      </c>
      <c r="Y148" t="s">
        <v>165</v>
      </c>
      <c r="Z148" t="s">
        <v>1331</v>
      </c>
      <c r="AA148" t="s">
        <v>1332</v>
      </c>
      <c r="AB148" t="s">
        <v>1333</v>
      </c>
      <c r="AC148" t="s">
        <v>411</v>
      </c>
      <c r="AD148" t="s">
        <v>412</v>
      </c>
      <c r="AF148" t="s">
        <v>413</v>
      </c>
      <c r="AG148" t="s">
        <v>195</v>
      </c>
      <c r="AH148" s="3">
        <v>215052.68</v>
      </c>
      <c r="AI148" s="3">
        <v>215052.68</v>
      </c>
      <c r="AJ148" s="1">
        <v>46733</v>
      </c>
      <c r="AN148" t="s">
        <v>172</v>
      </c>
      <c r="AO148" t="s">
        <v>1334</v>
      </c>
      <c r="AR148" s="7" t="s">
        <v>1335</v>
      </c>
      <c r="AT148" t="s">
        <v>196</v>
      </c>
      <c r="AU148" t="s">
        <v>276</v>
      </c>
      <c r="AW148">
        <v>0</v>
      </c>
      <c r="AX148" s="1">
        <v>46155</v>
      </c>
      <c r="AY148" s="2">
        <v>0.86932870370370374</v>
      </c>
      <c r="AZ148">
        <v>195348</v>
      </c>
      <c r="BA148" s="1">
        <v>46096</v>
      </c>
      <c r="BC148" t="s">
        <v>0</v>
      </c>
      <c r="BD148" s="1">
        <v>46137</v>
      </c>
      <c r="BE148" t="s">
        <v>198</v>
      </c>
      <c r="BL148" s="4">
        <v>0</v>
      </c>
      <c r="BM148" s="1">
        <v>46572</v>
      </c>
      <c r="BO148">
        <v>0</v>
      </c>
      <c r="BP148">
        <v>29706</v>
      </c>
      <c r="BQ148" t="s">
        <v>156</v>
      </c>
      <c r="BR148" s="3">
        <v>151694</v>
      </c>
      <c r="BS148" s="3">
        <v>18822</v>
      </c>
      <c r="BT148">
        <v>0</v>
      </c>
      <c r="BU148" s="3">
        <v>170516</v>
      </c>
      <c r="BV148" s="3">
        <v>215052.68</v>
      </c>
      <c r="BX148">
        <v>0</v>
      </c>
      <c r="BZ148">
        <v>0</v>
      </c>
      <c r="CA148">
        <v>0</v>
      </c>
      <c r="CB148">
        <v>0</v>
      </c>
      <c r="CC148" s="3">
        <v>215052.68</v>
      </c>
      <c r="CD148" s="5">
        <v>0</v>
      </c>
      <c r="CE148" t="s">
        <v>467</v>
      </c>
      <c r="CF148" s="6">
        <v>46143</v>
      </c>
      <c r="CH148">
        <v>0</v>
      </c>
      <c r="CI148">
        <v>0</v>
      </c>
      <c r="CJ148">
        <v>0</v>
      </c>
      <c r="CK148">
        <v>0</v>
      </c>
      <c r="CL148">
        <v>0</v>
      </c>
      <c r="CM148">
        <v>0</v>
      </c>
      <c r="CN148">
        <v>0</v>
      </c>
      <c r="CO148">
        <v>0</v>
      </c>
      <c r="CP148">
        <v>0</v>
      </c>
      <c r="CQ148">
        <v>0</v>
      </c>
      <c r="CR148">
        <v>0</v>
      </c>
      <c r="CT148" t="s">
        <v>214</v>
      </c>
      <c r="CU148" t="s">
        <v>788</v>
      </c>
      <c r="CW148">
        <v>0</v>
      </c>
      <c r="CZ148" s="1">
        <v>46137</v>
      </c>
      <c r="DA148" t="s">
        <v>172</v>
      </c>
      <c r="DB148" t="s">
        <v>172</v>
      </c>
      <c r="DC148" t="s">
        <v>172</v>
      </c>
      <c r="DD148" t="s">
        <v>172</v>
      </c>
      <c r="DG148" s="1">
        <v>46137</v>
      </c>
      <c r="DH148">
        <v>0</v>
      </c>
      <c r="DI148">
        <v>0</v>
      </c>
      <c r="DL148" t="s">
        <v>794</v>
      </c>
      <c r="DM148" t="s">
        <v>172</v>
      </c>
      <c r="DN148" t="s">
        <v>795</v>
      </c>
      <c r="DV148" s="3">
        <v>215052.68</v>
      </c>
      <c r="DW148">
        <v>0</v>
      </c>
      <c r="DX148" s="3">
        <v>215052.68</v>
      </c>
      <c r="DY148">
        <v>0</v>
      </c>
      <c r="EN148" t="s">
        <v>537</v>
      </c>
      <c r="ET148" t="s">
        <v>417</v>
      </c>
      <c r="EW148" s="1">
        <v>46137</v>
      </c>
    </row>
    <row r="149" spans="1:153" ht="145" x14ac:dyDescent="0.35">
      <c r="A149" t="str">
        <f>HYPERLINK("https://7lm.cvcrm.com.br/gestor/comercial/reservas/7011/administrar","7011")</f>
        <v>7011</v>
      </c>
      <c r="B149" t="s">
        <v>156</v>
      </c>
      <c r="C149" s="1">
        <v>46137</v>
      </c>
      <c r="D149" s="2">
        <v>0.6772569444444444</v>
      </c>
      <c r="E149" t="s">
        <v>294</v>
      </c>
      <c r="F149" t="s">
        <v>458</v>
      </c>
      <c r="G149" t="s">
        <v>203</v>
      </c>
      <c r="H149" t="s">
        <v>528</v>
      </c>
      <c r="I149" t="s">
        <v>1113</v>
      </c>
      <c r="J149">
        <v>1</v>
      </c>
      <c r="K149">
        <v>8439</v>
      </c>
      <c r="L149">
        <v>20001</v>
      </c>
      <c r="M149" t="s">
        <v>1336</v>
      </c>
      <c r="N149" s="1">
        <v>46170</v>
      </c>
      <c r="O149" s="2">
        <v>0.64370370370370367</v>
      </c>
      <c r="Q149">
        <v>9947</v>
      </c>
      <c r="R149" t="str">
        <f>HYPERLINK("https://7lm.cvcrm.com.br/gestor/relatorios/associado/html?q[1|r.idreserva]=7011","ELIEZIO ALVES DO CARMO")</f>
        <v>ELIEZIO ALVES DO CARMO</v>
      </c>
      <c r="S149">
        <v>390960179</v>
      </c>
      <c r="T149">
        <v>556195628979</v>
      </c>
      <c r="U149">
        <v>553499513273</v>
      </c>
      <c r="V149" t="s">
        <v>1337</v>
      </c>
      <c r="W149" t="s">
        <v>163</v>
      </c>
      <c r="X149" t="s">
        <v>1338</v>
      </c>
      <c r="Y149" t="s">
        <v>165</v>
      </c>
      <c r="Z149" t="s">
        <v>238</v>
      </c>
      <c r="AA149" t="s">
        <v>1339</v>
      </c>
      <c r="AB149" t="s">
        <v>1340</v>
      </c>
      <c r="AC149" t="s">
        <v>398</v>
      </c>
      <c r="AF149" t="s">
        <v>399</v>
      </c>
      <c r="AG149" t="s">
        <v>171</v>
      </c>
      <c r="AH149" s="3">
        <v>225891.4</v>
      </c>
      <c r="AI149" s="3">
        <v>225891.4</v>
      </c>
      <c r="AJ149" s="1">
        <v>46163</v>
      </c>
      <c r="AN149" t="s">
        <v>172</v>
      </c>
      <c r="AR149" s="7" t="s">
        <v>1341</v>
      </c>
      <c r="AT149" t="s">
        <v>196</v>
      </c>
      <c r="AU149" t="s">
        <v>316</v>
      </c>
      <c r="AW149">
        <v>0</v>
      </c>
      <c r="AX149" s="1">
        <v>46156</v>
      </c>
      <c r="AY149" s="2">
        <v>0.49319444444444444</v>
      </c>
      <c r="AZ149">
        <v>204223</v>
      </c>
      <c r="BA149" s="1">
        <v>46136</v>
      </c>
      <c r="BC149" t="s">
        <v>0</v>
      </c>
      <c r="BD149" s="1">
        <v>46137</v>
      </c>
      <c r="BE149" t="s">
        <v>615</v>
      </c>
      <c r="BL149" s="4">
        <v>0</v>
      </c>
      <c r="BM149" s="1">
        <v>46572</v>
      </c>
      <c r="BN149" s="1">
        <v>46156</v>
      </c>
      <c r="BO149">
        <v>0</v>
      </c>
      <c r="BP149">
        <v>31497</v>
      </c>
      <c r="BQ149" t="s">
        <v>156</v>
      </c>
      <c r="BR149" s="3">
        <v>173106.5</v>
      </c>
      <c r="BS149" s="3">
        <v>2211</v>
      </c>
      <c r="BT149">
        <v>0</v>
      </c>
      <c r="BU149" s="3">
        <v>175317.5</v>
      </c>
      <c r="BV149" s="3">
        <v>225891.4</v>
      </c>
      <c r="BX149">
        <v>0</v>
      </c>
      <c r="BZ149">
        <v>0</v>
      </c>
      <c r="CA149">
        <v>0</v>
      </c>
      <c r="CB149">
        <v>0</v>
      </c>
      <c r="CC149" s="3">
        <v>225891.4</v>
      </c>
      <c r="CD149" s="5">
        <v>0</v>
      </c>
      <c r="CE149" t="s">
        <v>467</v>
      </c>
      <c r="CF149" s="6">
        <v>46143</v>
      </c>
      <c r="CH149">
        <v>0</v>
      </c>
      <c r="CI149">
        <v>0</v>
      </c>
      <c r="CJ149">
        <v>0</v>
      </c>
      <c r="CK149">
        <v>0</v>
      </c>
      <c r="CL149">
        <v>0</v>
      </c>
      <c r="CM149">
        <v>0</v>
      </c>
      <c r="CN149">
        <v>0</v>
      </c>
      <c r="CO149">
        <v>0</v>
      </c>
      <c r="CP149">
        <v>0</v>
      </c>
      <c r="CQ149">
        <v>0</v>
      </c>
      <c r="CR149">
        <v>0</v>
      </c>
      <c r="CS149" t="s">
        <v>360</v>
      </c>
      <c r="CT149" t="s">
        <v>214</v>
      </c>
      <c r="CU149" t="s">
        <v>1113</v>
      </c>
      <c r="CW149">
        <v>-57.665300000000002</v>
      </c>
      <c r="CZ149" s="1">
        <v>46137</v>
      </c>
      <c r="DA149" t="s">
        <v>172</v>
      </c>
      <c r="DB149" t="s">
        <v>172</v>
      </c>
      <c r="DC149" t="s">
        <v>172</v>
      </c>
      <c r="DD149" t="s">
        <v>172</v>
      </c>
      <c r="DG149" s="1">
        <v>46137</v>
      </c>
      <c r="DH149">
        <v>0</v>
      </c>
      <c r="DI149">
        <v>0</v>
      </c>
      <c r="DJ149" s="1">
        <v>46156</v>
      </c>
      <c r="DL149" t="s">
        <v>794</v>
      </c>
      <c r="DM149" t="s">
        <v>172</v>
      </c>
      <c r="DN149" t="s">
        <v>795</v>
      </c>
      <c r="DV149" s="3">
        <v>225891.4</v>
      </c>
      <c r="DW149">
        <v>0</v>
      </c>
      <c r="DX149" s="3">
        <v>225891.4</v>
      </c>
      <c r="DY149">
        <v>0</v>
      </c>
      <c r="EM149" s="1">
        <v>46140</v>
      </c>
      <c r="EN149" t="s">
        <v>156</v>
      </c>
      <c r="EP149" s="1">
        <v>46139</v>
      </c>
    </row>
    <row r="150" spans="1:153" x14ac:dyDescent="0.35">
      <c r="A150" t="str">
        <f>HYPERLINK("https://7lm.cvcrm.com.br/gestor/comercial/reservas/7010/administrar","7010")</f>
        <v>7010</v>
      </c>
      <c r="B150" t="s">
        <v>172</v>
      </c>
      <c r="C150" s="1">
        <v>46137</v>
      </c>
      <c r="D150" s="2">
        <v>0.61064814814814816</v>
      </c>
      <c r="E150" t="s">
        <v>527</v>
      </c>
      <c r="F150" t="s">
        <v>158</v>
      </c>
      <c r="G150" t="s">
        <v>159</v>
      </c>
      <c r="H150" t="s">
        <v>160</v>
      </c>
      <c r="I150">
        <v>1207</v>
      </c>
      <c r="J150">
        <v>1</v>
      </c>
      <c r="L150">
        <v>10001</v>
      </c>
      <c r="M150" t="s">
        <v>1342</v>
      </c>
      <c r="R150" t="str">
        <f>HYPERLINK("https://7lm.cvcrm.com.br/gestor/relatorios/associado/html?q[1|r.idreserva]=7010","FELLIPE DIAS DE OLIVEIRA")</f>
        <v>FELLIPE DIAS DE OLIVEIRA</v>
      </c>
      <c r="S150">
        <v>239985125</v>
      </c>
      <c r="T150">
        <v>5561985551379</v>
      </c>
      <c r="U150">
        <v>5561985551379</v>
      </c>
      <c r="V150" t="s">
        <v>1343</v>
      </c>
      <c r="W150" t="s">
        <v>163</v>
      </c>
      <c r="X150" t="s">
        <v>492</v>
      </c>
      <c r="Y150" t="s">
        <v>165</v>
      </c>
      <c r="Z150" t="s">
        <v>257</v>
      </c>
      <c r="AA150" t="s">
        <v>324</v>
      </c>
      <c r="AB150" t="s">
        <v>1344</v>
      </c>
      <c r="AC150" t="s">
        <v>732</v>
      </c>
      <c r="AE150" t="s">
        <v>733</v>
      </c>
      <c r="AF150" t="s">
        <v>170</v>
      </c>
      <c r="AG150" t="s">
        <v>171</v>
      </c>
      <c r="AH150">
        <v>0</v>
      </c>
      <c r="AI150">
        <v>0</v>
      </c>
      <c r="AJ150" s="1">
        <v>46118</v>
      </c>
      <c r="AN150" t="s">
        <v>172</v>
      </c>
      <c r="AO150" t="s">
        <v>535</v>
      </c>
      <c r="AT150" t="s">
        <v>173</v>
      </c>
      <c r="AU150" t="s">
        <v>262</v>
      </c>
      <c r="AW150">
        <v>0</v>
      </c>
      <c r="AX150" s="1">
        <v>46156</v>
      </c>
      <c r="AY150" s="2">
        <v>0.69348379629629631</v>
      </c>
      <c r="AZ150">
        <v>204220</v>
      </c>
      <c r="BA150" s="1">
        <v>46136</v>
      </c>
      <c r="BC150" t="s">
        <v>176</v>
      </c>
      <c r="BD150" s="1">
        <v>46136</v>
      </c>
      <c r="BE150" t="s">
        <v>262</v>
      </c>
      <c r="BL150" s="4">
        <v>0</v>
      </c>
      <c r="BM150" s="1">
        <v>46387</v>
      </c>
      <c r="BO150">
        <v>0</v>
      </c>
      <c r="BP150">
        <v>31525</v>
      </c>
      <c r="BQ150" t="s">
        <v>156</v>
      </c>
      <c r="BR150" s="3">
        <v>320000</v>
      </c>
      <c r="BS150">
        <v>0</v>
      </c>
      <c r="BT150">
        <v>0</v>
      </c>
      <c r="BU150" s="3">
        <v>320000</v>
      </c>
      <c r="BV150">
        <v>0</v>
      </c>
      <c r="BX150">
        <v>0</v>
      </c>
      <c r="BZ150">
        <v>0</v>
      </c>
      <c r="CA150">
        <v>0</v>
      </c>
      <c r="CB150">
        <v>0</v>
      </c>
      <c r="CC150">
        <v>0</v>
      </c>
      <c r="CD150" s="5">
        <v>0</v>
      </c>
      <c r="CF150" s="6">
        <v>46143</v>
      </c>
      <c r="CH150">
        <v>0</v>
      </c>
      <c r="CI150">
        <v>0</v>
      </c>
      <c r="CJ150">
        <v>0</v>
      </c>
      <c r="CK150">
        <v>0</v>
      </c>
      <c r="CL150">
        <v>0</v>
      </c>
      <c r="CM150">
        <v>0</v>
      </c>
      <c r="CN150">
        <v>0</v>
      </c>
      <c r="CO150">
        <v>0</v>
      </c>
      <c r="CP150">
        <v>0</v>
      </c>
      <c r="CQ150">
        <v>0</v>
      </c>
      <c r="CR150">
        <v>0</v>
      </c>
      <c r="CT150" t="s">
        <v>178</v>
      </c>
      <c r="CU150">
        <v>1207</v>
      </c>
      <c r="CW150">
        <v>0</v>
      </c>
      <c r="CZ150" s="1">
        <v>46137</v>
      </c>
      <c r="DA150" t="s">
        <v>172</v>
      </c>
      <c r="DB150" t="s">
        <v>172</v>
      </c>
      <c r="DC150" t="s">
        <v>172</v>
      </c>
      <c r="DD150" t="s">
        <v>172</v>
      </c>
      <c r="DG150" s="1">
        <v>46137</v>
      </c>
      <c r="DH150">
        <v>0</v>
      </c>
      <c r="DI150">
        <v>0</v>
      </c>
      <c r="DK150" t="s">
        <v>179</v>
      </c>
      <c r="DM150" t="s">
        <v>172</v>
      </c>
      <c r="DN150" t="s">
        <v>553</v>
      </c>
      <c r="DU150" t="s">
        <v>734</v>
      </c>
      <c r="DV150" s="3">
        <v>1023940</v>
      </c>
      <c r="DW150">
        <v>-100</v>
      </c>
      <c r="DX150" s="3">
        <v>1023940</v>
      </c>
      <c r="DY150">
        <v>-100</v>
      </c>
    </row>
    <row r="151" spans="1:153" ht="246.5" x14ac:dyDescent="0.35">
      <c r="A151" t="str">
        <f>HYPERLINK("https://7lm.cvcrm.com.br/gestor/comercial/reservas/7009/administrar","7009")</f>
        <v>7009</v>
      </c>
      <c r="B151" t="s">
        <v>156</v>
      </c>
      <c r="C151" s="1">
        <v>46137</v>
      </c>
      <c r="D151" s="2">
        <v>0.47461805555555553</v>
      </c>
      <c r="E151" t="s">
        <v>294</v>
      </c>
      <c r="F151" t="s">
        <v>458</v>
      </c>
      <c r="G151" t="s">
        <v>203</v>
      </c>
      <c r="H151" t="s">
        <v>404</v>
      </c>
      <c r="I151" t="s">
        <v>1345</v>
      </c>
      <c r="J151">
        <v>1</v>
      </c>
      <c r="K151">
        <v>8402</v>
      </c>
      <c r="L151">
        <v>20001</v>
      </c>
      <c r="M151" t="s">
        <v>1346</v>
      </c>
      <c r="N151" s="1">
        <v>46146</v>
      </c>
      <c r="O151" s="2">
        <v>0.40181712962962962</v>
      </c>
      <c r="R151" t="str">
        <f>HYPERLINK("https://7lm.cvcrm.com.br/gestor/relatorios/associado/html?q[1|r.idreserva]=7009","VIVIANE RIBEIRO RODRIGUES")</f>
        <v>VIVIANE RIBEIRO RODRIGUES</v>
      </c>
      <c r="S151">
        <v>4536977120</v>
      </c>
      <c r="T151">
        <v>5561998635905</v>
      </c>
      <c r="U151">
        <v>5515998540740</v>
      </c>
      <c r="V151" t="s">
        <v>1347</v>
      </c>
      <c r="W151" t="s">
        <v>187</v>
      </c>
      <c r="X151" t="s">
        <v>1348</v>
      </c>
      <c r="Y151" t="s">
        <v>165</v>
      </c>
      <c r="Z151" t="s">
        <v>385</v>
      </c>
      <c r="AA151" t="s">
        <v>783</v>
      </c>
      <c r="AB151" t="s">
        <v>1349</v>
      </c>
      <c r="AC151" t="s">
        <v>465</v>
      </c>
      <c r="AF151" t="s">
        <v>413</v>
      </c>
      <c r="AG151" t="s">
        <v>195</v>
      </c>
      <c r="AH151" s="3">
        <v>227457.48</v>
      </c>
      <c r="AI151" s="3">
        <v>227457.48</v>
      </c>
      <c r="AJ151" s="1">
        <v>46142</v>
      </c>
      <c r="AN151" t="s">
        <v>172</v>
      </c>
      <c r="AR151" s="7" t="s">
        <v>353</v>
      </c>
      <c r="AT151" t="s">
        <v>1350</v>
      </c>
      <c r="AU151" t="s">
        <v>197</v>
      </c>
      <c r="AW151">
        <v>0</v>
      </c>
      <c r="AX151" s="1">
        <v>46146</v>
      </c>
      <c r="AY151" s="2">
        <v>0.46619212962962964</v>
      </c>
      <c r="AZ151">
        <v>153846</v>
      </c>
      <c r="BA151" s="1">
        <v>45742</v>
      </c>
      <c r="BC151" t="s">
        <v>0</v>
      </c>
      <c r="BD151" s="1">
        <v>46137</v>
      </c>
      <c r="BE151" t="s">
        <v>176</v>
      </c>
      <c r="BL151" s="4">
        <v>0</v>
      </c>
      <c r="BM151" s="1">
        <v>46572</v>
      </c>
      <c r="BN151" s="1">
        <v>46146</v>
      </c>
      <c r="BO151">
        <v>0</v>
      </c>
      <c r="BP151">
        <v>31180</v>
      </c>
      <c r="BQ151" t="s">
        <v>156</v>
      </c>
      <c r="BR151" s="3">
        <v>115978.65</v>
      </c>
      <c r="BS151" s="3">
        <v>48471</v>
      </c>
      <c r="BT151">
        <v>0</v>
      </c>
      <c r="BU151" s="3">
        <v>164449.65</v>
      </c>
      <c r="BV151" s="3">
        <v>227457.48</v>
      </c>
      <c r="BX151">
        <v>0</v>
      </c>
      <c r="BZ151">
        <v>0</v>
      </c>
      <c r="CA151">
        <v>0</v>
      </c>
      <c r="CB151">
        <v>0</v>
      </c>
      <c r="CC151" s="3">
        <v>227457.48</v>
      </c>
      <c r="CD151" s="5">
        <v>0</v>
      </c>
      <c r="CE151" t="s">
        <v>467</v>
      </c>
      <c r="CF151" s="6">
        <v>46143</v>
      </c>
      <c r="CH151">
        <v>0</v>
      </c>
      <c r="CI151">
        <v>0</v>
      </c>
      <c r="CJ151">
        <v>0</v>
      </c>
      <c r="CK151">
        <v>0</v>
      </c>
      <c r="CL151">
        <v>0</v>
      </c>
      <c r="CM151">
        <v>0</v>
      </c>
      <c r="CN151">
        <v>0</v>
      </c>
      <c r="CO151">
        <v>0</v>
      </c>
      <c r="CP151">
        <v>0</v>
      </c>
      <c r="CQ151">
        <v>0</v>
      </c>
      <c r="CR151">
        <v>0</v>
      </c>
      <c r="CS151" t="s">
        <v>649</v>
      </c>
      <c r="CT151" t="s">
        <v>214</v>
      </c>
      <c r="CU151" t="s">
        <v>1345</v>
      </c>
      <c r="CW151">
        <v>-58.406999999999996</v>
      </c>
      <c r="CZ151" s="1">
        <v>46137</v>
      </c>
      <c r="DA151" t="s">
        <v>172</v>
      </c>
      <c r="DB151" t="s">
        <v>172</v>
      </c>
      <c r="DC151" t="s">
        <v>172</v>
      </c>
      <c r="DD151" t="s">
        <v>172</v>
      </c>
      <c r="DG151" s="1">
        <v>46137</v>
      </c>
      <c r="DH151">
        <v>0</v>
      </c>
      <c r="DI151">
        <v>0</v>
      </c>
      <c r="DJ151" s="1">
        <v>46146</v>
      </c>
      <c r="DL151" t="s">
        <v>200</v>
      </c>
      <c r="DM151" t="s">
        <v>172</v>
      </c>
      <c r="DN151" t="s">
        <v>201</v>
      </c>
      <c r="DV151" s="3">
        <v>227457.48</v>
      </c>
      <c r="DW151">
        <v>0</v>
      </c>
      <c r="DX151" s="3">
        <v>227457.48</v>
      </c>
      <c r="DY151">
        <v>0</v>
      </c>
      <c r="EF151" s="1">
        <v>46141</v>
      </c>
      <c r="EG151" s="1">
        <v>46139</v>
      </c>
      <c r="EK151" s="1">
        <v>46141</v>
      </c>
      <c r="EL151" s="1">
        <v>47237</v>
      </c>
      <c r="EN151" t="s">
        <v>156</v>
      </c>
      <c r="EP151" s="1">
        <v>46141</v>
      </c>
      <c r="ET151" t="s">
        <v>699</v>
      </c>
      <c r="EU151" s="1">
        <v>46147</v>
      </c>
      <c r="EW151" s="1">
        <v>46137</v>
      </c>
    </row>
    <row r="152" spans="1:153" ht="246.5" x14ac:dyDescent="0.35">
      <c r="A152" t="str">
        <f>HYPERLINK("https://7lm.cvcrm.com.br/gestor/comercial/reservas/7008/administrar","7008")</f>
        <v>7008</v>
      </c>
      <c r="B152" t="s">
        <v>156</v>
      </c>
      <c r="C152" s="1">
        <v>46137</v>
      </c>
      <c r="D152" s="2">
        <v>0.46781250000000002</v>
      </c>
      <c r="E152" t="s">
        <v>294</v>
      </c>
      <c r="F152" t="s">
        <v>202</v>
      </c>
      <c r="G152" t="s">
        <v>203</v>
      </c>
      <c r="H152" t="s">
        <v>319</v>
      </c>
      <c r="I152" t="s">
        <v>1351</v>
      </c>
      <c r="J152">
        <v>1</v>
      </c>
      <c r="K152">
        <v>8374</v>
      </c>
      <c r="L152">
        <v>20031</v>
      </c>
      <c r="M152" t="s">
        <v>1352</v>
      </c>
      <c r="N152" s="1">
        <v>46142</v>
      </c>
      <c r="O152" s="2">
        <v>0.72597222222222224</v>
      </c>
      <c r="Q152">
        <v>9902</v>
      </c>
      <c r="R152" t="str">
        <f>HYPERLINK("https://7lm.cvcrm.com.br/gestor/relatorios/associado/html?q[1|r.idreserva]=7008","JOSE CARLOS MARQUES CASUMBA JUNIOR")</f>
        <v>JOSE CARLOS MARQUES CASUMBA JUNIOR</v>
      </c>
      <c r="S152">
        <v>2653775107</v>
      </c>
      <c r="T152">
        <v>5561993136592</v>
      </c>
      <c r="U152">
        <v>5561981034490</v>
      </c>
      <c r="V152" t="s">
        <v>1353</v>
      </c>
      <c r="W152" t="s">
        <v>163</v>
      </c>
      <c r="Y152" t="s">
        <v>165</v>
      </c>
      <c r="Z152" t="s">
        <v>257</v>
      </c>
      <c r="AA152" t="s">
        <v>713</v>
      </c>
      <c r="AB152" t="s">
        <v>714</v>
      </c>
      <c r="AC152" t="s">
        <v>715</v>
      </c>
      <c r="AF152" t="s">
        <v>389</v>
      </c>
      <c r="AG152" t="s">
        <v>195</v>
      </c>
      <c r="AH152" s="3">
        <v>213001.21</v>
      </c>
      <c r="AI152" s="3">
        <v>213001.21</v>
      </c>
      <c r="AJ152" s="1">
        <v>46198</v>
      </c>
      <c r="AN152" t="s">
        <v>172</v>
      </c>
      <c r="AR152" s="7" t="s">
        <v>353</v>
      </c>
      <c r="AT152" t="s">
        <v>196</v>
      </c>
      <c r="AU152" t="s">
        <v>316</v>
      </c>
      <c r="AW152">
        <v>0</v>
      </c>
      <c r="AX152" s="1">
        <v>46141</v>
      </c>
      <c r="AY152" s="2">
        <v>0.41822916666666665</v>
      </c>
      <c r="AZ152">
        <v>203509</v>
      </c>
      <c r="BA152" s="1">
        <v>46133</v>
      </c>
      <c r="BC152" t="s">
        <v>0</v>
      </c>
      <c r="BD152" s="1">
        <v>46137</v>
      </c>
      <c r="BE152" t="s">
        <v>276</v>
      </c>
      <c r="BL152" s="4">
        <v>0</v>
      </c>
      <c r="BM152" s="1">
        <v>46808</v>
      </c>
      <c r="BN152" s="1">
        <v>46141</v>
      </c>
      <c r="BO152">
        <v>0</v>
      </c>
      <c r="BP152">
        <v>31347</v>
      </c>
      <c r="BQ152" t="s">
        <v>156</v>
      </c>
      <c r="BR152" s="3">
        <v>135341.89000000001</v>
      </c>
      <c r="BS152" s="3">
        <v>28125</v>
      </c>
      <c r="BT152">
        <v>0</v>
      </c>
      <c r="BU152" s="3">
        <v>163466.89000000001</v>
      </c>
      <c r="BV152" s="3">
        <v>213001.21</v>
      </c>
      <c r="BX152">
        <v>0</v>
      </c>
      <c r="BZ152">
        <v>0</v>
      </c>
      <c r="CA152">
        <v>0</v>
      </c>
      <c r="CB152">
        <v>0</v>
      </c>
      <c r="CC152" s="3">
        <v>213001.21</v>
      </c>
      <c r="CD152" s="5">
        <v>0</v>
      </c>
      <c r="CF152" s="6">
        <v>46113</v>
      </c>
      <c r="CH152">
        <v>0</v>
      </c>
      <c r="CI152">
        <v>0</v>
      </c>
      <c r="CJ152">
        <v>0</v>
      </c>
      <c r="CK152">
        <v>0</v>
      </c>
      <c r="CL152">
        <v>0</v>
      </c>
      <c r="CM152">
        <v>0</v>
      </c>
      <c r="CN152">
        <v>0</v>
      </c>
      <c r="CO152">
        <v>0</v>
      </c>
      <c r="CP152">
        <v>0</v>
      </c>
      <c r="CQ152">
        <v>0</v>
      </c>
      <c r="CR152">
        <v>0</v>
      </c>
      <c r="CS152" t="s">
        <v>360</v>
      </c>
      <c r="CT152" t="s">
        <v>214</v>
      </c>
      <c r="CU152" t="s">
        <v>1351</v>
      </c>
      <c r="CW152">
        <v>-55.057600000000001</v>
      </c>
      <c r="CZ152" s="1">
        <v>46137</v>
      </c>
      <c r="DA152" t="s">
        <v>172</v>
      </c>
      <c r="DB152" t="s">
        <v>172</v>
      </c>
      <c r="DC152" t="s">
        <v>172</v>
      </c>
      <c r="DD152" t="s">
        <v>172</v>
      </c>
      <c r="DG152" s="1">
        <v>46137</v>
      </c>
      <c r="DH152">
        <v>0</v>
      </c>
      <c r="DI152">
        <v>0</v>
      </c>
      <c r="DJ152" s="1">
        <v>46141</v>
      </c>
      <c r="DL152" t="s">
        <v>224</v>
      </c>
      <c r="DM152" t="s">
        <v>172</v>
      </c>
      <c r="DN152" t="s">
        <v>201</v>
      </c>
      <c r="DV152" s="3">
        <v>213001.21</v>
      </c>
      <c r="DW152">
        <v>0</v>
      </c>
      <c r="DX152" s="3">
        <v>213001.21</v>
      </c>
      <c r="DY152">
        <v>0</v>
      </c>
      <c r="EF152" s="1">
        <v>46142</v>
      </c>
      <c r="EG152" s="1">
        <v>46140</v>
      </c>
      <c r="EK152" s="1">
        <v>46142</v>
      </c>
      <c r="EP152" s="1">
        <v>46140</v>
      </c>
    </row>
    <row r="153" spans="1:153" ht="246.5" x14ac:dyDescent="0.35">
      <c r="A153" t="str">
        <f>HYPERLINK("https://7lm.cvcrm.com.br/gestor/comercial/reservas/7007/administrar","7007")</f>
        <v>7007</v>
      </c>
      <c r="B153" t="s">
        <v>172</v>
      </c>
      <c r="C153" s="1">
        <v>46136</v>
      </c>
      <c r="D153" s="2">
        <v>0.73327546296296298</v>
      </c>
      <c r="E153" t="s">
        <v>294</v>
      </c>
      <c r="F153" t="s">
        <v>182</v>
      </c>
      <c r="G153" t="s">
        <v>159</v>
      </c>
      <c r="H153" t="s">
        <v>592</v>
      </c>
      <c r="I153" t="s">
        <v>468</v>
      </c>
      <c r="J153">
        <v>1</v>
      </c>
      <c r="K153">
        <v>8391</v>
      </c>
      <c r="L153">
        <v>30151</v>
      </c>
      <c r="M153" t="s">
        <v>1354</v>
      </c>
      <c r="Q153">
        <v>9917</v>
      </c>
      <c r="R153" t="str">
        <f>HYPERLINK("https://7lm.cvcrm.com.br/gestor/relatorios/associado/html?q[1|r.idreserva]=7007","DANIELLE SILVA PEREIRA")</f>
        <v>DANIELLE SILVA PEREIRA</v>
      </c>
      <c r="S153">
        <v>11526052679</v>
      </c>
      <c r="T153">
        <v>5538998897658</v>
      </c>
      <c r="U153">
        <v>5561996678932</v>
      </c>
      <c r="V153" t="s">
        <v>1355</v>
      </c>
      <c r="W153" t="s">
        <v>187</v>
      </c>
      <c r="X153" t="s">
        <v>1036</v>
      </c>
      <c r="Y153" t="s">
        <v>189</v>
      </c>
      <c r="Z153" t="s">
        <v>190</v>
      </c>
      <c r="AA153" t="s">
        <v>1356</v>
      </c>
      <c r="AB153" t="s">
        <v>1357</v>
      </c>
      <c r="AC153" t="s">
        <v>248</v>
      </c>
      <c r="AD153" t="s">
        <v>249</v>
      </c>
      <c r="AF153" t="s">
        <v>250</v>
      </c>
      <c r="AG153" t="s">
        <v>251</v>
      </c>
      <c r="AH153" s="3">
        <v>240624.9</v>
      </c>
      <c r="AI153" s="3">
        <v>240624.9</v>
      </c>
      <c r="AJ153" s="1">
        <v>46166</v>
      </c>
      <c r="AN153" t="s">
        <v>172</v>
      </c>
      <c r="AR153" s="7" t="s">
        <v>353</v>
      </c>
      <c r="AT153" t="s">
        <v>173</v>
      </c>
      <c r="AU153" t="s">
        <v>175</v>
      </c>
      <c r="AW153">
        <v>0</v>
      </c>
      <c r="AX153" s="1">
        <v>46142</v>
      </c>
      <c r="AY153" s="2">
        <v>0.6222685185185185</v>
      </c>
      <c r="AZ153">
        <v>204241</v>
      </c>
      <c r="BA153" s="1">
        <v>46136</v>
      </c>
      <c r="BC153" t="s">
        <v>213</v>
      </c>
      <c r="BD153" s="1">
        <v>46136</v>
      </c>
      <c r="BE153" t="s">
        <v>175</v>
      </c>
      <c r="BL153" s="4">
        <v>0</v>
      </c>
      <c r="BM153" s="1">
        <v>46899</v>
      </c>
      <c r="BN153" s="1">
        <v>46142</v>
      </c>
      <c r="BO153">
        <v>0</v>
      </c>
      <c r="BP153">
        <v>31499</v>
      </c>
      <c r="BQ153" t="s">
        <v>156</v>
      </c>
      <c r="BR153">
        <v>0</v>
      </c>
      <c r="BS153">
        <v>0</v>
      </c>
      <c r="BT153">
        <v>0</v>
      </c>
      <c r="BU153">
        <v>0</v>
      </c>
      <c r="BV153" s="3">
        <v>240624.9</v>
      </c>
      <c r="BX153">
        <v>0</v>
      </c>
      <c r="BZ153">
        <v>0</v>
      </c>
      <c r="CA153">
        <v>0</v>
      </c>
      <c r="CB153">
        <v>0</v>
      </c>
      <c r="CC153" s="3">
        <v>240624.9</v>
      </c>
      <c r="CD153" s="5">
        <v>0</v>
      </c>
      <c r="CF153" s="6">
        <v>46113</v>
      </c>
      <c r="CH153">
        <v>0</v>
      </c>
      <c r="CI153">
        <v>0</v>
      </c>
      <c r="CJ153">
        <v>0</v>
      </c>
      <c r="CK153">
        <v>0</v>
      </c>
      <c r="CL153">
        <v>0</v>
      </c>
      <c r="CM153">
        <v>0</v>
      </c>
      <c r="CN153">
        <v>0</v>
      </c>
      <c r="CO153">
        <v>0</v>
      </c>
      <c r="CP153">
        <v>0</v>
      </c>
      <c r="CQ153">
        <v>0</v>
      </c>
      <c r="CR153">
        <v>0</v>
      </c>
      <c r="CT153" t="s">
        <v>190</v>
      </c>
      <c r="CU153" t="s">
        <v>468</v>
      </c>
      <c r="CW153">
        <v>0</v>
      </c>
      <c r="CZ153" s="1">
        <v>46136</v>
      </c>
      <c r="DA153" t="s">
        <v>172</v>
      </c>
      <c r="DB153" t="s">
        <v>172</v>
      </c>
      <c r="DC153" t="s">
        <v>172</v>
      </c>
      <c r="DD153" t="s">
        <v>172</v>
      </c>
      <c r="DG153" s="1">
        <v>46136</v>
      </c>
      <c r="DH153">
        <v>0</v>
      </c>
      <c r="DI153">
        <v>0</v>
      </c>
      <c r="DJ153" s="1">
        <v>46142</v>
      </c>
      <c r="DK153" t="s">
        <v>179</v>
      </c>
      <c r="DL153" t="s">
        <v>200</v>
      </c>
      <c r="DM153" t="s">
        <v>172</v>
      </c>
      <c r="DN153" t="s">
        <v>201</v>
      </c>
      <c r="DV153" s="3">
        <v>240624.9</v>
      </c>
      <c r="DW153">
        <v>0</v>
      </c>
      <c r="DX153" s="3">
        <v>240624.9</v>
      </c>
      <c r="DY153">
        <v>0</v>
      </c>
      <c r="EG153" s="1">
        <v>46139</v>
      </c>
      <c r="EN153" t="s">
        <v>537</v>
      </c>
      <c r="EP153" s="1">
        <v>46141</v>
      </c>
      <c r="ER153" s="1">
        <v>46140</v>
      </c>
      <c r="ES153" t="s">
        <v>1358</v>
      </c>
      <c r="ET153" t="s">
        <v>1359</v>
      </c>
      <c r="EU153" s="1">
        <v>46139</v>
      </c>
    </row>
    <row r="154" spans="1:153" x14ac:dyDescent="0.35">
      <c r="A154" t="str">
        <f>HYPERLINK("https://7lm.cvcrm.com.br/gestor/comercial/reservas/7006/administrar","7006")</f>
        <v>7006</v>
      </c>
      <c r="B154" t="s">
        <v>172</v>
      </c>
      <c r="C154" s="1">
        <v>46136</v>
      </c>
      <c r="D154" s="2">
        <v>0.7212615740740741</v>
      </c>
      <c r="E154" t="s">
        <v>527</v>
      </c>
      <c r="F154" t="s">
        <v>182</v>
      </c>
      <c r="G154" t="s">
        <v>159</v>
      </c>
      <c r="H154" t="s">
        <v>265</v>
      </c>
      <c r="I154" t="s">
        <v>430</v>
      </c>
      <c r="J154">
        <v>1</v>
      </c>
      <c r="L154">
        <v>30151</v>
      </c>
      <c r="M154" t="s">
        <v>431</v>
      </c>
      <c r="R154" t="str">
        <f>HYPERLINK("https://7lm.cvcrm.com.br/gestor/relatorios/associado/html?q[1|r.idreserva]=7006","ANDRESSA VITORIO DE SOUZA OLIVEIRA")</f>
        <v>ANDRESSA VITORIO DE SOUZA OLIVEIRA</v>
      </c>
      <c r="S154">
        <v>9985299159</v>
      </c>
      <c r="T154">
        <v>5561999949692</v>
      </c>
      <c r="U154">
        <v>5561996706702</v>
      </c>
      <c r="V154" t="s">
        <v>1360</v>
      </c>
      <c r="W154" t="s">
        <v>187</v>
      </c>
      <c r="X154" t="s">
        <v>376</v>
      </c>
      <c r="Y154" t="s">
        <v>189</v>
      </c>
      <c r="Z154" t="s">
        <v>190</v>
      </c>
      <c r="AA154" t="s">
        <v>1361</v>
      </c>
      <c r="AB154" t="s">
        <v>1362</v>
      </c>
      <c r="AC154" t="s">
        <v>1244</v>
      </c>
      <c r="AD154" t="s">
        <v>1244</v>
      </c>
      <c r="AF154" t="s">
        <v>303</v>
      </c>
      <c r="AG154" t="s">
        <v>195</v>
      </c>
      <c r="AH154" s="3">
        <v>246000.25</v>
      </c>
      <c r="AI154" s="3">
        <v>246000.25</v>
      </c>
      <c r="AJ154" s="1">
        <v>46166</v>
      </c>
      <c r="AN154" t="s">
        <v>172</v>
      </c>
      <c r="AO154" t="s">
        <v>816</v>
      </c>
      <c r="AR154" t="s">
        <v>1363</v>
      </c>
      <c r="AT154" t="s">
        <v>196</v>
      </c>
      <c r="AU154" t="s">
        <v>292</v>
      </c>
      <c r="AW154">
        <v>0</v>
      </c>
      <c r="AX154" s="1">
        <v>46140</v>
      </c>
      <c r="AY154" s="2">
        <v>0.6994097222222222</v>
      </c>
      <c r="AZ154">
        <v>200267</v>
      </c>
      <c r="BA154" s="1">
        <v>46121</v>
      </c>
      <c r="BC154" t="s">
        <v>176</v>
      </c>
      <c r="BD154" s="1">
        <v>46121</v>
      </c>
      <c r="BE154" t="s">
        <v>466</v>
      </c>
      <c r="BL154" s="4">
        <v>0</v>
      </c>
      <c r="BM154" s="1">
        <v>46899</v>
      </c>
      <c r="BO154">
        <v>0</v>
      </c>
      <c r="BP154">
        <v>30754</v>
      </c>
      <c r="BQ154" t="s">
        <v>156</v>
      </c>
      <c r="BR154" s="3">
        <v>141309.65</v>
      </c>
      <c r="BS154" s="3">
        <v>21717</v>
      </c>
      <c r="BT154">
        <v>0</v>
      </c>
      <c r="BU154" s="3">
        <v>163026.65</v>
      </c>
      <c r="BV154" s="3">
        <v>246000.25</v>
      </c>
      <c r="BX154">
        <v>0</v>
      </c>
      <c r="BZ154">
        <v>0</v>
      </c>
      <c r="CA154">
        <v>0</v>
      </c>
      <c r="CB154">
        <v>0</v>
      </c>
      <c r="CC154" s="3">
        <v>246000.25</v>
      </c>
      <c r="CD154" s="5">
        <v>0</v>
      </c>
      <c r="CF154" s="6">
        <v>46113</v>
      </c>
      <c r="CH154">
        <v>0</v>
      </c>
      <c r="CI154">
        <v>0</v>
      </c>
      <c r="CJ154">
        <v>0</v>
      </c>
      <c r="CK154">
        <v>0</v>
      </c>
      <c r="CL154">
        <v>0</v>
      </c>
      <c r="CM154">
        <v>0</v>
      </c>
      <c r="CN154">
        <v>0</v>
      </c>
      <c r="CO154">
        <v>0</v>
      </c>
      <c r="CP154">
        <v>0</v>
      </c>
      <c r="CQ154">
        <v>0</v>
      </c>
      <c r="CR154">
        <v>0</v>
      </c>
      <c r="CT154" t="s">
        <v>190</v>
      </c>
      <c r="CU154" t="s">
        <v>430</v>
      </c>
      <c r="CW154">
        <v>0</v>
      </c>
      <c r="CZ154" s="1">
        <v>46136</v>
      </c>
      <c r="DA154" t="s">
        <v>172</v>
      </c>
      <c r="DB154" t="s">
        <v>172</v>
      </c>
      <c r="DC154" t="s">
        <v>172</v>
      </c>
      <c r="DD154" t="s">
        <v>172</v>
      </c>
      <c r="DG154" s="1">
        <v>46136</v>
      </c>
      <c r="DH154">
        <v>0</v>
      </c>
      <c r="DI154">
        <v>0</v>
      </c>
      <c r="DK154" t="s">
        <v>179</v>
      </c>
      <c r="DL154" t="s">
        <v>200</v>
      </c>
      <c r="DM154" t="s">
        <v>172</v>
      </c>
      <c r="DN154" t="s">
        <v>225</v>
      </c>
      <c r="DV154" s="3">
        <v>246000.25</v>
      </c>
      <c r="DW154">
        <v>0</v>
      </c>
      <c r="DX154" s="3">
        <v>246000.25</v>
      </c>
      <c r="DY154">
        <v>0</v>
      </c>
      <c r="EN154" t="s">
        <v>537</v>
      </c>
    </row>
    <row r="155" spans="1:153" x14ac:dyDescent="0.35">
      <c r="A155" t="str">
        <f>HYPERLINK("https://7lm.cvcrm.com.br/gestor/comercial/reservas/7005/administrar","7005")</f>
        <v>7005</v>
      </c>
      <c r="B155" t="s">
        <v>172</v>
      </c>
      <c r="C155" s="1">
        <v>46136</v>
      </c>
      <c r="D155" s="2">
        <v>0.62267361111111108</v>
      </c>
      <c r="E155" t="s">
        <v>527</v>
      </c>
      <c r="F155" t="s">
        <v>182</v>
      </c>
      <c r="G155" t="s">
        <v>159</v>
      </c>
      <c r="H155" t="s">
        <v>592</v>
      </c>
      <c r="I155" t="s">
        <v>1219</v>
      </c>
      <c r="J155">
        <v>1</v>
      </c>
      <c r="K155">
        <v>8391</v>
      </c>
      <c r="L155">
        <v>30151</v>
      </c>
      <c r="M155" t="s">
        <v>1220</v>
      </c>
      <c r="R155" t="str">
        <f>HYPERLINK("https://7lm.cvcrm.com.br/gestor/relatorios/associado/html?q[1|r.idreserva]=7005","DANIELLE SILVA PEREIRA")</f>
        <v>DANIELLE SILVA PEREIRA</v>
      </c>
      <c r="S155">
        <v>11526052679</v>
      </c>
      <c r="T155">
        <v>5538998897658</v>
      </c>
      <c r="U155">
        <v>5561996678932</v>
      </c>
      <c r="V155" t="s">
        <v>1355</v>
      </c>
      <c r="W155" t="s">
        <v>187</v>
      </c>
      <c r="X155" t="s">
        <v>1036</v>
      </c>
      <c r="Y155" t="s">
        <v>189</v>
      </c>
      <c r="Z155" t="s">
        <v>190</v>
      </c>
      <c r="AA155" t="s">
        <v>1356</v>
      </c>
      <c r="AB155" t="s">
        <v>1357</v>
      </c>
      <c r="AC155" t="s">
        <v>248</v>
      </c>
      <c r="AD155" t="s">
        <v>249</v>
      </c>
      <c r="AF155" t="s">
        <v>250</v>
      </c>
      <c r="AG155" t="s">
        <v>251</v>
      </c>
      <c r="AH155" s="3">
        <v>47400</v>
      </c>
      <c r="AI155" s="3">
        <v>47400</v>
      </c>
      <c r="AJ155" s="1">
        <v>46022</v>
      </c>
      <c r="AN155" t="s">
        <v>172</v>
      </c>
      <c r="AO155" t="s">
        <v>725</v>
      </c>
      <c r="AP155" t="s">
        <v>1364</v>
      </c>
      <c r="AR155" t="s">
        <v>1365</v>
      </c>
      <c r="AT155" t="s">
        <v>173</v>
      </c>
      <c r="AU155" t="s">
        <v>175</v>
      </c>
      <c r="AW155">
        <v>0</v>
      </c>
      <c r="AX155" s="1">
        <v>46139</v>
      </c>
      <c r="AY155" s="2">
        <v>0.40577546296296296</v>
      </c>
      <c r="AZ155">
        <v>204241</v>
      </c>
      <c r="BA155" s="1">
        <v>46136</v>
      </c>
      <c r="BC155" t="s">
        <v>213</v>
      </c>
      <c r="BD155" s="1">
        <v>46136</v>
      </c>
      <c r="BE155" t="s">
        <v>175</v>
      </c>
      <c r="BL155" s="4">
        <v>0</v>
      </c>
      <c r="BM155" s="1">
        <v>46899</v>
      </c>
      <c r="BO155">
        <v>0</v>
      </c>
      <c r="BP155">
        <v>31499</v>
      </c>
      <c r="BQ155" t="s">
        <v>156</v>
      </c>
      <c r="BR155">
        <v>0</v>
      </c>
      <c r="BS155">
        <v>0</v>
      </c>
      <c r="BT155">
        <v>0</v>
      </c>
      <c r="BU155">
        <v>0</v>
      </c>
      <c r="BV155" s="3">
        <v>47400</v>
      </c>
      <c r="BX155">
        <v>0</v>
      </c>
      <c r="BZ155">
        <v>0</v>
      </c>
      <c r="CA155">
        <v>0</v>
      </c>
      <c r="CB155">
        <v>0</v>
      </c>
      <c r="CC155" s="3">
        <v>47400</v>
      </c>
      <c r="CD155" s="5">
        <v>0</v>
      </c>
      <c r="CF155" s="6">
        <v>46113</v>
      </c>
      <c r="CH155">
        <v>0</v>
      </c>
      <c r="CI155">
        <v>0</v>
      </c>
      <c r="CJ155">
        <v>0</v>
      </c>
      <c r="CK155">
        <v>0</v>
      </c>
      <c r="CL155">
        <v>0</v>
      </c>
      <c r="CM155">
        <v>0</v>
      </c>
      <c r="CN155">
        <v>0</v>
      </c>
      <c r="CO155">
        <v>0</v>
      </c>
      <c r="CP155">
        <v>0</v>
      </c>
      <c r="CQ155">
        <v>0</v>
      </c>
      <c r="CR155">
        <v>0</v>
      </c>
      <c r="CT155" t="s">
        <v>190</v>
      </c>
      <c r="CU155" t="s">
        <v>1219</v>
      </c>
      <c r="CW155">
        <v>0</v>
      </c>
      <c r="CZ155" s="1">
        <v>46136</v>
      </c>
      <c r="DA155" t="s">
        <v>172</v>
      </c>
      <c r="DB155" t="s">
        <v>172</v>
      </c>
      <c r="DC155" t="s">
        <v>172</v>
      </c>
      <c r="DD155" t="s">
        <v>172</v>
      </c>
      <c r="DG155" s="1">
        <v>46136</v>
      </c>
      <c r="DH155">
        <v>0</v>
      </c>
      <c r="DI155">
        <v>0</v>
      </c>
      <c r="DK155" t="s">
        <v>179</v>
      </c>
      <c r="DL155" t="s">
        <v>200</v>
      </c>
      <c r="DM155" t="s">
        <v>172</v>
      </c>
      <c r="DN155" t="s">
        <v>201</v>
      </c>
      <c r="DU155" t="s">
        <v>440</v>
      </c>
      <c r="DV155" s="3">
        <v>485000</v>
      </c>
      <c r="DW155">
        <v>-91.1</v>
      </c>
      <c r="DX155" s="3">
        <v>485000</v>
      </c>
      <c r="DY155">
        <v>-91.1</v>
      </c>
      <c r="EN155" t="s">
        <v>172</v>
      </c>
      <c r="ET155" t="s">
        <v>1366</v>
      </c>
    </row>
    <row r="156" spans="1:153" x14ac:dyDescent="0.35">
      <c r="A156" t="str">
        <f>HYPERLINK("https://7lm.cvcrm.com.br/gestor/comercial/reservas/7004/administrar","7004")</f>
        <v>7004</v>
      </c>
      <c r="B156" t="s">
        <v>172</v>
      </c>
      <c r="C156" s="1">
        <v>46136</v>
      </c>
      <c r="D156" s="2">
        <v>0.60759259259259257</v>
      </c>
      <c r="E156" t="s">
        <v>527</v>
      </c>
      <c r="F156" t="s">
        <v>295</v>
      </c>
      <c r="G156" t="s">
        <v>203</v>
      </c>
      <c r="H156" t="s">
        <v>404</v>
      </c>
      <c r="I156" t="s">
        <v>593</v>
      </c>
      <c r="J156">
        <v>1</v>
      </c>
      <c r="L156">
        <v>30031</v>
      </c>
      <c r="M156" t="s">
        <v>830</v>
      </c>
      <c r="R156" t="str">
        <f>HYPERLINK("https://7lm.cvcrm.com.br/gestor/relatorios/associado/html?q[1|r.idreserva]=7004","WEGNO NOGUEIRA DA SILVA")</f>
        <v>WEGNO NOGUEIRA DA SILVA</v>
      </c>
      <c r="S156">
        <v>1935785141</v>
      </c>
      <c r="T156">
        <v>5561998329579</v>
      </c>
      <c r="V156" t="s">
        <v>1367</v>
      </c>
      <c r="W156" t="s">
        <v>163</v>
      </c>
      <c r="X156" t="s">
        <v>299</v>
      </c>
      <c r="AC156" t="s">
        <v>828</v>
      </c>
      <c r="AD156" t="s">
        <v>828</v>
      </c>
      <c r="AF156" t="s">
        <v>352</v>
      </c>
      <c r="AG156" t="s">
        <v>251</v>
      </c>
      <c r="AH156" s="3">
        <v>246000.17</v>
      </c>
      <c r="AI156" s="3">
        <v>246000.17</v>
      </c>
      <c r="AJ156" s="1">
        <v>46178</v>
      </c>
      <c r="AN156" t="s">
        <v>172</v>
      </c>
      <c r="AO156" t="s">
        <v>1368</v>
      </c>
      <c r="AR156" t="s">
        <v>1369</v>
      </c>
      <c r="AT156" t="s">
        <v>261</v>
      </c>
      <c r="AU156" t="s">
        <v>292</v>
      </c>
      <c r="AW156">
        <v>0</v>
      </c>
      <c r="AX156" s="1">
        <v>46141</v>
      </c>
      <c r="AY156" s="2">
        <v>0.63458333333333339</v>
      </c>
      <c r="AZ156">
        <v>171506</v>
      </c>
      <c r="BA156" s="1">
        <v>45936</v>
      </c>
      <c r="BC156" t="s">
        <v>1370</v>
      </c>
      <c r="BD156" s="1">
        <v>45936</v>
      </c>
      <c r="BE156" t="s">
        <v>317</v>
      </c>
      <c r="BL156" s="4">
        <v>0</v>
      </c>
      <c r="BM156" s="1">
        <v>46604</v>
      </c>
      <c r="BO156">
        <v>0</v>
      </c>
      <c r="BP156">
        <v>31147</v>
      </c>
      <c r="BQ156" t="s">
        <v>156</v>
      </c>
      <c r="BR156" s="3">
        <v>133909.76999999999</v>
      </c>
      <c r="BS156" s="3">
        <v>30488</v>
      </c>
      <c r="BT156">
        <v>0</v>
      </c>
      <c r="BU156" s="3">
        <v>164397.76999999999</v>
      </c>
      <c r="BV156" s="3">
        <v>246000.17</v>
      </c>
      <c r="BX156">
        <v>0</v>
      </c>
      <c r="BZ156">
        <v>0</v>
      </c>
      <c r="CA156">
        <v>0</v>
      </c>
      <c r="CB156">
        <v>0</v>
      </c>
      <c r="CC156" s="3">
        <v>246000.17</v>
      </c>
      <c r="CD156" s="5">
        <v>0</v>
      </c>
      <c r="CF156" s="6">
        <v>46113</v>
      </c>
      <c r="CH156">
        <v>0</v>
      </c>
      <c r="CI156">
        <v>0</v>
      </c>
      <c r="CJ156">
        <v>0</v>
      </c>
      <c r="CK156">
        <v>0</v>
      </c>
      <c r="CL156">
        <v>0</v>
      </c>
      <c r="CM156">
        <v>0</v>
      </c>
      <c r="CN156">
        <v>0</v>
      </c>
      <c r="CO156">
        <v>0</v>
      </c>
      <c r="CP156">
        <v>0</v>
      </c>
      <c r="CQ156">
        <v>0</v>
      </c>
      <c r="CR156">
        <v>0</v>
      </c>
      <c r="CT156" t="s">
        <v>190</v>
      </c>
      <c r="CU156" t="s">
        <v>593</v>
      </c>
      <c r="CW156">
        <v>0</v>
      </c>
      <c r="CZ156" s="1">
        <v>46136</v>
      </c>
      <c r="DA156" t="s">
        <v>172</v>
      </c>
      <c r="DB156" t="s">
        <v>172</v>
      </c>
      <c r="DC156" t="s">
        <v>172</v>
      </c>
      <c r="DD156" t="s">
        <v>172</v>
      </c>
      <c r="DG156" s="1">
        <v>46136</v>
      </c>
      <c r="DH156">
        <v>0</v>
      </c>
      <c r="DI156">
        <v>0</v>
      </c>
      <c r="DL156" t="s">
        <v>200</v>
      </c>
      <c r="DM156" t="s">
        <v>172</v>
      </c>
      <c r="DN156" t="s">
        <v>225</v>
      </c>
      <c r="DV156" s="3">
        <v>246000.17</v>
      </c>
      <c r="DW156">
        <v>0</v>
      </c>
      <c r="DX156" s="3">
        <v>246000.17</v>
      </c>
      <c r="DY156">
        <v>0</v>
      </c>
    </row>
    <row r="157" spans="1:153" ht="246.5" x14ac:dyDescent="0.35">
      <c r="A157" t="str">
        <f>HYPERLINK("https://7lm.cvcrm.com.br/gestor/comercial/reservas/7003/administrar","7003")</f>
        <v>7003</v>
      </c>
      <c r="B157" t="s">
        <v>156</v>
      </c>
      <c r="C157" s="1">
        <v>46136</v>
      </c>
      <c r="D157" s="2">
        <v>0.49809027777777776</v>
      </c>
      <c r="E157" t="s">
        <v>294</v>
      </c>
      <c r="F157" t="s">
        <v>182</v>
      </c>
      <c r="G157" t="s">
        <v>159</v>
      </c>
      <c r="H157" t="s">
        <v>1371</v>
      </c>
      <c r="I157" t="s">
        <v>1372</v>
      </c>
      <c r="J157">
        <v>1</v>
      </c>
      <c r="K157">
        <v>8392</v>
      </c>
      <c r="L157">
        <v>30151</v>
      </c>
      <c r="M157" t="s">
        <v>1373</v>
      </c>
      <c r="N157" s="1">
        <v>46142</v>
      </c>
      <c r="O157" s="2">
        <v>0.57932870370370371</v>
      </c>
      <c r="Q157">
        <v>9918</v>
      </c>
      <c r="R157" t="str">
        <f>HYPERLINK("https://7lm.cvcrm.com.br/gestor/relatorios/associado/html?q[1|r.idreserva]=7003","LUCAS OLIVEIRA LIMA")</f>
        <v>LUCAS OLIVEIRA LIMA</v>
      </c>
      <c r="S157">
        <v>2288618108</v>
      </c>
      <c r="T157">
        <v>5561998236109</v>
      </c>
      <c r="V157" t="s">
        <v>1374</v>
      </c>
      <c r="W157" t="s">
        <v>163</v>
      </c>
      <c r="X157" t="s">
        <v>299</v>
      </c>
      <c r="Y157" t="s">
        <v>189</v>
      </c>
      <c r="Z157" t="s">
        <v>190</v>
      </c>
      <c r="AA157" t="s">
        <v>1361</v>
      </c>
      <c r="AB157" t="s">
        <v>1375</v>
      </c>
      <c r="AC157" t="s">
        <v>589</v>
      </c>
      <c r="AF157" t="s">
        <v>194</v>
      </c>
      <c r="AG157" t="s">
        <v>195</v>
      </c>
      <c r="AH157" s="3">
        <v>248000</v>
      </c>
      <c r="AI157" s="3">
        <v>248000</v>
      </c>
      <c r="AJ157" s="1">
        <v>46188</v>
      </c>
      <c r="AN157" t="s">
        <v>172</v>
      </c>
      <c r="AR157" s="7" t="s">
        <v>353</v>
      </c>
      <c r="AT157" t="s">
        <v>196</v>
      </c>
      <c r="AU157" t="s">
        <v>197</v>
      </c>
      <c r="AW157">
        <v>0</v>
      </c>
      <c r="AX157" s="1">
        <v>46142</v>
      </c>
      <c r="AY157" s="2">
        <v>0.62700231481481483</v>
      </c>
      <c r="AZ157">
        <v>193793</v>
      </c>
      <c r="BA157" s="1">
        <v>46087</v>
      </c>
      <c r="BC157" t="s">
        <v>0</v>
      </c>
      <c r="BD157" s="1">
        <v>46135</v>
      </c>
      <c r="BE157" t="s">
        <v>262</v>
      </c>
      <c r="BL157" s="4">
        <v>0</v>
      </c>
      <c r="BM157" s="1">
        <v>46899</v>
      </c>
      <c r="BN157" s="1">
        <v>46142</v>
      </c>
      <c r="BO157">
        <v>0</v>
      </c>
      <c r="BP157">
        <v>31366</v>
      </c>
      <c r="BQ157" t="s">
        <v>156</v>
      </c>
      <c r="BR157" s="3">
        <v>179314.39</v>
      </c>
      <c r="BS157" s="3">
        <v>1947</v>
      </c>
      <c r="BT157">
        <v>0</v>
      </c>
      <c r="BU157" s="3">
        <v>181261.39</v>
      </c>
      <c r="BV157" s="3">
        <v>248000</v>
      </c>
      <c r="BX157">
        <v>0</v>
      </c>
      <c r="BZ157">
        <v>0</v>
      </c>
      <c r="CA157">
        <v>0</v>
      </c>
      <c r="CB157">
        <v>0</v>
      </c>
      <c r="CC157" s="3">
        <v>248000</v>
      </c>
      <c r="CD157" s="5">
        <v>0</v>
      </c>
      <c r="CF157" s="6">
        <v>46113</v>
      </c>
      <c r="CH157">
        <v>0</v>
      </c>
      <c r="CI157">
        <v>0</v>
      </c>
      <c r="CJ157">
        <v>0</v>
      </c>
      <c r="CK157">
        <v>0</v>
      </c>
      <c r="CL157">
        <v>0</v>
      </c>
      <c r="CM157">
        <v>0</v>
      </c>
      <c r="CN157">
        <v>0</v>
      </c>
      <c r="CO157">
        <v>0</v>
      </c>
      <c r="CP157">
        <v>0</v>
      </c>
      <c r="CQ157">
        <v>0</v>
      </c>
      <c r="CR157">
        <v>0</v>
      </c>
      <c r="CS157" t="s">
        <v>649</v>
      </c>
      <c r="CT157" t="s">
        <v>190</v>
      </c>
      <c r="CU157" t="s">
        <v>1372</v>
      </c>
      <c r="CW157">
        <v>-49.481299999999997</v>
      </c>
      <c r="CZ157" s="1">
        <v>46136</v>
      </c>
      <c r="DA157" t="s">
        <v>172</v>
      </c>
      <c r="DB157" t="s">
        <v>172</v>
      </c>
      <c r="DC157" t="s">
        <v>172</v>
      </c>
      <c r="DD157" t="s">
        <v>172</v>
      </c>
      <c r="DG157" s="1">
        <v>46136</v>
      </c>
      <c r="DH157">
        <v>0</v>
      </c>
      <c r="DI157">
        <v>0</v>
      </c>
      <c r="DJ157" s="1">
        <v>46142</v>
      </c>
      <c r="DK157" t="s">
        <v>179</v>
      </c>
      <c r="DL157" t="s">
        <v>200</v>
      </c>
      <c r="DM157" t="s">
        <v>172</v>
      </c>
      <c r="DN157" t="s">
        <v>225</v>
      </c>
      <c r="DV157" s="3">
        <v>248000</v>
      </c>
      <c r="DW157">
        <v>0</v>
      </c>
      <c r="DX157" s="3">
        <v>248000</v>
      </c>
      <c r="DY157">
        <v>0</v>
      </c>
      <c r="EG157" s="1">
        <v>46136</v>
      </c>
      <c r="EM157" s="1">
        <v>46140</v>
      </c>
      <c r="EP157" s="1">
        <v>46139</v>
      </c>
    </row>
    <row r="158" spans="1:153" x14ac:dyDescent="0.35">
      <c r="A158" t="str">
        <f>HYPERLINK("https://7lm.cvcrm.com.br/gestor/comercial/reservas/7002/administrar","7002")</f>
        <v>7002</v>
      </c>
      <c r="B158" t="s">
        <v>172</v>
      </c>
      <c r="C158" s="1">
        <v>46136</v>
      </c>
      <c r="D158" s="2">
        <v>0.42340277777777779</v>
      </c>
      <c r="E158" t="s">
        <v>527</v>
      </c>
      <c r="F158" t="s">
        <v>957</v>
      </c>
      <c r="G158" t="s">
        <v>159</v>
      </c>
      <c r="H158" t="s">
        <v>1376</v>
      </c>
      <c r="I158" t="s">
        <v>1377</v>
      </c>
      <c r="J158">
        <v>1</v>
      </c>
      <c r="K158">
        <v>8406</v>
      </c>
      <c r="L158">
        <v>30121</v>
      </c>
      <c r="M158" t="s">
        <v>1378</v>
      </c>
      <c r="R158" t="str">
        <f>HYPERLINK("https://7lm.cvcrm.com.br/gestor/relatorios/associado/html?q[1|r.idreserva]=7002","GUSTAVO CAMPOS VIANNA")</f>
        <v>GUSTAVO CAMPOS VIANNA</v>
      </c>
      <c r="S158">
        <v>5660707157</v>
      </c>
      <c r="T158">
        <v>5561998536653</v>
      </c>
      <c r="U158">
        <v>5561998026590</v>
      </c>
      <c r="V158" t="s">
        <v>1318</v>
      </c>
      <c r="W158" t="s">
        <v>163</v>
      </c>
      <c r="X158" t="s">
        <v>288</v>
      </c>
      <c r="Y158" t="s">
        <v>189</v>
      </c>
      <c r="Z158" t="s">
        <v>190</v>
      </c>
      <c r="AA158" t="s">
        <v>367</v>
      </c>
      <c r="AB158" t="s">
        <v>1319</v>
      </c>
      <c r="AC158" t="s">
        <v>665</v>
      </c>
      <c r="AD158" t="s">
        <v>665</v>
      </c>
      <c r="AF158" t="s">
        <v>250</v>
      </c>
      <c r="AG158" t="s">
        <v>251</v>
      </c>
      <c r="AH158" s="3">
        <v>254000.32</v>
      </c>
      <c r="AI158" s="3">
        <v>254000.32</v>
      </c>
      <c r="AJ158" s="1">
        <v>46153</v>
      </c>
      <c r="AN158" t="s">
        <v>172</v>
      </c>
      <c r="AO158" t="s">
        <v>725</v>
      </c>
      <c r="AP158" t="s">
        <v>1364</v>
      </c>
      <c r="AR158" t="s">
        <v>1379</v>
      </c>
      <c r="AT158" t="s">
        <v>173</v>
      </c>
      <c r="AU158" t="s">
        <v>175</v>
      </c>
      <c r="AW158">
        <v>0</v>
      </c>
      <c r="AX158" s="1">
        <v>46139</v>
      </c>
      <c r="AY158" s="2">
        <v>0.48298611111111112</v>
      </c>
      <c r="AZ158">
        <v>87405</v>
      </c>
      <c r="BA158" s="1">
        <v>45054</v>
      </c>
      <c r="BC158" t="s">
        <v>176</v>
      </c>
      <c r="BD158" s="1">
        <v>45054</v>
      </c>
      <c r="BE158" t="s">
        <v>427</v>
      </c>
      <c r="BL158" s="4">
        <v>0</v>
      </c>
      <c r="BM158" s="1">
        <v>47031</v>
      </c>
      <c r="BO158">
        <v>0</v>
      </c>
      <c r="BP158">
        <v>31210</v>
      </c>
      <c r="BQ158" t="s">
        <v>156</v>
      </c>
      <c r="BR158">
        <v>0</v>
      </c>
      <c r="BS158">
        <v>0</v>
      </c>
      <c r="BT158">
        <v>0</v>
      </c>
      <c r="BU158">
        <v>0</v>
      </c>
      <c r="BV158" s="3">
        <v>254000.32</v>
      </c>
      <c r="BX158">
        <v>0</v>
      </c>
      <c r="BZ158">
        <v>0</v>
      </c>
      <c r="CA158">
        <v>0</v>
      </c>
      <c r="CB158">
        <v>0</v>
      </c>
      <c r="CC158" s="3">
        <v>254000.32</v>
      </c>
      <c r="CD158" s="5">
        <v>0</v>
      </c>
      <c r="CF158" s="6">
        <v>46113</v>
      </c>
      <c r="CH158">
        <v>0</v>
      </c>
      <c r="CI158">
        <v>0</v>
      </c>
      <c r="CJ158">
        <v>0</v>
      </c>
      <c r="CK158">
        <v>0</v>
      </c>
      <c r="CL158">
        <v>0</v>
      </c>
      <c r="CM158">
        <v>0</v>
      </c>
      <c r="CN158">
        <v>0</v>
      </c>
      <c r="CO158">
        <v>0</v>
      </c>
      <c r="CP158">
        <v>0</v>
      </c>
      <c r="CQ158">
        <v>0</v>
      </c>
      <c r="CR158">
        <v>0</v>
      </c>
      <c r="CT158" t="s">
        <v>190</v>
      </c>
      <c r="CU158" t="s">
        <v>1377</v>
      </c>
      <c r="CW158">
        <v>0</v>
      </c>
      <c r="CZ158" s="1">
        <v>46136</v>
      </c>
      <c r="DA158" t="s">
        <v>172</v>
      </c>
      <c r="DB158" t="s">
        <v>172</v>
      </c>
      <c r="DC158" t="s">
        <v>172</v>
      </c>
      <c r="DD158" t="s">
        <v>172</v>
      </c>
      <c r="DG158" s="1">
        <v>46136</v>
      </c>
      <c r="DH158">
        <v>0</v>
      </c>
      <c r="DI158">
        <v>0</v>
      </c>
      <c r="DL158" t="s">
        <v>963</v>
      </c>
      <c r="DM158" t="s">
        <v>172</v>
      </c>
      <c r="DN158" t="s">
        <v>201</v>
      </c>
      <c r="DV158" s="3">
        <v>254000.32</v>
      </c>
      <c r="DW158">
        <v>0</v>
      </c>
      <c r="DX158" s="3">
        <v>254000.32</v>
      </c>
      <c r="DY158">
        <v>0</v>
      </c>
      <c r="EN158" t="s">
        <v>172</v>
      </c>
      <c r="ET158" t="s">
        <v>1366</v>
      </c>
      <c r="EU158" s="1">
        <v>46139</v>
      </c>
      <c r="EW158" s="1">
        <v>46136</v>
      </c>
    </row>
    <row r="159" spans="1:153" ht="145" x14ac:dyDescent="0.35">
      <c r="A159" t="str">
        <f>HYPERLINK("https://7lm.cvcrm.com.br/gestor/comercial/reservas/7001/administrar","7001")</f>
        <v>7001</v>
      </c>
      <c r="B159" t="s">
        <v>156</v>
      </c>
      <c r="C159" s="1">
        <v>46135</v>
      </c>
      <c r="D159" s="2">
        <v>0.98052083333333329</v>
      </c>
      <c r="E159" t="s">
        <v>294</v>
      </c>
      <c r="F159" t="s">
        <v>202</v>
      </c>
      <c r="G159" t="s">
        <v>203</v>
      </c>
      <c r="H159" t="s">
        <v>277</v>
      </c>
      <c r="I159" t="s">
        <v>346</v>
      </c>
      <c r="J159">
        <v>1</v>
      </c>
      <c r="K159">
        <v>8399</v>
      </c>
      <c r="L159">
        <v>20031</v>
      </c>
      <c r="M159" t="s">
        <v>1380</v>
      </c>
      <c r="N159" s="1">
        <v>46147</v>
      </c>
      <c r="O159" s="2">
        <v>0.53832175925925929</v>
      </c>
      <c r="Q159">
        <v>9921</v>
      </c>
      <c r="R159" t="str">
        <f>HYPERLINK("https://7lm.cvcrm.com.br/gestor/relatorios/associado/html?q[1|r.idreserva]=7001","ANNA BEATRIZ OLIVEIRA SOUZA")</f>
        <v>ANNA BEATRIZ OLIVEIRA SOUZA</v>
      </c>
      <c r="S159">
        <v>7756608178</v>
      </c>
      <c r="T159">
        <v>5561998851025</v>
      </c>
      <c r="U159">
        <v>5561999882716</v>
      </c>
      <c r="V159" t="s">
        <v>1381</v>
      </c>
      <c r="W159" t="s">
        <v>187</v>
      </c>
      <c r="Y159" t="s">
        <v>165</v>
      </c>
      <c r="Z159" t="s">
        <v>257</v>
      </c>
      <c r="AA159" t="s">
        <v>713</v>
      </c>
      <c r="AB159" t="s">
        <v>714</v>
      </c>
      <c r="AC159" t="s">
        <v>715</v>
      </c>
      <c r="AF159" t="s">
        <v>389</v>
      </c>
      <c r="AG159" t="s">
        <v>195</v>
      </c>
      <c r="AH159" s="3">
        <v>214002</v>
      </c>
      <c r="AI159" s="3">
        <v>214002</v>
      </c>
      <c r="AJ159" s="1">
        <v>46198</v>
      </c>
      <c r="AN159" t="s">
        <v>172</v>
      </c>
      <c r="AR159" s="7" t="s">
        <v>1382</v>
      </c>
      <c r="AT159" t="s">
        <v>400</v>
      </c>
      <c r="AU159" t="s">
        <v>262</v>
      </c>
      <c r="AW159">
        <v>0</v>
      </c>
      <c r="AX159" s="1">
        <v>46142</v>
      </c>
      <c r="AY159" s="2">
        <v>0.68973379629629628</v>
      </c>
      <c r="AZ159">
        <v>186694</v>
      </c>
      <c r="BA159" s="1">
        <v>46051</v>
      </c>
      <c r="BB159" s="1">
        <v>46059</v>
      </c>
      <c r="BC159" t="s">
        <v>275</v>
      </c>
      <c r="BD159" s="1">
        <v>46130</v>
      </c>
      <c r="BE159" t="s">
        <v>786</v>
      </c>
      <c r="BL159" s="4">
        <v>0</v>
      </c>
      <c r="BM159" s="1">
        <v>46808</v>
      </c>
      <c r="BN159" s="1">
        <v>46142</v>
      </c>
      <c r="BO159">
        <v>0</v>
      </c>
      <c r="BP159">
        <v>31342</v>
      </c>
      <c r="BQ159" t="s">
        <v>156</v>
      </c>
      <c r="BR159" s="3">
        <v>117425.3</v>
      </c>
      <c r="BS159" s="3">
        <v>46777</v>
      </c>
      <c r="BT159">
        <v>0</v>
      </c>
      <c r="BU159" s="3">
        <v>164202.29999999999</v>
      </c>
      <c r="BV159" s="3">
        <v>214002</v>
      </c>
      <c r="BX159">
        <v>0</v>
      </c>
      <c r="BZ159">
        <v>0</v>
      </c>
      <c r="CA159">
        <v>0</v>
      </c>
      <c r="CB159">
        <v>0</v>
      </c>
      <c r="CC159" s="3">
        <v>214002</v>
      </c>
      <c r="CD159" s="5">
        <v>0</v>
      </c>
      <c r="CF159" s="6">
        <v>46113</v>
      </c>
      <c r="CH159">
        <v>0</v>
      </c>
      <c r="CI159">
        <v>0</v>
      </c>
      <c r="CJ159">
        <v>0</v>
      </c>
      <c r="CK159">
        <v>0</v>
      </c>
      <c r="CL159">
        <v>0</v>
      </c>
      <c r="CM159">
        <v>0</v>
      </c>
      <c r="CN159">
        <v>0</v>
      </c>
      <c r="CO159">
        <v>0</v>
      </c>
      <c r="CP159">
        <v>0</v>
      </c>
      <c r="CQ159">
        <v>0</v>
      </c>
      <c r="CR159">
        <v>0</v>
      </c>
      <c r="CS159" t="s">
        <v>360</v>
      </c>
      <c r="CT159" t="s">
        <v>214</v>
      </c>
      <c r="CU159" t="s">
        <v>346</v>
      </c>
      <c r="CW159">
        <v>-54.8367</v>
      </c>
      <c r="CZ159" s="1">
        <v>46135</v>
      </c>
      <c r="DA159" t="s">
        <v>172</v>
      </c>
      <c r="DB159" t="s">
        <v>172</v>
      </c>
      <c r="DC159" t="s">
        <v>172</v>
      </c>
      <c r="DD159" t="s">
        <v>172</v>
      </c>
      <c r="DG159" s="1">
        <v>46135</v>
      </c>
      <c r="DH159">
        <v>0</v>
      </c>
      <c r="DI159">
        <v>0</v>
      </c>
      <c r="DJ159" s="1">
        <v>46142</v>
      </c>
      <c r="DL159" t="s">
        <v>215</v>
      </c>
      <c r="DM159" t="s">
        <v>172</v>
      </c>
      <c r="DN159" t="s">
        <v>201</v>
      </c>
      <c r="DV159" s="3">
        <v>214002</v>
      </c>
      <c r="DW159">
        <v>0</v>
      </c>
      <c r="DX159" s="3">
        <v>214002</v>
      </c>
      <c r="DY159">
        <v>0</v>
      </c>
      <c r="EF159" s="1">
        <v>46155</v>
      </c>
      <c r="EG159" s="1">
        <v>46142</v>
      </c>
      <c r="EK159" s="1">
        <v>46155</v>
      </c>
      <c r="EP159" s="1">
        <v>46142</v>
      </c>
    </row>
    <row r="160" spans="1:153" x14ac:dyDescent="0.35">
      <c r="A160" t="str">
        <f>HYPERLINK("https://7lm.cvcrm.com.br/gestor/comercial/reservas/7000/administrar","7000")</f>
        <v>7000</v>
      </c>
      <c r="B160" t="s">
        <v>172</v>
      </c>
      <c r="C160" s="1">
        <v>46135</v>
      </c>
      <c r="D160" s="2">
        <v>0.95982638888888894</v>
      </c>
      <c r="E160" t="s">
        <v>527</v>
      </c>
      <c r="F160" t="s">
        <v>957</v>
      </c>
      <c r="G160" t="s">
        <v>159</v>
      </c>
      <c r="H160" t="s">
        <v>1376</v>
      </c>
      <c r="I160" t="s">
        <v>1383</v>
      </c>
      <c r="J160">
        <v>1</v>
      </c>
      <c r="K160">
        <v>8392</v>
      </c>
      <c r="L160">
        <v>30121</v>
      </c>
      <c r="M160" t="s">
        <v>1384</v>
      </c>
      <c r="R160" t="str">
        <f>HYPERLINK("https://7lm.cvcrm.com.br/gestor/relatorios/associado/html?q[1|r.idreserva]=7000","LUCAS OLIVEIRA LIMA")</f>
        <v>LUCAS OLIVEIRA LIMA</v>
      </c>
      <c r="S160">
        <v>2288618108</v>
      </c>
      <c r="T160">
        <v>5561998236109</v>
      </c>
      <c r="V160" t="s">
        <v>1374</v>
      </c>
      <c r="W160" t="s">
        <v>163</v>
      </c>
      <c r="X160" t="s">
        <v>299</v>
      </c>
      <c r="Y160" t="s">
        <v>189</v>
      </c>
      <c r="Z160" t="s">
        <v>190</v>
      </c>
      <c r="AA160" t="s">
        <v>1361</v>
      </c>
      <c r="AB160" t="s">
        <v>1375</v>
      </c>
      <c r="AC160" t="s">
        <v>589</v>
      </c>
      <c r="AF160" t="s">
        <v>194</v>
      </c>
      <c r="AG160" t="s">
        <v>195</v>
      </c>
      <c r="AH160" s="3">
        <v>225000</v>
      </c>
      <c r="AI160" s="3">
        <v>225000</v>
      </c>
      <c r="AJ160" s="1">
        <v>46196</v>
      </c>
      <c r="AN160" t="s">
        <v>172</v>
      </c>
      <c r="AO160" t="s">
        <v>725</v>
      </c>
      <c r="AP160" t="s">
        <v>1385</v>
      </c>
      <c r="AR160" t="s">
        <v>1386</v>
      </c>
      <c r="AT160" t="s">
        <v>196</v>
      </c>
      <c r="AU160" t="s">
        <v>197</v>
      </c>
      <c r="AW160">
        <v>0</v>
      </c>
      <c r="AX160" s="1">
        <v>46136</v>
      </c>
      <c r="AY160" s="2">
        <v>0.45002314814814814</v>
      </c>
      <c r="AZ160">
        <v>193793</v>
      </c>
      <c r="BA160" s="1">
        <v>46087</v>
      </c>
      <c r="BC160" t="s">
        <v>0</v>
      </c>
      <c r="BD160" s="1">
        <v>46135</v>
      </c>
      <c r="BE160" t="s">
        <v>262</v>
      </c>
      <c r="BL160" s="4">
        <v>0</v>
      </c>
      <c r="BM160" s="1">
        <v>47031</v>
      </c>
      <c r="BO160">
        <v>0</v>
      </c>
      <c r="BP160">
        <v>31366</v>
      </c>
      <c r="BQ160" t="s">
        <v>156</v>
      </c>
      <c r="BR160" s="3">
        <v>179314.39</v>
      </c>
      <c r="BS160" s="3">
        <v>1947</v>
      </c>
      <c r="BT160">
        <v>0</v>
      </c>
      <c r="BU160" s="3">
        <v>181261.39</v>
      </c>
      <c r="BV160" s="3">
        <v>225000</v>
      </c>
      <c r="BX160">
        <v>0</v>
      </c>
      <c r="BZ160">
        <v>0</v>
      </c>
      <c r="CA160">
        <v>0</v>
      </c>
      <c r="CB160">
        <v>0</v>
      </c>
      <c r="CC160" s="3">
        <v>225000</v>
      </c>
      <c r="CD160" s="5">
        <v>0</v>
      </c>
      <c r="CF160" s="6">
        <v>46113</v>
      </c>
      <c r="CH160">
        <v>0</v>
      </c>
      <c r="CI160">
        <v>0</v>
      </c>
      <c r="CJ160">
        <v>0</v>
      </c>
      <c r="CK160">
        <v>0</v>
      </c>
      <c r="CL160">
        <v>0</v>
      </c>
      <c r="CM160">
        <v>0</v>
      </c>
      <c r="CN160">
        <v>0</v>
      </c>
      <c r="CO160">
        <v>0</v>
      </c>
      <c r="CP160">
        <v>0</v>
      </c>
      <c r="CQ160">
        <v>0</v>
      </c>
      <c r="CR160">
        <v>0</v>
      </c>
      <c r="CT160" t="s">
        <v>190</v>
      </c>
      <c r="CU160" t="s">
        <v>1383</v>
      </c>
      <c r="CW160">
        <v>0</v>
      </c>
      <c r="CZ160" s="1">
        <v>46135</v>
      </c>
      <c r="DA160" t="s">
        <v>172</v>
      </c>
      <c r="DB160" t="s">
        <v>172</v>
      </c>
      <c r="DC160" t="s">
        <v>172</v>
      </c>
      <c r="DD160" t="s">
        <v>172</v>
      </c>
      <c r="DG160" s="1">
        <v>46135</v>
      </c>
      <c r="DH160">
        <v>0</v>
      </c>
      <c r="DI160">
        <v>0</v>
      </c>
      <c r="DL160" t="s">
        <v>963</v>
      </c>
      <c r="DM160" t="s">
        <v>172</v>
      </c>
      <c r="DN160" t="s">
        <v>225</v>
      </c>
      <c r="DV160" s="3">
        <v>225000</v>
      </c>
      <c r="DW160">
        <v>0</v>
      </c>
      <c r="DX160" s="3">
        <v>225000</v>
      </c>
      <c r="DY160">
        <v>0</v>
      </c>
      <c r="EN160" t="s">
        <v>156</v>
      </c>
    </row>
    <row r="161" spans="1:153" ht="406" x14ac:dyDescent="0.35">
      <c r="A161" t="str">
        <f>HYPERLINK("https://7lm.cvcrm.com.br/gestor/comercial/reservas/6999/administrar","6999")</f>
        <v>6999</v>
      </c>
      <c r="B161" t="s">
        <v>156</v>
      </c>
      <c r="C161" s="1">
        <v>46135</v>
      </c>
      <c r="D161" s="2">
        <v>0.80418981481481477</v>
      </c>
      <c r="E161" t="s">
        <v>294</v>
      </c>
      <c r="F161" t="s">
        <v>182</v>
      </c>
      <c r="G161" t="s">
        <v>159</v>
      </c>
      <c r="H161" t="s">
        <v>475</v>
      </c>
      <c r="I161" t="s">
        <v>1387</v>
      </c>
      <c r="J161">
        <v>1</v>
      </c>
      <c r="K161">
        <v>8451</v>
      </c>
      <c r="L161">
        <v>30151</v>
      </c>
      <c r="M161" t="s">
        <v>1388</v>
      </c>
      <c r="N161" s="1">
        <v>46157</v>
      </c>
      <c r="O161" s="2">
        <v>0.60906249999999995</v>
      </c>
      <c r="Q161">
        <v>9958</v>
      </c>
      <c r="R161" t="str">
        <f>HYPERLINK("https://7lm.cvcrm.com.br/gestor/relatorios/associado/html?q[1|r.idreserva]=6999","CLEITON EVANGELISTA DA SILVA")</f>
        <v>CLEITON EVANGELISTA DA SILVA</v>
      </c>
      <c r="S161">
        <v>5143405173</v>
      </c>
      <c r="T161">
        <v>5561998345678</v>
      </c>
      <c r="U161">
        <v>5561994049462</v>
      </c>
      <c r="V161" t="s">
        <v>1389</v>
      </c>
      <c r="W161" t="s">
        <v>163</v>
      </c>
      <c r="X161" t="s">
        <v>1390</v>
      </c>
      <c r="Y161" t="s">
        <v>189</v>
      </c>
      <c r="Z161" t="s">
        <v>190</v>
      </c>
      <c r="AA161" t="s">
        <v>542</v>
      </c>
      <c r="AB161" t="s">
        <v>1391</v>
      </c>
      <c r="AC161" t="s">
        <v>248</v>
      </c>
      <c r="AD161" t="s">
        <v>249</v>
      </c>
      <c r="AF161" t="s">
        <v>250</v>
      </c>
      <c r="AG161" t="s">
        <v>195</v>
      </c>
      <c r="AH161" s="3">
        <v>240647.84</v>
      </c>
      <c r="AI161" s="3">
        <v>240647.84</v>
      </c>
      <c r="AJ161" s="1">
        <v>46142</v>
      </c>
      <c r="AN161" t="s">
        <v>172</v>
      </c>
      <c r="AR161" s="7" t="s">
        <v>1392</v>
      </c>
      <c r="AT161" t="s">
        <v>173</v>
      </c>
      <c r="AU161" t="s">
        <v>175</v>
      </c>
      <c r="AW161">
        <v>0</v>
      </c>
      <c r="AX161" s="1">
        <v>46157</v>
      </c>
      <c r="AY161" s="2">
        <v>0.61508101851851849</v>
      </c>
      <c r="AZ161">
        <v>204158</v>
      </c>
      <c r="BA161" s="1">
        <v>46135</v>
      </c>
      <c r="BC161" t="s">
        <v>213</v>
      </c>
      <c r="BD161" s="1">
        <v>46135</v>
      </c>
      <c r="BE161" t="s">
        <v>175</v>
      </c>
      <c r="BL161" s="4">
        <v>0</v>
      </c>
      <c r="BM161" s="1">
        <v>46899</v>
      </c>
      <c r="BN161" s="1">
        <v>46157</v>
      </c>
      <c r="BO161">
        <v>0</v>
      </c>
      <c r="BP161">
        <v>31469</v>
      </c>
      <c r="BQ161" t="s">
        <v>156</v>
      </c>
      <c r="BR161">
        <v>0</v>
      </c>
      <c r="BS161">
        <v>0</v>
      </c>
      <c r="BT161">
        <v>0</v>
      </c>
      <c r="BU161">
        <v>0</v>
      </c>
      <c r="BV161" s="3">
        <v>240647.84</v>
      </c>
      <c r="BX161">
        <v>0</v>
      </c>
      <c r="BZ161">
        <v>0</v>
      </c>
      <c r="CA161">
        <v>0</v>
      </c>
      <c r="CB161">
        <v>0</v>
      </c>
      <c r="CC161" s="3">
        <v>240647.84</v>
      </c>
      <c r="CD161" s="5">
        <v>0</v>
      </c>
      <c r="CF161" s="6">
        <v>46143</v>
      </c>
      <c r="CH161">
        <v>0</v>
      </c>
      <c r="CI161">
        <v>0</v>
      </c>
      <c r="CJ161">
        <v>0</v>
      </c>
      <c r="CK161">
        <v>0</v>
      </c>
      <c r="CL161">
        <v>0</v>
      </c>
      <c r="CM161">
        <v>0</v>
      </c>
      <c r="CN161">
        <v>0</v>
      </c>
      <c r="CO161">
        <v>0</v>
      </c>
      <c r="CP161">
        <v>0</v>
      </c>
      <c r="CQ161">
        <v>0</v>
      </c>
      <c r="CR161">
        <v>0</v>
      </c>
      <c r="CS161" t="s">
        <v>649</v>
      </c>
      <c r="CT161" t="s">
        <v>190</v>
      </c>
      <c r="CU161" t="s">
        <v>1387</v>
      </c>
      <c r="CW161">
        <v>-51.8202</v>
      </c>
      <c r="CZ161" s="1">
        <v>46135</v>
      </c>
      <c r="DA161" t="s">
        <v>172</v>
      </c>
      <c r="DB161" t="s">
        <v>172</v>
      </c>
      <c r="DC161" t="s">
        <v>172</v>
      </c>
      <c r="DD161" t="s">
        <v>172</v>
      </c>
      <c r="DG161" s="1">
        <v>46135</v>
      </c>
      <c r="DH161">
        <v>0</v>
      </c>
      <c r="DI161">
        <v>0</v>
      </c>
      <c r="DJ161" s="1">
        <v>46157</v>
      </c>
      <c r="DK161" t="s">
        <v>179</v>
      </c>
      <c r="DL161" t="s">
        <v>200</v>
      </c>
      <c r="DM161" t="s">
        <v>172</v>
      </c>
      <c r="DN161" t="s">
        <v>201</v>
      </c>
      <c r="DV161" s="3">
        <v>240647.84</v>
      </c>
      <c r="DW161">
        <v>0</v>
      </c>
      <c r="DX161" s="3">
        <v>240647.84</v>
      </c>
      <c r="DY161">
        <v>0</v>
      </c>
      <c r="EF161" s="1">
        <v>46148</v>
      </c>
      <c r="EG161" s="1">
        <v>46147</v>
      </c>
      <c r="EK161" s="1">
        <v>46148</v>
      </c>
      <c r="EL161" s="1">
        <v>46148</v>
      </c>
      <c r="EN161" t="s">
        <v>156</v>
      </c>
      <c r="EP161" s="1">
        <v>46154</v>
      </c>
      <c r="ER161" s="1">
        <v>46154</v>
      </c>
      <c r="ES161" t="s">
        <v>1393</v>
      </c>
      <c r="EU161" s="1">
        <v>46146</v>
      </c>
    </row>
    <row r="162" spans="1:153" ht="246.5" x14ac:dyDescent="0.35">
      <c r="A162" t="str">
        <f>HYPERLINK("https://7lm.cvcrm.com.br/gestor/comercial/reservas/6998/administrar","6998")</f>
        <v>6998</v>
      </c>
      <c r="B162" t="s">
        <v>156</v>
      </c>
      <c r="C162" s="1">
        <v>46135</v>
      </c>
      <c r="D162" s="2">
        <v>0.7896643518518518</v>
      </c>
      <c r="E162" t="s">
        <v>294</v>
      </c>
      <c r="F162" t="s">
        <v>295</v>
      </c>
      <c r="G162" t="s">
        <v>203</v>
      </c>
      <c r="H162" t="s">
        <v>391</v>
      </c>
      <c r="I162" t="s">
        <v>1394</v>
      </c>
      <c r="J162">
        <v>1</v>
      </c>
      <c r="K162">
        <v>8396</v>
      </c>
      <c r="L162">
        <v>30031</v>
      </c>
      <c r="M162" t="s">
        <v>1395</v>
      </c>
      <c r="N162" s="1">
        <v>46142</v>
      </c>
      <c r="O162" s="2">
        <v>0.58879629629629626</v>
      </c>
      <c r="Q162">
        <v>9920</v>
      </c>
      <c r="R162" t="str">
        <f>HYPERLINK("https://7lm.cvcrm.com.br/gestor/relatorios/associado/html?q[1|r.idreserva]=6998","CELINE DA ROCHA TRINDADE")</f>
        <v>CELINE DA ROCHA TRINDADE</v>
      </c>
      <c r="S162">
        <v>7092129176</v>
      </c>
      <c r="T162">
        <v>556199960106</v>
      </c>
      <c r="U162">
        <v>556199854225</v>
      </c>
      <c r="V162" t="s">
        <v>1396</v>
      </c>
      <c r="W162" t="s">
        <v>187</v>
      </c>
      <c r="X162" t="s">
        <v>376</v>
      </c>
      <c r="Y162" t="s">
        <v>189</v>
      </c>
      <c r="Z162" t="s">
        <v>190</v>
      </c>
      <c r="AA162" t="s">
        <v>480</v>
      </c>
      <c r="AB162" t="s">
        <v>1397</v>
      </c>
      <c r="AC162" t="s">
        <v>1056</v>
      </c>
      <c r="AF162" t="s">
        <v>399</v>
      </c>
      <c r="AG162" t="s">
        <v>251</v>
      </c>
      <c r="AH162" s="3">
        <v>255133</v>
      </c>
      <c r="AI162" s="3">
        <v>255133</v>
      </c>
      <c r="AJ162" s="1">
        <v>46136</v>
      </c>
      <c r="AN162" t="s">
        <v>172</v>
      </c>
      <c r="AR162" s="7" t="s">
        <v>353</v>
      </c>
      <c r="AT162" t="s">
        <v>196</v>
      </c>
      <c r="AU162" t="s">
        <v>316</v>
      </c>
      <c r="AW162">
        <v>0</v>
      </c>
      <c r="AX162" s="1">
        <v>46142</v>
      </c>
      <c r="AY162" s="2">
        <v>0.63245370370370368</v>
      </c>
      <c r="AZ162">
        <v>153858</v>
      </c>
      <c r="BA162" s="1">
        <v>45742</v>
      </c>
      <c r="BC162" t="s">
        <v>0</v>
      </c>
      <c r="BD162" s="1">
        <v>46135</v>
      </c>
      <c r="BE162" t="s">
        <v>175</v>
      </c>
      <c r="BL162" s="4">
        <v>0</v>
      </c>
      <c r="BM162" s="1">
        <v>46604</v>
      </c>
      <c r="BN162" s="1">
        <v>46142</v>
      </c>
      <c r="BO162">
        <v>0</v>
      </c>
      <c r="BP162">
        <v>31241</v>
      </c>
      <c r="BQ162" t="s">
        <v>156</v>
      </c>
      <c r="BR162" s="3">
        <v>136016.66</v>
      </c>
      <c r="BS162" s="3">
        <v>12084</v>
      </c>
      <c r="BT162">
        <v>0</v>
      </c>
      <c r="BU162" s="3">
        <v>148100.66</v>
      </c>
      <c r="BV162" s="3">
        <v>255133</v>
      </c>
      <c r="BX162">
        <v>0</v>
      </c>
      <c r="BZ162">
        <v>0</v>
      </c>
      <c r="CA162">
        <v>0</v>
      </c>
      <c r="CB162">
        <v>0</v>
      </c>
      <c r="CC162" s="3">
        <v>255133</v>
      </c>
      <c r="CD162" s="5">
        <v>0</v>
      </c>
      <c r="CF162" s="6">
        <v>46113</v>
      </c>
      <c r="CH162">
        <v>0</v>
      </c>
      <c r="CI162">
        <v>0</v>
      </c>
      <c r="CJ162">
        <v>0</v>
      </c>
      <c r="CK162">
        <v>0</v>
      </c>
      <c r="CL162">
        <v>0</v>
      </c>
      <c r="CM162">
        <v>0</v>
      </c>
      <c r="CN162">
        <v>0</v>
      </c>
      <c r="CO162">
        <v>0</v>
      </c>
      <c r="CP162">
        <v>0</v>
      </c>
      <c r="CQ162">
        <v>0</v>
      </c>
      <c r="CR162">
        <v>0</v>
      </c>
      <c r="CS162" t="s">
        <v>649</v>
      </c>
      <c r="CT162" t="s">
        <v>190</v>
      </c>
      <c r="CU162" t="s">
        <v>1394</v>
      </c>
      <c r="CW162">
        <v>-49.627699999999997</v>
      </c>
      <c r="CZ162" s="1">
        <v>46135</v>
      </c>
      <c r="DA162" t="s">
        <v>172</v>
      </c>
      <c r="DB162" t="s">
        <v>172</v>
      </c>
      <c r="DC162" t="s">
        <v>172</v>
      </c>
      <c r="DD162" t="s">
        <v>172</v>
      </c>
      <c r="DG162" s="1">
        <v>46135</v>
      </c>
      <c r="DH162">
        <v>0</v>
      </c>
      <c r="DI162">
        <v>0</v>
      </c>
      <c r="DJ162" s="1">
        <v>46142</v>
      </c>
      <c r="DL162" t="s">
        <v>200</v>
      </c>
      <c r="DM162" t="s">
        <v>172</v>
      </c>
      <c r="DN162" t="s">
        <v>525</v>
      </c>
      <c r="DV162" s="3">
        <v>255133</v>
      </c>
      <c r="DW162">
        <v>0</v>
      </c>
      <c r="DX162" s="3">
        <v>255133</v>
      </c>
      <c r="DY162">
        <v>0</v>
      </c>
      <c r="EF162" s="1">
        <v>46141</v>
      </c>
      <c r="EG162" s="1">
        <v>46139</v>
      </c>
      <c r="EK162" s="1">
        <v>46141</v>
      </c>
      <c r="EL162" s="1">
        <v>46141</v>
      </c>
      <c r="EM162" s="1">
        <v>46141</v>
      </c>
      <c r="EN162" t="s">
        <v>156</v>
      </c>
      <c r="EP162" s="1">
        <v>46140</v>
      </c>
      <c r="EQ162" s="1">
        <v>46141</v>
      </c>
      <c r="ER162" s="1">
        <v>46139</v>
      </c>
      <c r="ES162" t="s">
        <v>1398</v>
      </c>
      <c r="EV162" s="1">
        <v>46141</v>
      </c>
    </row>
    <row r="163" spans="1:153" x14ac:dyDescent="0.35">
      <c r="A163" t="str">
        <f>HYPERLINK("https://7lm.cvcrm.com.br/gestor/comercial/reservas/6997/administrar","6997")</f>
        <v>6997</v>
      </c>
      <c r="B163" t="s">
        <v>156</v>
      </c>
      <c r="C163" s="1">
        <v>46135</v>
      </c>
      <c r="D163" s="2">
        <v>0.73655092592592597</v>
      </c>
      <c r="E163" t="s">
        <v>294</v>
      </c>
      <c r="F163" t="s">
        <v>158</v>
      </c>
      <c r="G163" t="s">
        <v>159</v>
      </c>
      <c r="H163" t="s">
        <v>160</v>
      </c>
      <c r="I163">
        <v>207</v>
      </c>
      <c r="J163">
        <v>1</v>
      </c>
      <c r="K163">
        <v>8380</v>
      </c>
      <c r="L163">
        <v>10001</v>
      </c>
      <c r="M163" t="s">
        <v>1399</v>
      </c>
      <c r="N163" s="1">
        <v>46141</v>
      </c>
      <c r="O163" s="2">
        <v>0.3633912037037037</v>
      </c>
      <c r="Q163">
        <v>9907</v>
      </c>
      <c r="R163" t="str">
        <f>HYPERLINK("https://7lm.cvcrm.com.br/gestor/relatorios/associado/html?q[1|r.idreserva]=6997","KAROLINE CRISTINE ARAUJO NOGUEIRA")</f>
        <v>KAROLINE CRISTINE ARAUJO NOGUEIRA</v>
      </c>
      <c r="S163">
        <v>72042796115</v>
      </c>
      <c r="T163">
        <v>5561992847180</v>
      </c>
      <c r="U163">
        <v>5561992847180</v>
      </c>
      <c r="V163" t="s">
        <v>1400</v>
      </c>
      <c r="W163" t="s">
        <v>187</v>
      </c>
      <c r="X163" t="s">
        <v>1401</v>
      </c>
      <c r="Y163" t="s">
        <v>165</v>
      </c>
      <c r="Z163" t="s">
        <v>385</v>
      </c>
      <c r="AA163" t="s">
        <v>783</v>
      </c>
      <c r="AB163" t="s">
        <v>1402</v>
      </c>
      <c r="AC163" t="s">
        <v>177</v>
      </c>
      <c r="AF163" t="s">
        <v>170</v>
      </c>
      <c r="AG163" t="s">
        <v>284</v>
      </c>
      <c r="AH163" s="3">
        <v>350000</v>
      </c>
      <c r="AI163" s="3">
        <v>350000</v>
      </c>
      <c r="AJ163" s="1">
        <v>46173</v>
      </c>
      <c r="AN163" t="s">
        <v>172</v>
      </c>
      <c r="AT163" t="s">
        <v>196</v>
      </c>
      <c r="AU163" t="s">
        <v>1403</v>
      </c>
      <c r="AW163">
        <v>0</v>
      </c>
      <c r="AX163" s="1">
        <v>46141</v>
      </c>
      <c r="AY163" s="2">
        <v>0.45280092592592591</v>
      </c>
      <c r="AZ163">
        <v>203962</v>
      </c>
      <c r="BA163" s="1">
        <v>46135</v>
      </c>
      <c r="BC163" t="s">
        <v>175</v>
      </c>
      <c r="BD163" s="1">
        <v>46135</v>
      </c>
      <c r="BE163" t="s">
        <v>817</v>
      </c>
      <c r="BL163" s="4">
        <v>0</v>
      </c>
      <c r="BM163" s="1">
        <v>46387</v>
      </c>
      <c r="BN163" s="1">
        <v>46141</v>
      </c>
      <c r="BO163">
        <v>0</v>
      </c>
      <c r="BP163">
        <v>31454</v>
      </c>
      <c r="BQ163" t="s">
        <v>156</v>
      </c>
      <c r="BR163">
        <v>0</v>
      </c>
      <c r="BS163">
        <v>0</v>
      </c>
      <c r="BT163">
        <v>0</v>
      </c>
      <c r="BU163">
        <v>0</v>
      </c>
      <c r="BV163" s="3">
        <v>350000</v>
      </c>
      <c r="BX163">
        <v>0</v>
      </c>
      <c r="BZ163">
        <v>0</v>
      </c>
      <c r="CA163">
        <v>0</v>
      </c>
      <c r="CB163">
        <v>0</v>
      </c>
      <c r="CC163" s="3">
        <v>350000</v>
      </c>
      <c r="CD163" s="5">
        <v>0</v>
      </c>
      <c r="CF163" s="6">
        <v>46113</v>
      </c>
      <c r="CH163">
        <v>0</v>
      </c>
      <c r="CI163">
        <v>0</v>
      </c>
      <c r="CJ163">
        <v>0</v>
      </c>
      <c r="CK163">
        <v>0</v>
      </c>
      <c r="CL163">
        <v>0</v>
      </c>
      <c r="CM163">
        <v>0</v>
      </c>
      <c r="CN163">
        <v>0</v>
      </c>
      <c r="CO163">
        <v>0</v>
      </c>
      <c r="CP163">
        <v>0</v>
      </c>
      <c r="CQ163">
        <v>0</v>
      </c>
      <c r="CR163">
        <v>0</v>
      </c>
      <c r="CS163" t="s">
        <v>649</v>
      </c>
      <c r="CT163" t="s">
        <v>178</v>
      </c>
      <c r="CU163">
        <v>207</v>
      </c>
      <c r="CW163">
        <v>-64.2483</v>
      </c>
      <c r="CZ163" s="1">
        <v>46135</v>
      </c>
      <c r="DA163" t="s">
        <v>172</v>
      </c>
      <c r="DB163" t="s">
        <v>172</v>
      </c>
      <c r="DC163" t="s">
        <v>172</v>
      </c>
      <c r="DD163" t="s">
        <v>172</v>
      </c>
      <c r="DG163" s="1">
        <v>46135</v>
      </c>
      <c r="DH163">
        <v>0</v>
      </c>
      <c r="DI163">
        <v>0</v>
      </c>
      <c r="DJ163" s="1">
        <v>46141</v>
      </c>
      <c r="DK163" t="s">
        <v>179</v>
      </c>
      <c r="DM163" t="s">
        <v>172</v>
      </c>
      <c r="DN163" t="s">
        <v>553</v>
      </c>
      <c r="DU163" t="s">
        <v>734</v>
      </c>
      <c r="DV163" s="3">
        <v>628975</v>
      </c>
      <c r="DW163">
        <v>-64.25</v>
      </c>
      <c r="DX163" s="3">
        <v>628975</v>
      </c>
      <c r="DY163">
        <v>-64.25</v>
      </c>
    </row>
    <row r="164" spans="1:153" x14ac:dyDescent="0.35">
      <c r="A164" t="str">
        <f>HYPERLINK("https://7lm.cvcrm.com.br/gestor/comercial/reservas/6996/administrar","6996")</f>
        <v>6996</v>
      </c>
      <c r="B164" t="s">
        <v>172</v>
      </c>
      <c r="C164" s="1">
        <v>46135</v>
      </c>
      <c r="D164" s="2">
        <v>0.61682870370370368</v>
      </c>
      <c r="E164" t="s">
        <v>157</v>
      </c>
      <c r="F164" t="s">
        <v>202</v>
      </c>
      <c r="G164" t="s">
        <v>203</v>
      </c>
      <c r="H164" t="s">
        <v>528</v>
      </c>
      <c r="I164" t="s">
        <v>1404</v>
      </c>
      <c r="J164">
        <v>1</v>
      </c>
      <c r="K164">
        <v>3773</v>
      </c>
      <c r="L164">
        <v>20031</v>
      </c>
      <c r="M164" t="s">
        <v>1405</v>
      </c>
      <c r="R164" t="str">
        <f>HYPERLINK("https://7lm.cvcrm.com.br/gestor/relatorios/associado/html?q[1|r.idreserva]=6996","GLICENILMA SANTOS DE SOUSA")</f>
        <v>GLICENILMA SANTOS DE SOUSA</v>
      </c>
      <c r="S164">
        <v>85439991115</v>
      </c>
      <c r="T164">
        <v>5561981884589</v>
      </c>
      <c r="V164" t="s">
        <v>1406</v>
      </c>
      <c r="W164" t="s">
        <v>187</v>
      </c>
      <c r="X164" t="s">
        <v>1407</v>
      </c>
      <c r="Y164" t="s">
        <v>165</v>
      </c>
      <c r="Z164" t="s">
        <v>166</v>
      </c>
      <c r="AA164" t="s">
        <v>167</v>
      </c>
      <c r="AB164" t="s">
        <v>1408</v>
      </c>
      <c r="AC164" t="s">
        <v>785</v>
      </c>
      <c r="AD164" t="s">
        <v>785</v>
      </c>
      <c r="AF164" t="s">
        <v>634</v>
      </c>
      <c r="AG164" t="s">
        <v>195</v>
      </c>
      <c r="AH164" s="3">
        <v>220568.99</v>
      </c>
      <c r="AI164" s="3">
        <v>220568.99</v>
      </c>
      <c r="AJ164" s="1">
        <v>46135</v>
      </c>
      <c r="AN164" t="s">
        <v>172</v>
      </c>
      <c r="AR164" t="s">
        <v>1409</v>
      </c>
      <c r="AT164" t="s">
        <v>261</v>
      </c>
      <c r="AU164" t="s">
        <v>316</v>
      </c>
      <c r="AW164">
        <v>0</v>
      </c>
      <c r="AX164" s="1">
        <v>46135</v>
      </c>
      <c r="AY164" s="2">
        <v>0.61682870370370368</v>
      </c>
      <c r="AZ164">
        <v>65393</v>
      </c>
      <c r="BA164" s="1">
        <v>44501</v>
      </c>
      <c r="BB164" s="1">
        <v>45785</v>
      </c>
      <c r="BC164" t="s">
        <v>275</v>
      </c>
      <c r="BD164" s="1">
        <v>46120</v>
      </c>
      <c r="BE164" t="s">
        <v>176</v>
      </c>
      <c r="BL164" s="4">
        <v>0</v>
      </c>
      <c r="BM164" s="1">
        <v>46808</v>
      </c>
      <c r="BO164">
        <v>0</v>
      </c>
      <c r="BP164">
        <v>30672</v>
      </c>
      <c r="BQ164" t="s">
        <v>156</v>
      </c>
      <c r="BR164" s="3">
        <v>156169.37</v>
      </c>
      <c r="BS164" s="3">
        <v>13457</v>
      </c>
      <c r="BT164">
        <v>0</v>
      </c>
      <c r="BU164" s="3">
        <v>169626.37</v>
      </c>
      <c r="BV164" s="3">
        <v>220568.99</v>
      </c>
      <c r="BX164">
        <v>0</v>
      </c>
      <c r="BZ164">
        <v>0</v>
      </c>
      <c r="CA164">
        <v>0</v>
      </c>
      <c r="CB164">
        <v>0</v>
      </c>
      <c r="CC164" s="3">
        <v>220568.99</v>
      </c>
      <c r="CD164" s="5">
        <v>0</v>
      </c>
      <c r="CF164" s="6">
        <v>46143</v>
      </c>
      <c r="CH164">
        <v>0</v>
      </c>
      <c r="CI164">
        <v>0</v>
      </c>
      <c r="CJ164">
        <v>0</v>
      </c>
      <c r="CK164">
        <v>0</v>
      </c>
      <c r="CL164">
        <v>0</v>
      </c>
      <c r="CM164">
        <v>0</v>
      </c>
      <c r="CN164">
        <v>0</v>
      </c>
      <c r="CO164">
        <v>0</v>
      </c>
      <c r="CP164">
        <v>0</v>
      </c>
      <c r="CQ164">
        <v>0</v>
      </c>
      <c r="CR164">
        <v>0</v>
      </c>
      <c r="CT164" t="s">
        <v>214</v>
      </c>
      <c r="CU164" t="s">
        <v>1404</v>
      </c>
      <c r="CW164">
        <v>0</v>
      </c>
      <c r="CZ164" s="1">
        <v>46135</v>
      </c>
      <c r="DA164" t="s">
        <v>172</v>
      </c>
      <c r="DB164" t="s">
        <v>172</v>
      </c>
      <c r="DC164" t="s">
        <v>172</v>
      </c>
      <c r="DD164" t="s">
        <v>172</v>
      </c>
      <c r="DG164" s="1">
        <v>46135</v>
      </c>
      <c r="DH164">
        <v>0</v>
      </c>
      <c r="DI164">
        <v>0</v>
      </c>
      <c r="DL164" t="s">
        <v>224</v>
      </c>
      <c r="DM164" t="s">
        <v>172</v>
      </c>
      <c r="DN164" t="s">
        <v>525</v>
      </c>
      <c r="DV164" s="3">
        <v>220568.99</v>
      </c>
      <c r="DW164">
        <v>0</v>
      </c>
      <c r="DX164" s="3">
        <v>220568.99</v>
      </c>
      <c r="DY164">
        <v>0</v>
      </c>
      <c r="EM164" s="1">
        <v>46141</v>
      </c>
      <c r="EN164" t="s">
        <v>172</v>
      </c>
      <c r="EP164" s="1">
        <v>46140</v>
      </c>
      <c r="EW164" s="1">
        <v>46135</v>
      </c>
    </row>
    <row r="165" spans="1:153" ht="246.5" x14ac:dyDescent="0.35">
      <c r="A165" t="str">
        <f>HYPERLINK("https://7lm.cvcrm.com.br/gestor/comercial/reservas/6995/administrar","6995")</f>
        <v>6995</v>
      </c>
      <c r="B165" t="s">
        <v>156</v>
      </c>
      <c r="C165" s="1">
        <v>46135</v>
      </c>
      <c r="D165" s="2">
        <v>0.61166666666666669</v>
      </c>
      <c r="E165" t="s">
        <v>294</v>
      </c>
      <c r="F165" t="s">
        <v>182</v>
      </c>
      <c r="G165" t="s">
        <v>159</v>
      </c>
      <c r="H165" t="s">
        <v>704</v>
      </c>
      <c r="I165" t="s">
        <v>1410</v>
      </c>
      <c r="J165">
        <v>1</v>
      </c>
      <c r="K165">
        <v>8376</v>
      </c>
      <c r="L165">
        <v>30151</v>
      </c>
      <c r="M165" t="s">
        <v>1411</v>
      </c>
      <c r="N165" s="1">
        <v>46140</v>
      </c>
      <c r="O165" s="2">
        <v>0.68157407407407411</v>
      </c>
      <c r="R165" t="str">
        <f>HYPERLINK("https://7lm.cvcrm.com.br/gestor/relatorios/associado/html?q[1|r.idreserva]=6995","JOAO BOSCO ALEXANDRE DA SILVA")</f>
        <v>JOAO BOSCO ALEXANDRE DA SILVA</v>
      </c>
      <c r="S165">
        <v>5213299148</v>
      </c>
      <c r="T165">
        <v>5561981836106</v>
      </c>
      <c r="U165">
        <v>5561998830913</v>
      </c>
      <c r="V165" t="s">
        <v>1412</v>
      </c>
      <c r="W165" t="s">
        <v>163</v>
      </c>
      <c r="X165" t="s">
        <v>376</v>
      </c>
      <c r="Y165" t="s">
        <v>189</v>
      </c>
      <c r="Z165" t="s">
        <v>190</v>
      </c>
      <c r="AA165" t="s">
        <v>1413</v>
      </c>
      <c r="AB165" t="s">
        <v>1414</v>
      </c>
      <c r="AC165" t="s">
        <v>435</v>
      </c>
      <c r="AD165" t="s">
        <v>435</v>
      </c>
      <c r="AF165" t="s">
        <v>352</v>
      </c>
      <c r="AG165" t="s">
        <v>251</v>
      </c>
      <c r="AH165" s="3">
        <v>240656.19</v>
      </c>
      <c r="AI165" s="3">
        <v>240656.19</v>
      </c>
      <c r="AJ165" s="1">
        <v>46196</v>
      </c>
      <c r="AN165" t="s">
        <v>172</v>
      </c>
      <c r="AR165" s="7" t="s">
        <v>353</v>
      </c>
      <c r="AT165" t="s">
        <v>261</v>
      </c>
      <c r="AU165" t="s">
        <v>262</v>
      </c>
      <c r="AW165">
        <v>0</v>
      </c>
      <c r="AX165" s="1">
        <v>46141</v>
      </c>
      <c r="AY165" s="2">
        <v>0.44194444444444442</v>
      </c>
      <c r="AZ165">
        <v>203650</v>
      </c>
      <c r="BA165" s="1">
        <v>46134</v>
      </c>
      <c r="BC165" t="s">
        <v>0</v>
      </c>
      <c r="BD165" s="1">
        <v>46135</v>
      </c>
      <c r="BE165" t="s">
        <v>262</v>
      </c>
      <c r="BL165" s="4">
        <v>0</v>
      </c>
      <c r="BM165" s="1">
        <v>46899</v>
      </c>
      <c r="BN165" s="1">
        <v>46141</v>
      </c>
      <c r="BO165">
        <v>0</v>
      </c>
      <c r="BP165">
        <v>31340</v>
      </c>
      <c r="BQ165" t="s">
        <v>156</v>
      </c>
      <c r="BR165" s="3">
        <v>137185.82999999999</v>
      </c>
      <c r="BS165" s="3">
        <v>20657</v>
      </c>
      <c r="BT165">
        <v>0</v>
      </c>
      <c r="BU165" s="3">
        <v>157842.82999999999</v>
      </c>
      <c r="BV165" s="3">
        <v>240656.19</v>
      </c>
      <c r="BX165">
        <v>0</v>
      </c>
      <c r="BZ165">
        <v>0</v>
      </c>
      <c r="CA165">
        <v>0</v>
      </c>
      <c r="CB165">
        <v>0</v>
      </c>
      <c r="CC165" s="3">
        <v>240656.19</v>
      </c>
      <c r="CD165" s="5">
        <v>0</v>
      </c>
      <c r="CF165" s="6">
        <v>46113</v>
      </c>
      <c r="CH165">
        <v>0</v>
      </c>
      <c r="CI165">
        <v>0</v>
      </c>
      <c r="CJ165">
        <v>0</v>
      </c>
      <c r="CK165">
        <v>0</v>
      </c>
      <c r="CL165">
        <v>0</v>
      </c>
      <c r="CM165">
        <v>0</v>
      </c>
      <c r="CN165">
        <v>0</v>
      </c>
      <c r="CO165">
        <v>0</v>
      </c>
      <c r="CP165">
        <v>0</v>
      </c>
      <c r="CQ165">
        <v>0</v>
      </c>
      <c r="CR165">
        <v>0</v>
      </c>
      <c r="CS165" t="s">
        <v>360</v>
      </c>
      <c r="CT165" t="s">
        <v>190</v>
      </c>
      <c r="CU165" t="s">
        <v>1410</v>
      </c>
      <c r="CW165">
        <v>-50.593400000000003</v>
      </c>
      <c r="CZ165" s="1">
        <v>46135</v>
      </c>
      <c r="DA165" t="s">
        <v>172</v>
      </c>
      <c r="DB165" t="s">
        <v>172</v>
      </c>
      <c r="DC165" t="s">
        <v>172</v>
      </c>
      <c r="DD165" t="s">
        <v>172</v>
      </c>
      <c r="DG165" s="1">
        <v>46135</v>
      </c>
      <c r="DH165">
        <v>0</v>
      </c>
      <c r="DI165">
        <v>0</v>
      </c>
      <c r="DJ165" s="1">
        <v>46141</v>
      </c>
      <c r="DK165" t="s">
        <v>179</v>
      </c>
      <c r="DL165" t="s">
        <v>200</v>
      </c>
      <c r="DM165" t="s">
        <v>172</v>
      </c>
      <c r="DN165" t="s">
        <v>201</v>
      </c>
      <c r="DV165" s="3">
        <v>240656.19</v>
      </c>
      <c r="DW165">
        <v>0</v>
      </c>
      <c r="DX165" s="3">
        <v>240656.19</v>
      </c>
      <c r="DY165">
        <v>0</v>
      </c>
      <c r="EG165" s="1">
        <v>46136</v>
      </c>
      <c r="EH165" s="1">
        <v>46136</v>
      </c>
      <c r="EN165" t="s">
        <v>156</v>
      </c>
      <c r="EP165" s="1">
        <v>46139</v>
      </c>
      <c r="ER165" s="1">
        <v>46136</v>
      </c>
      <c r="ES165" t="s">
        <v>1415</v>
      </c>
      <c r="EU165" s="1">
        <v>46138</v>
      </c>
    </row>
    <row r="166" spans="1:153" ht="409.5" x14ac:dyDescent="0.35">
      <c r="A166" t="str">
        <f>HYPERLINK("https://7lm.cvcrm.com.br/gestor/comercial/reservas/6994/administrar","6994")</f>
        <v>6994</v>
      </c>
      <c r="B166" t="s">
        <v>172</v>
      </c>
      <c r="C166" s="1">
        <v>46135</v>
      </c>
      <c r="D166" s="2">
        <v>0.52240740740740743</v>
      </c>
      <c r="E166" t="s">
        <v>527</v>
      </c>
      <c r="F166" t="s">
        <v>202</v>
      </c>
      <c r="G166" t="s">
        <v>203</v>
      </c>
      <c r="H166" t="s">
        <v>404</v>
      </c>
      <c r="I166" t="s">
        <v>593</v>
      </c>
      <c r="J166">
        <v>1</v>
      </c>
      <c r="L166">
        <v>20031</v>
      </c>
      <c r="M166" t="s">
        <v>883</v>
      </c>
      <c r="R166" t="str">
        <f>HYPERLINK("https://7lm.cvcrm.com.br/gestor/relatorios/associado/html?q[1|r.idreserva]=6994","DELIMARQ RODRIGUES DA CONCEICAO DOS SANTOS")</f>
        <v>DELIMARQ RODRIGUES DA CONCEICAO DOS SANTOS</v>
      </c>
      <c r="S166">
        <v>6825776185</v>
      </c>
      <c r="T166">
        <v>5561981206073</v>
      </c>
      <c r="V166" t="s">
        <v>1416</v>
      </c>
      <c r="W166" t="s">
        <v>163</v>
      </c>
      <c r="X166" t="s">
        <v>1417</v>
      </c>
      <c r="Y166" t="s">
        <v>165</v>
      </c>
      <c r="Z166" t="s">
        <v>565</v>
      </c>
      <c r="AA166" t="s">
        <v>1418</v>
      </c>
      <c r="AB166" t="s">
        <v>1419</v>
      </c>
      <c r="AC166" t="s">
        <v>568</v>
      </c>
      <c r="AF166" t="s">
        <v>389</v>
      </c>
      <c r="AG166" t="s">
        <v>195</v>
      </c>
      <c r="AH166" s="3">
        <v>232398</v>
      </c>
      <c r="AI166" s="3">
        <v>232398</v>
      </c>
      <c r="AJ166" s="1">
        <v>46500</v>
      </c>
      <c r="AN166" t="s">
        <v>172</v>
      </c>
      <c r="AO166" t="s">
        <v>966</v>
      </c>
      <c r="AR166" s="7" t="s">
        <v>1420</v>
      </c>
      <c r="AT166" t="s">
        <v>400</v>
      </c>
      <c r="AU166" t="s">
        <v>292</v>
      </c>
      <c r="AW166">
        <v>0</v>
      </c>
      <c r="AX166" s="1">
        <v>46153</v>
      </c>
      <c r="AY166" s="2">
        <v>0.57322916666666668</v>
      </c>
      <c r="AZ166">
        <v>203761</v>
      </c>
      <c r="BA166" s="1">
        <v>46134</v>
      </c>
      <c r="BC166" t="s">
        <v>0</v>
      </c>
      <c r="BD166" s="1">
        <v>46135</v>
      </c>
      <c r="BE166" t="s">
        <v>1421</v>
      </c>
      <c r="BL166" s="4">
        <v>0</v>
      </c>
      <c r="BM166" s="1">
        <v>46808</v>
      </c>
      <c r="BO166">
        <v>0</v>
      </c>
      <c r="BP166">
        <v>31389</v>
      </c>
      <c r="BQ166" t="s">
        <v>156</v>
      </c>
      <c r="BR166" s="3">
        <v>3507.9</v>
      </c>
      <c r="BS166" s="3">
        <v>2554</v>
      </c>
      <c r="BT166">
        <v>0</v>
      </c>
      <c r="BU166" s="3">
        <v>6061.9</v>
      </c>
      <c r="BV166" s="3">
        <v>232398</v>
      </c>
      <c r="BX166">
        <v>0</v>
      </c>
      <c r="BZ166">
        <v>0</v>
      </c>
      <c r="CA166">
        <v>0</v>
      </c>
      <c r="CB166">
        <v>0</v>
      </c>
      <c r="CC166" s="3">
        <v>232398</v>
      </c>
      <c r="CD166" s="5">
        <v>0</v>
      </c>
      <c r="CF166" s="6">
        <v>46143</v>
      </c>
      <c r="CH166">
        <v>0</v>
      </c>
      <c r="CI166">
        <v>0</v>
      </c>
      <c r="CJ166">
        <v>0</v>
      </c>
      <c r="CK166">
        <v>0</v>
      </c>
      <c r="CL166">
        <v>0</v>
      </c>
      <c r="CM166">
        <v>0</v>
      </c>
      <c r="CN166">
        <v>0</v>
      </c>
      <c r="CO166">
        <v>0</v>
      </c>
      <c r="CP166">
        <v>0</v>
      </c>
      <c r="CQ166">
        <v>0</v>
      </c>
      <c r="CR166">
        <v>0</v>
      </c>
      <c r="CT166" t="s">
        <v>214</v>
      </c>
      <c r="CU166" t="s">
        <v>593</v>
      </c>
      <c r="CW166">
        <v>0</v>
      </c>
      <c r="CZ166" s="1">
        <v>46135</v>
      </c>
      <c r="DA166" t="s">
        <v>172</v>
      </c>
      <c r="DB166" t="s">
        <v>172</v>
      </c>
      <c r="DC166" t="s">
        <v>172</v>
      </c>
      <c r="DD166" t="s">
        <v>172</v>
      </c>
      <c r="DG166" s="1">
        <v>46135</v>
      </c>
      <c r="DH166">
        <v>0</v>
      </c>
      <c r="DI166">
        <v>0</v>
      </c>
      <c r="DL166" t="s">
        <v>215</v>
      </c>
      <c r="DM166" t="s">
        <v>172</v>
      </c>
      <c r="DN166" t="s">
        <v>525</v>
      </c>
      <c r="DV166" s="3">
        <v>232398</v>
      </c>
      <c r="DW166">
        <v>0</v>
      </c>
      <c r="DX166" s="3">
        <v>232398</v>
      </c>
      <c r="DY166">
        <v>0</v>
      </c>
      <c r="EN166" t="s">
        <v>537</v>
      </c>
      <c r="ET166" t="s">
        <v>1422</v>
      </c>
      <c r="EW166" s="1">
        <v>46135</v>
      </c>
    </row>
    <row r="167" spans="1:153" x14ac:dyDescent="0.35">
      <c r="A167" t="str">
        <f>HYPERLINK("https://7lm.cvcrm.com.br/gestor/comercial/reservas/6993/administrar","6993")</f>
        <v>6993</v>
      </c>
      <c r="B167" t="s">
        <v>172</v>
      </c>
      <c r="C167" s="1">
        <v>46135</v>
      </c>
      <c r="D167" s="2">
        <v>0.51049768518518523</v>
      </c>
      <c r="E167" t="s">
        <v>527</v>
      </c>
      <c r="F167" t="s">
        <v>957</v>
      </c>
      <c r="G167" t="s">
        <v>159</v>
      </c>
      <c r="H167" t="s">
        <v>704</v>
      </c>
      <c r="I167" t="s">
        <v>1423</v>
      </c>
      <c r="J167">
        <v>1</v>
      </c>
      <c r="K167">
        <v>8406</v>
      </c>
      <c r="L167">
        <v>30121</v>
      </c>
      <c r="M167" t="s">
        <v>1424</v>
      </c>
      <c r="R167" t="str">
        <f>HYPERLINK("https://7lm.cvcrm.com.br/gestor/relatorios/associado/html?q[1|r.idreserva]=6993","GUSTAVO CAMPOS VIANNA")</f>
        <v>GUSTAVO CAMPOS VIANNA</v>
      </c>
      <c r="S167">
        <v>5660707157</v>
      </c>
      <c r="T167">
        <v>5561998536653</v>
      </c>
      <c r="U167">
        <v>5561998026590</v>
      </c>
      <c r="V167" t="s">
        <v>1318</v>
      </c>
      <c r="W167" t="s">
        <v>163</v>
      </c>
      <c r="X167" t="s">
        <v>288</v>
      </c>
      <c r="Y167" t="s">
        <v>189</v>
      </c>
      <c r="Z167" t="s">
        <v>190</v>
      </c>
      <c r="AA167" t="s">
        <v>367</v>
      </c>
      <c r="AB167" t="s">
        <v>1319</v>
      </c>
      <c r="AC167" t="s">
        <v>665</v>
      </c>
      <c r="AD167" t="s">
        <v>665</v>
      </c>
      <c r="AF167" t="s">
        <v>250</v>
      </c>
      <c r="AG167" t="s">
        <v>251</v>
      </c>
      <c r="AH167" s="3">
        <v>254000.32</v>
      </c>
      <c r="AI167" s="3">
        <v>254000.32</v>
      </c>
      <c r="AJ167" s="1">
        <v>46153</v>
      </c>
      <c r="AN167" t="s">
        <v>172</v>
      </c>
      <c r="AO167" t="s">
        <v>725</v>
      </c>
      <c r="AP167" t="s">
        <v>1425</v>
      </c>
      <c r="AT167" t="s">
        <v>400</v>
      </c>
      <c r="AU167" t="s">
        <v>175</v>
      </c>
      <c r="AW167">
        <v>0</v>
      </c>
      <c r="AX167" s="1">
        <v>46135</v>
      </c>
      <c r="AY167" s="2">
        <v>0.67090277777777774</v>
      </c>
      <c r="AZ167">
        <v>87405</v>
      </c>
      <c r="BA167" s="1">
        <v>45054</v>
      </c>
      <c r="BC167" t="s">
        <v>176</v>
      </c>
      <c r="BD167" s="1">
        <v>45054</v>
      </c>
      <c r="BE167" t="s">
        <v>427</v>
      </c>
      <c r="BL167" s="4">
        <v>0</v>
      </c>
      <c r="BM167" s="1">
        <v>47031</v>
      </c>
      <c r="BO167">
        <v>0</v>
      </c>
      <c r="BP167">
        <v>31210</v>
      </c>
      <c r="BQ167" t="s">
        <v>156</v>
      </c>
      <c r="BR167">
        <v>0</v>
      </c>
      <c r="BS167">
        <v>0</v>
      </c>
      <c r="BT167">
        <v>0</v>
      </c>
      <c r="BU167">
        <v>0</v>
      </c>
      <c r="BV167" s="3">
        <v>254000.32</v>
      </c>
      <c r="BX167">
        <v>0</v>
      </c>
      <c r="BZ167">
        <v>0</v>
      </c>
      <c r="CA167">
        <v>0</v>
      </c>
      <c r="CB167">
        <v>0</v>
      </c>
      <c r="CC167" s="3">
        <v>254000.32</v>
      </c>
      <c r="CD167" s="5">
        <v>0</v>
      </c>
      <c r="CF167" s="6">
        <v>46113</v>
      </c>
      <c r="CH167">
        <v>0</v>
      </c>
      <c r="CI167">
        <v>0</v>
      </c>
      <c r="CJ167">
        <v>0</v>
      </c>
      <c r="CK167">
        <v>0</v>
      </c>
      <c r="CL167">
        <v>0</v>
      </c>
      <c r="CM167">
        <v>0</v>
      </c>
      <c r="CN167">
        <v>0</v>
      </c>
      <c r="CO167">
        <v>0</v>
      </c>
      <c r="CP167">
        <v>0</v>
      </c>
      <c r="CQ167">
        <v>0</v>
      </c>
      <c r="CR167">
        <v>0</v>
      </c>
      <c r="CT167" t="s">
        <v>190</v>
      </c>
      <c r="CU167" t="s">
        <v>1423</v>
      </c>
      <c r="CW167">
        <v>0</v>
      </c>
      <c r="CZ167" s="1">
        <v>46135</v>
      </c>
      <c r="DA167" t="s">
        <v>172</v>
      </c>
      <c r="DB167" t="s">
        <v>172</v>
      </c>
      <c r="DC167" t="s">
        <v>172</v>
      </c>
      <c r="DD167" t="s">
        <v>172</v>
      </c>
      <c r="DG167" s="1">
        <v>46135</v>
      </c>
      <c r="DH167">
        <v>0</v>
      </c>
      <c r="DI167">
        <v>0</v>
      </c>
      <c r="DL167" t="s">
        <v>963</v>
      </c>
      <c r="DM167" t="s">
        <v>172</v>
      </c>
      <c r="DN167" t="s">
        <v>201</v>
      </c>
      <c r="DV167" s="3">
        <v>254000.32</v>
      </c>
      <c r="DW167">
        <v>0</v>
      </c>
      <c r="DX167" s="3">
        <v>254000.32</v>
      </c>
      <c r="DY167">
        <v>0</v>
      </c>
      <c r="EN167" t="s">
        <v>156</v>
      </c>
      <c r="EU167" s="1">
        <v>46137</v>
      </c>
      <c r="EW167" s="1">
        <v>46135</v>
      </c>
    </row>
    <row r="168" spans="1:153" ht="391.5" x14ac:dyDescent="0.35">
      <c r="A168" t="str">
        <f>HYPERLINK("https://7lm.cvcrm.com.br/gestor/comercial/reservas/6992/administrar","6992")</f>
        <v>6992</v>
      </c>
      <c r="B168" t="s">
        <v>156</v>
      </c>
      <c r="C168" s="1">
        <v>46135</v>
      </c>
      <c r="D168" s="2">
        <v>0.41745370370370372</v>
      </c>
      <c r="E168" t="s">
        <v>294</v>
      </c>
      <c r="F168" t="s">
        <v>295</v>
      </c>
      <c r="G168" t="s">
        <v>203</v>
      </c>
      <c r="H168" t="s">
        <v>336</v>
      </c>
      <c r="I168" t="s">
        <v>818</v>
      </c>
      <c r="J168">
        <v>1</v>
      </c>
      <c r="K168">
        <v>8364</v>
      </c>
      <c r="L168">
        <v>30031</v>
      </c>
      <c r="M168" t="s">
        <v>1426</v>
      </c>
      <c r="N168" s="1">
        <v>46140</v>
      </c>
      <c r="O168" s="2">
        <v>0.61763888888888885</v>
      </c>
      <c r="R168" t="str">
        <f>HYPERLINK("https://7lm.cvcrm.com.br/gestor/relatorios/associado/html?q[1|r.idreserva]=6992","VANESSA SOUSA DOS REIS")</f>
        <v>VANESSA SOUSA DOS REIS</v>
      </c>
      <c r="S168">
        <v>71514013100</v>
      </c>
      <c r="T168">
        <v>5561998072499</v>
      </c>
      <c r="U168">
        <v>556198548871</v>
      </c>
      <c r="V168" t="s">
        <v>1427</v>
      </c>
      <c r="W168" t="s">
        <v>187</v>
      </c>
      <c r="X168" t="s">
        <v>376</v>
      </c>
      <c r="Y168" t="s">
        <v>189</v>
      </c>
      <c r="Z168" t="s">
        <v>190</v>
      </c>
      <c r="AA168" t="s">
        <v>707</v>
      </c>
      <c r="AB168" t="s">
        <v>1428</v>
      </c>
      <c r="AC168" t="s">
        <v>435</v>
      </c>
      <c r="AD168" t="s">
        <v>435</v>
      </c>
      <c r="AF168" t="s">
        <v>352</v>
      </c>
      <c r="AG168" t="s">
        <v>251</v>
      </c>
      <c r="AH168" s="3">
        <v>245932.83</v>
      </c>
      <c r="AI168" s="3">
        <v>245932.83</v>
      </c>
      <c r="AJ168" s="1">
        <v>46142</v>
      </c>
      <c r="AN168" t="s">
        <v>172</v>
      </c>
      <c r="AR168" s="7" t="s">
        <v>1429</v>
      </c>
      <c r="AT168" t="s">
        <v>261</v>
      </c>
      <c r="AU168" t="s">
        <v>292</v>
      </c>
      <c r="AW168">
        <v>0</v>
      </c>
      <c r="AX168" s="1">
        <v>46141</v>
      </c>
      <c r="AY168" s="2">
        <v>0.42600694444444442</v>
      </c>
      <c r="AZ168">
        <v>201730</v>
      </c>
      <c r="BA168" s="1">
        <v>46128</v>
      </c>
      <c r="BC168" t="s">
        <v>176</v>
      </c>
      <c r="BD168" s="1">
        <v>46128</v>
      </c>
      <c r="BE168" t="s">
        <v>625</v>
      </c>
      <c r="BL168" s="4">
        <v>0</v>
      </c>
      <c r="BM168" s="1">
        <v>46604</v>
      </c>
      <c r="BN168" s="1">
        <v>46141</v>
      </c>
      <c r="BO168">
        <v>0</v>
      </c>
      <c r="BP168">
        <v>31111</v>
      </c>
      <c r="BQ168" t="s">
        <v>156</v>
      </c>
      <c r="BR168" s="3">
        <v>136096.22</v>
      </c>
      <c r="BS168" s="3">
        <v>21031</v>
      </c>
      <c r="BT168">
        <v>0</v>
      </c>
      <c r="BU168" s="3">
        <v>157127.22</v>
      </c>
      <c r="BV168" s="3">
        <v>245932.83</v>
      </c>
      <c r="BX168">
        <v>0</v>
      </c>
      <c r="BZ168">
        <v>0</v>
      </c>
      <c r="CA168">
        <v>0</v>
      </c>
      <c r="CB168">
        <v>0</v>
      </c>
      <c r="CC168" s="3">
        <v>245932.83</v>
      </c>
      <c r="CD168" s="5">
        <v>0</v>
      </c>
      <c r="CF168" s="6">
        <v>46113</v>
      </c>
      <c r="CH168">
        <v>0</v>
      </c>
      <c r="CI168">
        <v>0</v>
      </c>
      <c r="CJ168">
        <v>0</v>
      </c>
      <c r="CK168">
        <v>0</v>
      </c>
      <c r="CL168">
        <v>0</v>
      </c>
      <c r="CM168">
        <v>0</v>
      </c>
      <c r="CN168">
        <v>0</v>
      </c>
      <c r="CO168">
        <v>0</v>
      </c>
      <c r="CP168">
        <v>0</v>
      </c>
      <c r="CQ168">
        <v>0</v>
      </c>
      <c r="CR168">
        <v>0</v>
      </c>
      <c r="CS168" t="s">
        <v>360</v>
      </c>
      <c r="CT168" t="s">
        <v>190</v>
      </c>
      <c r="CU168" t="s">
        <v>818</v>
      </c>
      <c r="CW168">
        <v>-47.079799999999999</v>
      </c>
      <c r="CZ168" s="1">
        <v>46135</v>
      </c>
      <c r="DA168" t="s">
        <v>172</v>
      </c>
      <c r="DB168" t="s">
        <v>172</v>
      </c>
      <c r="DC168" t="s">
        <v>172</v>
      </c>
      <c r="DD168" t="s">
        <v>172</v>
      </c>
      <c r="DG168" s="1">
        <v>46135</v>
      </c>
      <c r="DH168">
        <v>0</v>
      </c>
      <c r="DI168">
        <v>0</v>
      </c>
      <c r="DJ168" s="1">
        <v>46140</v>
      </c>
      <c r="DL168" t="s">
        <v>200</v>
      </c>
      <c r="DM168" t="s">
        <v>172</v>
      </c>
      <c r="DN168" t="s">
        <v>201</v>
      </c>
      <c r="DV168" s="3">
        <v>245932.83</v>
      </c>
      <c r="DW168">
        <v>0</v>
      </c>
      <c r="DX168" s="3">
        <v>245932.83</v>
      </c>
      <c r="DY168">
        <v>0</v>
      </c>
      <c r="EG168" s="1">
        <v>46136</v>
      </c>
      <c r="EM168" s="1">
        <v>46140</v>
      </c>
      <c r="EN168" t="s">
        <v>156</v>
      </c>
      <c r="EP168" s="1">
        <v>46139</v>
      </c>
      <c r="ER168" s="1">
        <v>46139</v>
      </c>
      <c r="ES168" t="s">
        <v>1430</v>
      </c>
      <c r="EU168" s="1">
        <v>46138</v>
      </c>
    </row>
    <row r="169" spans="1:153" ht="246.5" x14ac:dyDescent="0.35">
      <c r="A169" t="str">
        <f>HYPERLINK("https://7lm.cvcrm.com.br/gestor/comercial/reservas/6991/administrar","6991")</f>
        <v>6991</v>
      </c>
      <c r="B169" t="s">
        <v>156</v>
      </c>
      <c r="C169" s="1">
        <v>46134</v>
      </c>
      <c r="D169" s="2">
        <v>0.78665509259259259</v>
      </c>
      <c r="E169" t="s">
        <v>294</v>
      </c>
      <c r="F169" t="s">
        <v>458</v>
      </c>
      <c r="G169" t="s">
        <v>203</v>
      </c>
      <c r="H169" t="s">
        <v>1431</v>
      </c>
      <c r="I169" t="s">
        <v>1432</v>
      </c>
      <c r="J169">
        <v>1</v>
      </c>
      <c r="K169">
        <v>8375</v>
      </c>
      <c r="L169">
        <v>20001</v>
      </c>
      <c r="M169" t="s">
        <v>1433</v>
      </c>
      <c r="N169" s="1">
        <v>46140</v>
      </c>
      <c r="O169" s="2">
        <v>0.30957175925925928</v>
      </c>
      <c r="R169" t="str">
        <f>HYPERLINK("https://7lm.cvcrm.com.br/gestor/relatorios/associado/html?q[1|r.idreserva]=6991","RYAN FELIPE FERREIRA DA CRUZ")</f>
        <v>RYAN FELIPE FERREIRA DA CRUZ</v>
      </c>
      <c r="S169">
        <v>9309762152</v>
      </c>
      <c r="T169">
        <v>5561991595620</v>
      </c>
      <c r="U169">
        <v>5561991579484</v>
      </c>
      <c r="V169" t="s">
        <v>1434</v>
      </c>
      <c r="W169" t="s">
        <v>163</v>
      </c>
      <c r="X169" t="s">
        <v>1435</v>
      </c>
      <c r="Y169" t="s">
        <v>189</v>
      </c>
      <c r="Z169" t="s">
        <v>214</v>
      </c>
      <c r="AA169" t="s">
        <v>1436</v>
      </c>
      <c r="AB169" t="s">
        <v>1437</v>
      </c>
      <c r="AC169" t="s">
        <v>785</v>
      </c>
      <c r="AD169" t="s">
        <v>785</v>
      </c>
      <c r="AF169" t="s">
        <v>634</v>
      </c>
      <c r="AG169" t="s">
        <v>195</v>
      </c>
      <c r="AH169" s="3">
        <v>242499.64</v>
      </c>
      <c r="AI169" s="3">
        <v>242499.64</v>
      </c>
      <c r="AJ169" s="1">
        <v>46134</v>
      </c>
      <c r="AN169" t="s">
        <v>172</v>
      </c>
      <c r="AR169" s="7" t="s">
        <v>353</v>
      </c>
      <c r="AT169" t="s">
        <v>261</v>
      </c>
      <c r="AU169" t="s">
        <v>316</v>
      </c>
      <c r="AW169">
        <v>0</v>
      </c>
      <c r="AX169" s="1">
        <v>46141</v>
      </c>
      <c r="AY169" s="2">
        <v>0.40777777777777779</v>
      </c>
      <c r="AZ169">
        <v>116374</v>
      </c>
      <c r="BA169" s="1">
        <v>45413</v>
      </c>
      <c r="BC169" t="s">
        <v>0</v>
      </c>
      <c r="BD169" s="1">
        <v>46134</v>
      </c>
      <c r="BE169" t="s">
        <v>317</v>
      </c>
      <c r="BL169" s="4">
        <v>0</v>
      </c>
      <c r="BM169" s="1">
        <v>46572</v>
      </c>
      <c r="BN169" s="1">
        <v>46141</v>
      </c>
      <c r="BO169">
        <v>0</v>
      </c>
      <c r="BP169">
        <v>31085</v>
      </c>
      <c r="BQ169" t="s">
        <v>156</v>
      </c>
      <c r="BR169" s="3">
        <v>137988.84</v>
      </c>
      <c r="BS169" s="3">
        <v>26871</v>
      </c>
      <c r="BT169">
        <v>0</v>
      </c>
      <c r="BU169" s="3">
        <v>164859.84</v>
      </c>
      <c r="BV169" s="3">
        <v>242499.64</v>
      </c>
      <c r="BX169">
        <v>0</v>
      </c>
      <c r="BZ169">
        <v>0</v>
      </c>
      <c r="CA169">
        <v>0</v>
      </c>
      <c r="CB169">
        <v>0</v>
      </c>
      <c r="CC169" s="3">
        <v>242499.64</v>
      </c>
      <c r="CD169" s="5">
        <v>0</v>
      </c>
      <c r="CE169" t="s">
        <v>467</v>
      </c>
      <c r="CF169" s="6">
        <v>46113</v>
      </c>
      <c r="CH169">
        <v>0</v>
      </c>
      <c r="CI169">
        <v>0</v>
      </c>
      <c r="CJ169">
        <v>0</v>
      </c>
      <c r="CK169">
        <v>0</v>
      </c>
      <c r="CL169">
        <v>0</v>
      </c>
      <c r="CM169">
        <v>0</v>
      </c>
      <c r="CN169">
        <v>0</v>
      </c>
      <c r="CO169">
        <v>0</v>
      </c>
      <c r="CP169">
        <v>0</v>
      </c>
      <c r="CQ169">
        <v>0</v>
      </c>
      <c r="CR169">
        <v>0</v>
      </c>
      <c r="CS169" t="s">
        <v>649</v>
      </c>
      <c r="CT169" t="s">
        <v>214</v>
      </c>
      <c r="CU169" t="s">
        <v>1432</v>
      </c>
      <c r="CW169">
        <v>-56.029400000000003</v>
      </c>
      <c r="CZ169" s="1">
        <v>46134</v>
      </c>
      <c r="DA169" t="s">
        <v>172</v>
      </c>
      <c r="DB169" t="s">
        <v>172</v>
      </c>
      <c r="DC169" t="s">
        <v>172</v>
      </c>
      <c r="DD169" t="s">
        <v>172</v>
      </c>
      <c r="DG169" s="1">
        <v>46134</v>
      </c>
      <c r="DH169">
        <v>0</v>
      </c>
      <c r="DI169">
        <v>0</v>
      </c>
      <c r="DJ169" s="1">
        <v>46141</v>
      </c>
      <c r="DL169" t="s">
        <v>200</v>
      </c>
      <c r="DM169" t="s">
        <v>172</v>
      </c>
      <c r="DN169" t="s">
        <v>511</v>
      </c>
      <c r="DU169" t="s">
        <v>1266</v>
      </c>
      <c r="DV169" s="3">
        <v>253300.36</v>
      </c>
      <c r="DW169">
        <v>-51.09</v>
      </c>
      <c r="DX169" s="3">
        <v>253300.36</v>
      </c>
      <c r="DY169">
        <v>-51.09</v>
      </c>
      <c r="EF169" s="1">
        <v>46140</v>
      </c>
      <c r="EG169" s="1">
        <v>46136</v>
      </c>
      <c r="EK169" s="1">
        <v>46140</v>
      </c>
      <c r="EM169" s="1">
        <v>46139</v>
      </c>
      <c r="EN169" t="s">
        <v>156</v>
      </c>
      <c r="EP169" s="1">
        <v>46139</v>
      </c>
      <c r="EU169" s="1">
        <v>46135</v>
      </c>
      <c r="EW169" s="1">
        <v>46134</v>
      </c>
    </row>
    <row r="170" spans="1:153" x14ac:dyDescent="0.35">
      <c r="A170" t="str">
        <f>HYPERLINK("https://7lm.cvcrm.com.br/gestor/comercial/reservas/6990/administrar","6990")</f>
        <v>6990</v>
      </c>
      <c r="B170" t="s">
        <v>156</v>
      </c>
      <c r="C170" s="1">
        <v>46133</v>
      </c>
      <c r="D170" s="2">
        <v>0.71128472222222228</v>
      </c>
      <c r="E170" t="s">
        <v>527</v>
      </c>
      <c r="F170" t="s">
        <v>458</v>
      </c>
      <c r="G170" t="s">
        <v>203</v>
      </c>
      <c r="H170" t="s">
        <v>404</v>
      </c>
      <c r="I170" t="s">
        <v>1107</v>
      </c>
      <c r="J170">
        <v>1</v>
      </c>
      <c r="L170">
        <v>20001</v>
      </c>
      <c r="M170" t="s">
        <v>1200</v>
      </c>
      <c r="N170" s="1">
        <v>46133</v>
      </c>
      <c r="O170" s="2">
        <v>0.71658564814814818</v>
      </c>
      <c r="R170" t="str">
        <f>HYPERLINK("https://7lm.cvcrm.com.br/gestor/relatorios/associado/html?q[1|r.idreserva]=6990","VICTORIA SILVA DE ARAUJO MOURA")</f>
        <v>VICTORIA SILVA DE ARAUJO MOURA</v>
      </c>
      <c r="S170">
        <v>4551199109</v>
      </c>
      <c r="T170">
        <v>5561993710263</v>
      </c>
      <c r="U170">
        <v>5561986312842</v>
      </c>
      <c r="V170" t="s">
        <v>1438</v>
      </c>
      <c r="W170" t="s">
        <v>187</v>
      </c>
      <c r="X170" t="s">
        <v>452</v>
      </c>
      <c r="Y170" t="s">
        <v>165</v>
      </c>
      <c r="Z170" t="s">
        <v>575</v>
      </c>
      <c r="AA170" t="s">
        <v>1439</v>
      </c>
      <c r="AB170" t="s">
        <v>1440</v>
      </c>
      <c r="AC170" t="s">
        <v>473</v>
      </c>
      <c r="AF170" t="s">
        <v>399</v>
      </c>
      <c r="AG170" t="s">
        <v>195</v>
      </c>
      <c r="AH170" s="3">
        <v>225206.21</v>
      </c>
      <c r="AI170" s="3">
        <v>225206.21</v>
      </c>
      <c r="AJ170" s="1">
        <v>46188</v>
      </c>
      <c r="AN170" t="s">
        <v>172</v>
      </c>
      <c r="AO170" t="s">
        <v>1175</v>
      </c>
      <c r="AR170" t="s">
        <v>1441</v>
      </c>
      <c r="AT170" t="s">
        <v>196</v>
      </c>
      <c r="AU170" t="s">
        <v>316</v>
      </c>
      <c r="AW170">
        <v>0</v>
      </c>
      <c r="AX170" s="1">
        <v>46142</v>
      </c>
      <c r="AY170" s="2">
        <v>0.84163194444444445</v>
      </c>
      <c r="AZ170">
        <v>146093</v>
      </c>
      <c r="BA170" s="1">
        <v>45678</v>
      </c>
      <c r="BB170" s="1">
        <v>46129</v>
      </c>
      <c r="BC170" t="s">
        <v>0</v>
      </c>
      <c r="BD170" s="1">
        <v>46133</v>
      </c>
      <c r="BE170" t="s">
        <v>317</v>
      </c>
      <c r="BL170" s="4">
        <v>0</v>
      </c>
      <c r="BM170" s="1">
        <v>46572</v>
      </c>
      <c r="BO170">
        <v>0</v>
      </c>
      <c r="BP170">
        <v>31161</v>
      </c>
      <c r="BQ170" t="s">
        <v>156</v>
      </c>
      <c r="BR170" s="3">
        <v>124390.33</v>
      </c>
      <c r="BS170" s="3">
        <v>37334</v>
      </c>
      <c r="BT170">
        <v>0</v>
      </c>
      <c r="BU170" s="3">
        <v>161724.32999999999</v>
      </c>
      <c r="BV170" s="3">
        <v>225206.21</v>
      </c>
      <c r="BX170">
        <v>0</v>
      </c>
      <c r="BZ170">
        <v>0</v>
      </c>
      <c r="CA170">
        <v>0</v>
      </c>
      <c r="CB170">
        <v>0</v>
      </c>
      <c r="CC170" s="3">
        <v>225206.21</v>
      </c>
      <c r="CD170" s="5">
        <v>0</v>
      </c>
      <c r="CE170" t="s">
        <v>467</v>
      </c>
      <c r="CF170" s="6">
        <v>46113</v>
      </c>
      <c r="CH170">
        <v>0</v>
      </c>
      <c r="CI170">
        <v>0</v>
      </c>
      <c r="CJ170">
        <v>0</v>
      </c>
      <c r="CK170">
        <v>0</v>
      </c>
      <c r="CL170">
        <v>0</v>
      </c>
      <c r="CM170">
        <v>0</v>
      </c>
      <c r="CN170">
        <v>0</v>
      </c>
      <c r="CO170">
        <v>0</v>
      </c>
      <c r="CP170">
        <v>0</v>
      </c>
      <c r="CQ170">
        <v>0</v>
      </c>
      <c r="CR170">
        <v>0</v>
      </c>
      <c r="CS170" t="s">
        <v>428</v>
      </c>
      <c r="CT170" t="s">
        <v>214</v>
      </c>
      <c r="CU170" t="s">
        <v>1107</v>
      </c>
      <c r="CW170">
        <v>-52.367600000000003</v>
      </c>
      <c r="CZ170" s="1">
        <v>46133</v>
      </c>
      <c r="DA170" t="s">
        <v>172</v>
      </c>
      <c r="DB170" t="s">
        <v>172</v>
      </c>
      <c r="DC170" t="s">
        <v>172</v>
      </c>
      <c r="DD170" t="s">
        <v>172</v>
      </c>
      <c r="DG170" s="1">
        <v>46133</v>
      </c>
      <c r="DH170">
        <v>0</v>
      </c>
      <c r="DI170">
        <v>0</v>
      </c>
      <c r="DL170" t="s">
        <v>200</v>
      </c>
      <c r="DM170" t="s">
        <v>172</v>
      </c>
      <c r="DN170" t="s">
        <v>201</v>
      </c>
      <c r="DV170" s="3">
        <v>225206.21</v>
      </c>
      <c r="DW170">
        <v>0</v>
      </c>
      <c r="DX170" s="3">
        <v>225206.21</v>
      </c>
      <c r="DY170">
        <v>0</v>
      </c>
      <c r="EN170" t="s">
        <v>172</v>
      </c>
    </row>
    <row r="171" spans="1:153" x14ac:dyDescent="0.35">
      <c r="A171" t="str">
        <f>HYPERLINK("https://7lm.cvcrm.com.br/gestor/comercial/reservas/6989/administrar","6989")</f>
        <v>6989</v>
      </c>
      <c r="B171" t="s">
        <v>172</v>
      </c>
      <c r="C171" s="1">
        <v>46133</v>
      </c>
      <c r="D171" s="2">
        <v>0.63758101851851856</v>
      </c>
      <c r="E171" t="s">
        <v>527</v>
      </c>
      <c r="F171" t="s">
        <v>202</v>
      </c>
      <c r="G171" t="s">
        <v>203</v>
      </c>
      <c r="H171" t="s">
        <v>528</v>
      </c>
      <c r="I171" t="s">
        <v>691</v>
      </c>
      <c r="J171">
        <v>1</v>
      </c>
      <c r="L171">
        <v>20031</v>
      </c>
      <c r="M171" t="s">
        <v>692</v>
      </c>
      <c r="R171" t="str">
        <f>HYPERLINK("https://7lm.cvcrm.com.br/gestor/relatorios/associado/html?q[1|r.idreserva]=6989","KHETLLEN GERMANO DA SILVA")</f>
        <v>KHETLLEN GERMANO DA SILVA</v>
      </c>
      <c r="S171">
        <v>7748184178</v>
      </c>
      <c r="T171">
        <v>5561993074889</v>
      </c>
      <c r="U171">
        <v>5561981977483</v>
      </c>
      <c r="V171" t="s">
        <v>1442</v>
      </c>
      <c r="W171" t="s">
        <v>187</v>
      </c>
      <c r="Y171" t="s">
        <v>165</v>
      </c>
      <c r="Z171" t="s">
        <v>385</v>
      </c>
      <c r="AA171" t="s">
        <v>783</v>
      </c>
      <c r="AB171" t="s">
        <v>1443</v>
      </c>
      <c r="AC171" t="s">
        <v>1444</v>
      </c>
      <c r="AF171" t="s">
        <v>413</v>
      </c>
      <c r="AG171" t="s">
        <v>195</v>
      </c>
      <c r="AH171" s="3">
        <v>219978.61</v>
      </c>
      <c r="AI171" s="3">
        <v>219978.61</v>
      </c>
      <c r="AJ171" s="1">
        <v>46188</v>
      </c>
      <c r="AN171" t="s">
        <v>172</v>
      </c>
      <c r="AO171" t="s">
        <v>725</v>
      </c>
      <c r="AP171" t="s">
        <v>1445</v>
      </c>
      <c r="AR171" t="s">
        <v>1446</v>
      </c>
      <c r="AT171" t="s">
        <v>196</v>
      </c>
      <c r="AU171" t="s">
        <v>953</v>
      </c>
      <c r="AW171">
        <v>0</v>
      </c>
      <c r="AX171" s="1">
        <v>46157</v>
      </c>
      <c r="AY171" s="2">
        <v>0.77940972222222227</v>
      </c>
      <c r="AZ171">
        <v>201419</v>
      </c>
      <c r="BA171" s="1">
        <v>46127</v>
      </c>
      <c r="BC171" t="s">
        <v>0</v>
      </c>
      <c r="BD171" s="1">
        <v>46133</v>
      </c>
      <c r="BE171" t="s">
        <v>198</v>
      </c>
      <c r="BL171" s="4">
        <v>0</v>
      </c>
      <c r="BM171" s="1">
        <v>46808</v>
      </c>
      <c r="BO171">
        <v>0</v>
      </c>
      <c r="BP171">
        <v>31186</v>
      </c>
      <c r="BQ171" t="s">
        <v>156</v>
      </c>
      <c r="BR171" s="3">
        <v>133070.60999999999</v>
      </c>
      <c r="BS171" s="3">
        <v>31448</v>
      </c>
      <c r="BT171">
        <v>0</v>
      </c>
      <c r="BU171" s="3">
        <v>164518.60999999999</v>
      </c>
      <c r="BV171" s="3">
        <v>219978.61</v>
      </c>
      <c r="BX171">
        <v>0</v>
      </c>
      <c r="BZ171">
        <v>0</v>
      </c>
      <c r="CA171">
        <v>0</v>
      </c>
      <c r="CB171">
        <v>0</v>
      </c>
      <c r="CC171" s="3">
        <v>219978.61</v>
      </c>
      <c r="CD171" s="5">
        <v>0</v>
      </c>
      <c r="CF171" s="6">
        <v>46143</v>
      </c>
      <c r="CH171">
        <v>0</v>
      </c>
      <c r="CI171">
        <v>0</v>
      </c>
      <c r="CJ171">
        <v>0</v>
      </c>
      <c r="CK171">
        <v>0</v>
      </c>
      <c r="CL171">
        <v>0</v>
      </c>
      <c r="CM171">
        <v>0</v>
      </c>
      <c r="CN171">
        <v>0</v>
      </c>
      <c r="CO171">
        <v>0</v>
      </c>
      <c r="CP171">
        <v>0</v>
      </c>
      <c r="CQ171">
        <v>0</v>
      </c>
      <c r="CR171">
        <v>0</v>
      </c>
      <c r="CT171" t="s">
        <v>214</v>
      </c>
      <c r="CU171" t="s">
        <v>691</v>
      </c>
      <c r="CW171">
        <v>0</v>
      </c>
      <c r="CZ171" s="1">
        <v>46133</v>
      </c>
      <c r="DA171" t="s">
        <v>172</v>
      </c>
      <c r="DB171" t="s">
        <v>172</v>
      </c>
      <c r="DC171" t="s">
        <v>172</v>
      </c>
      <c r="DD171" t="s">
        <v>172</v>
      </c>
      <c r="DG171" s="1">
        <v>46133</v>
      </c>
      <c r="DH171">
        <v>0</v>
      </c>
      <c r="DI171">
        <v>0</v>
      </c>
      <c r="DL171" t="s">
        <v>224</v>
      </c>
      <c r="DM171" t="s">
        <v>172</v>
      </c>
      <c r="DN171" t="s">
        <v>525</v>
      </c>
      <c r="DV171" s="3">
        <v>219978.61</v>
      </c>
      <c r="DW171">
        <v>0</v>
      </c>
      <c r="DX171" s="3">
        <v>219978.61</v>
      </c>
      <c r="DY171">
        <v>0</v>
      </c>
      <c r="EN171" t="s">
        <v>537</v>
      </c>
      <c r="ET171" t="s">
        <v>1447</v>
      </c>
      <c r="EW171" s="1">
        <v>46133</v>
      </c>
    </row>
    <row r="172" spans="1:153" x14ac:dyDescent="0.35">
      <c r="A172" t="str">
        <f>HYPERLINK("https://7lm.cvcrm.com.br/gestor/comercial/reservas/6988/administrar","6988")</f>
        <v>6988</v>
      </c>
      <c r="B172" t="s">
        <v>172</v>
      </c>
      <c r="C172" s="1">
        <v>46133</v>
      </c>
      <c r="D172" s="2">
        <v>0.63655092592592588</v>
      </c>
      <c r="E172" t="s">
        <v>527</v>
      </c>
      <c r="F172" t="s">
        <v>182</v>
      </c>
      <c r="G172" t="s">
        <v>159</v>
      </c>
      <c r="H172" t="s">
        <v>538</v>
      </c>
      <c r="I172" t="s">
        <v>1448</v>
      </c>
      <c r="J172">
        <v>1</v>
      </c>
      <c r="L172">
        <v>30151</v>
      </c>
      <c r="M172" t="s">
        <v>1449</v>
      </c>
      <c r="R172" t="str">
        <f>HYPERLINK("https://7lm.cvcrm.com.br/gestor/relatorios/associado/html?q[1|r.idreserva]=6988","ANTONIO MARCOS FORTUOSO DO NASCIMENTO")</f>
        <v>ANTONIO MARCOS FORTUOSO DO NASCIMENTO</v>
      </c>
      <c r="S172">
        <v>1926601955</v>
      </c>
      <c r="T172">
        <v>5561994336388</v>
      </c>
      <c r="V172" t="s">
        <v>1450</v>
      </c>
      <c r="W172" t="s">
        <v>163</v>
      </c>
      <c r="Y172" t="s">
        <v>189</v>
      </c>
      <c r="Z172" t="s">
        <v>190</v>
      </c>
      <c r="AA172" t="s">
        <v>1451</v>
      </c>
      <c r="AB172" t="s">
        <v>1452</v>
      </c>
      <c r="AC172" t="s">
        <v>845</v>
      </c>
      <c r="AD172" t="s">
        <v>845</v>
      </c>
      <c r="AF172" t="s">
        <v>352</v>
      </c>
      <c r="AG172" t="s">
        <v>251</v>
      </c>
      <c r="AH172" s="3">
        <v>241000.04</v>
      </c>
      <c r="AI172" s="3">
        <v>241000.04</v>
      </c>
      <c r="AJ172" s="1">
        <v>46142</v>
      </c>
      <c r="AN172" t="s">
        <v>172</v>
      </c>
      <c r="AO172" t="s">
        <v>1098</v>
      </c>
      <c r="AR172" t="s">
        <v>1453</v>
      </c>
      <c r="AT172" t="s">
        <v>261</v>
      </c>
      <c r="AU172" t="s">
        <v>292</v>
      </c>
      <c r="AW172">
        <v>0</v>
      </c>
      <c r="AX172" s="1">
        <v>46139</v>
      </c>
      <c r="AY172" s="2">
        <v>0.48195601851851849</v>
      </c>
      <c r="AZ172">
        <v>203273</v>
      </c>
      <c r="BA172" s="1">
        <v>46132</v>
      </c>
      <c r="BC172" t="s">
        <v>0</v>
      </c>
      <c r="BD172" s="1">
        <v>46133</v>
      </c>
      <c r="BE172" t="s">
        <v>262</v>
      </c>
      <c r="BL172" s="4">
        <v>0</v>
      </c>
      <c r="BM172" s="1">
        <v>46899</v>
      </c>
      <c r="BO172">
        <v>0</v>
      </c>
      <c r="BP172">
        <v>31247</v>
      </c>
      <c r="BQ172" t="s">
        <v>156</v>
      </c>
      <c r="BR172" s="3">
        <v>100203.7</v>
      </c>
      <c r="BS172" s="3">
        <v>48154</v>
      </c>
      <c r="BT172">
        <v>0</v>
      </c>
      <c r="BU172" s="3">
        <v>148357.70000000001</v>
      </c>
      <c r="BV172" s="3">
        <v>241000.04</v>
      </c>
      <c r="BX172">
        <v>0</v>
      </c>
      <c r="BZ172">
        <v>0</v>
      </c>
      <c r="CA172">
        <v>0</v>
      </c>
      <c r="CB172">
        <v>0</v>
      </c>
      <c r="CC172" s="3">
        <v>241000.04</v>
      </c>
      <c r="CD172" s="5">
        <v>0</v>
      </c>
      <c r="CF172" s="6">
        <v>46113</v>
      </c>
      <c r="CH172">
        <v>0</v>
      </c>
      <c r="CI172">
        <v>0</v>
      </c>
      <c r="CJ172">
        <v>0</v>
      </c>
      <c r="CK172">
        <v>0</v>
      </c>
      <c r="CL172">
        <v>0</v>
      </c>
      <c r="CM172">
        <v>0</v>
      </c>
      <c r="CN172">
        <v>0</v>
      </c>
      <c r="CO172">
        <v>0</v>
      </c>
      <c r="CP172">
        <v>0</v>
      </c>
      <c r="CQ172">
        <v>0</v>
      </c>
      <c r="CR172">
        <v>0</v>
      </c>
      <c r="CT172" t="s">
        <v>190</v>
      </c>
      <c r="CU172" t="s">
        <v>1448</v>
      </c>
      <c r="CW172">
        <v>0</v>
      </c>
      <c r="CZ172" s="1">
        <v>46133</v>
      </c>
      <c r="DA172" t="s">
        <v>172</v>
      </c>
      <c r="DB172" t="s">
        <v>172</v>
      </c>
      <c r="DC172" t="s">
        <v>172</v>
      </c>
      <c r="DD172" t="s">
        <v>172</v>
      </c>
      <c r="DG172" s="1">
        <v>46133</v>
      </c>
      <c r="DH172">
        <v>0</v>
      </c>
      <c r="DI172">
        <v>0</v>
      </c>
      <c r="DK172" t="s">
        <v>179</v>
      </c>
      <c r="DL172" t="s">
        <v>200</v>
      </c>
      <c r="DM172" t="s">
        <v>172</v>
      </c>
      <c r="DN172" t="s">
        <v>201</v>
      </c>
      <c r="DV172" s="3">
        <v>241000.04</v>
      </c>
      <c r="DW172">
        <v>0</v>
      </c>
      <c r="DX172" s="3">
        <v>241000.04</v>
      </c>
      <c r="DY172">
        <v>0</v>
      </c>
      <c r="EN172" t="s">
        <v>156</v>
      </c>
    </row>
    <row r="173" spans="1:153" ht="246.5" x14ac:dyDescent="0.35">
      <c r="A173" t="str">
        <f>HYPERLINK("https://7lm.cvcrm.com.br/gestor/comercial/reservas/6987/administrar","6987")</f>
        <v>6987</v>
      </c>
      <c r="B173" t="s">
        <v>156</v>
      </c>
      <c r="C173" s="1">
        <v>46133</v>
      </c>
      <c r="D173" s="2">
        <v>0.61373842592592598</v>
      </c>
      <c r="E173" t="s">
        <v>294</v>
      </c>
      <c r="F173" t="s">
        <v>182</v>
      </c>
      <c r="G173" t="s">
        <v>159</v>
      </c>
      <c r="H173" t="s">
        <v>362</v>
      </c>
      <c r="I173" t="s">
        <v>1454</v>
      </c>
      <c r="J173">
        <v>1</v>
      </c>
      <c r="K173">
        <v>8383</v>
      </c>
      <c r="L173">
        <v>30151</v>
      </c>
      <c r="M173" t="s">
        <v>1455</v>
      </c>
      <c r="N173" s="1">
        <v>46142</v>
      </c>
      <c r="O173" s="2">
        <v>0.51056712962962958</v>
      </c>
      <c r="Q173">
        <v>9913</v>
      </c>
      <c r="R173" t="str">
        <f>HYPERLINK("https://7lm.cvcrm.com.br/gestor/relatorios/associado/html?q[1|r.idreserva]=6987","VANESSA CORDEIRO DA SILVA")</f>
        <v>VANESSA CORDEIRO DA SILVA</v>
      </c>
      <c r="S173">
        <v>10031495109</v>
      </c>
      <c r="T173">
        <v>5561992793072</v>
      </c>
      <c r="U173">
        <v>556196878968</v>
      </c>
      <c r="V173" t="s">
        <v>1456</v>
      </c>
      <c r="W173" t="s">
        <v>187</v>
      </c>
      <c r="X173" t="s">
        <v>376</v>
      </c>
      <c r="Y173" t="s">
        <v>189</v>
      </c>
      <c r="Z173" t="s">
        <v>190</v>
      </c>
      <c r="AA173" t="s">
        <v>349</v>
      </c>
      <c r="AB173" t="s">
        <v>1457</v>
      </c>
      <c r="AC173" t="s">
        <v>509</v>
      </c>
      <c r="AD173" t="s">
        <v>509</v>
      </c>
      <c r="AF173" t="s">
        <v>352</v>
      </c>
      <c r="AG173" t="s">
        <v>251</v>
      </c>
      <c r="AH173" s="3">
        <v>240656.26</v>
      </c>
      <c r="AI173" s="3">
        <v>240656.26</v>
      </c>
      <c r="AJ173" s="1">
        <v>46188</v>
      </c>
      <c r="AN173" t="s">
        <v>172</v>
      </c>
      <c r="AR173" s="7" t="s">
        <v>353</v>
      </c>
      <c r="AT173" t="s">
        <v>261</v>
      </c>
      <c r="AU173" t="s">
        <v>292</v>
      </c>
      <c r="AW173">
        <v>0</v>
      </c>
      <c r="AX173" s="1">
        <v>46141</v>
      </c>
      <c r="AY173" s="2">
        <v>0.48432870370370368</v>
      </c>
      <c r="AZ173" t="s">
        <v>1458</v>
      </c>
      <c r="BA173" t="s">
        <v>1459</v>
      </c>
      <c r="BB173" t="s">
        <v>356</v>
      </c>
      <c r="BC173" t="s">
        <v>850</v>
      </c>
      <c r="BD173" t="s">
        <v>1459</v>
      </c>
      <c r="BE173" t="s">
        <v>1460</v>
      </c>
      <c r="BL173" s="4">
        <v>0</v>
      </c>
      <c r="BM173" s="1">
        <v>46899</v>
      </c>
      <c r="BN173" s="1">
        <v>46141</v>
      </c>
      <c r="BO173">
        <v>0</v>
      </c>
      <c r="BP173">
        <v>31248</v>
      </c>
      <c r="BQ173" t="s">
        <v>156</v>
      </c>
      <c r="BR173" s="3">
        <v>136096.22</v>
      </c>
      <c r="BS173" s="3">
        <v>22390</v>
      </c>
      <c r="BT173">
        <v>0</v>
      </c>
      <c r="BU173" s="3">
        <v>158486.22</v>
      </c>
      <c r="BV173" s="3">
        <v>240656.26</v>
      </c>
      <c r="BX173">
        <v>0</v>
      </c>
      <c r="BZ173">
        <v>0</v>
      </c>
      <c r="CA173">
        <v>0</v>
      </c>
      <c r="CB173">
        <v>0</v>
      </c>
      <c r="CC173" s="3">
        <v>240656.26</v>
      </c>
      <c r="CD173" s="5">
        <v>0</v>
      </c>
      <c r="CF173" s="6">
        <v>46113</v>
      </c>
      <c r="CH173">
        <v>0</v>
      </c>
      <c r="CI173">
        <v>0</v>
      </c>
      <c r="CJ173">
        <v>0</v>
      </c>
      <c r="CK173">
        <v>0</v>
      </c>
      <c r="CL173">
        <v>0</v>
      </c>
      <c r="CM173">
        <v>0</v>
      </c>
      <c r="CN173">
        <v>0</v>
      </c>
      <c r="CO173">
        <v>0</v>
      </c>
      <c r="CP173">
        <v>0</v>
      </c>
      <c r="CQ173">
        <v>0</v>
      </c>
      <c r="CR173">
        <v>0</v>
      </c>
      <c r="CS173" t="s">
        <v>360</v>
      </c>
      <c r="CT173" t="s">
        <v>190</v>
      </c>
      <c r="CU173" t="s">
        <v>1454</v>
      </c>
      <c r="CW173">
        <v>-51.089700000000001</v>
      </c>
      <c r="CZ173" s="1">
        <v>46133</v>
      </c>
      <c r="DA173" t="s">
        <v>172</v>
      </c>
      <c r="DB173" t="s">
        <v>172</v>
      </c>
      <c r="DC173" t="s">
        <v>172</v>
      </c>
      <c r="DD173" t="s">
        <v>172</v>
      </c>
      <c r="DG173" s="1">
        <v>46133</v>
      </c>
      <c r="DH173">
        <v>0</v>
      </c>
      <c r="DI173">
        <v>0</v>
      </c>
      <c r="DJ173" s="1">
        <v>46141</v>
      </c>
      <c r="DK173" t="s">
        <v>179</v>
      </c>
      <c r="DL173" t="s">
        <v>200</v>
      </c>
      <c r="DM173" t="s">
        <v>172</v>
      </c>
      <c r="DN173" t="s">
        <v>201</v>
      </c>
      <c r="DP173" s="8">
        <v>0.01</v>
      </c>
      <c r="DV173" s="3">
        <v>240656.26</v>
      </c>
      <c r="DW173">
        <v>0</v>
      </c>
      <c r="DX173" s="3">
        <v>240656.26</v>
      </c>
      <c r="DY173">
        <v>0</v>
      </c>
      <c r="EG173" s="1">
        <v>46135</v>
      </c>
      <c r="EH173" s="1">
        <v>46140</v>
      </c>
      <c r="EN173" t="s">
        <v>156</v>
      </c>
      <c r="EP173" s="1">
        <v>46140</v>
      </c>
      <c r="EQ173" s="1">
        <v>46140</v>
      </c>
      <c r="ER173" s="1">
        <v>46136</v>
      </c>
      <c r="ES173" t="s">
        <v>1461</v>
      </c>
      <c r="EU173" s="1">
        <v>46135</v>
      </c>
      <c r="EV173" s="1">
        <v>46140</v>
      </c>
      <c r="EW173" s="1">
        <v>46133</v>
      </c>
    </row>
    <row r="174" spans="1:153" ht="246.5" x14ac:dyDescent="0.35">
      <c r="A174" t="str">
        <f>HYPERLINK("https://7lm.cvcrm.com.br/gestor/comercial/reservas/6986/administrar","6986")</f>
        <v>6986</v>
      </c>
      <c r="B174" t="s">
        <v>156</v>
      </c>
      <c r="C174" s="1">
        <v>46133</v>
      </c>
      <c r="D174" s="2">
        <v>0.5756944444444444</v>
      </c>
      <c r="E174" t="s">
        <v>294</v>
      </c>
      <c r="F174" t="s">
        <v>458</v>
      </c>
      <c r="G174" t="s">
        <v>203</v>
      </c>
      <c r="H174" t="s">
        <v>204</v>
      </c>
      <c r="I174" t="s">
        <v>1387</v>
      </c>
      <c r="J174">
        <v>1</v>
      </c>
      <c r="K174">
        <v>8363</v>
      </c>
      <c r="L174">
        <v>20001</v>
      </c>
      <c r="M174" t="s">
        <v>1462</v>
      </c>
      <c r="N174" s="1">
        <v>46142</v>
      </c>
      <c r="O174" s="2">
        <v>0.73251157407407408</v>
      </c>
      <c r="R174" t="str">
        <f>HYPERLINK("https://7lm.cvcrm.com.br/gestor/relatorios/associado/html?q[1|r.idreserva]=6986","GABRIEL GUIMARAES LOPES")</f>
        <v>GABRIEL GUIMARAES LOPES</v>
      </c>
      <c r="S174">
        <v>6360597152</v>
      </c>
      <c r="T174">
        <v>5561998379474</v>
      </c>
      <c r="U174">
        <v>5561986192131</v>
      </c>
      <c r="V174" t="s">
        <v>1463</v>
      </c>
      <c r="W174" t="s">
        <v>163</v>
      </c>
      <c r="X174" t="s">
        <v>1464</v>
      </c>
      <c r="Y174" t="s">
        <v>165</v>
      </c>
      <c r="Z174" t="s">
        <v>323</v>
      </c>
      <c r="AA174" t="s">
        <v>324</v>
      </c>
      <c r="AB174" t="s">
        <v>1465</v>
      </c>
      <c r="AC174" t="s">
        <v>1466</v>
      </c>
      <c r="AF174" t="s">
        <v>413</v>
      </c>
      <c r="AG174" t="s">
        <v>195</v>
      </c>
      <c r="AH174" s="3">
        <v>225729.38</v>
      </c>
      <c r="AI174" s="3">
        <v>225729.38</v>
      </c>
      <c r="AJ174" s="1">
        <v>46188</v>
      </c>
      <c r="AN174" t="s">
        <v>172</v>
      </c>
      <c r="AR174" s="7" t="s">
        <v>353</v>
      </c>
      <c r="AT174" t="s">
        <v>196</v>
      </c>
      <c r="AU174" t="s">
        <v>953</v>
      </c>
      <c r="AW174">
        <v>0</v>
      </c>
      <c r="AX174" s="1">
        <v>46141</v>
      </c>
      <c r="AY174" s="2">
        <v>0.39196759259259262</v>
      </c>
      <c r="AZ174">
        <v>198964</v>
      </c>
      <c r="BA174" s="1">
        <v>46115</v>
      </c>
      <c r="BC174" t="s">
        <v>0</v>
      </c>
      <c r="BD174" s="1">
        <v>46133</v>
      </c>
      <c r="BE174" t="s">
        <v>198</v>
      </c>
      <c r="BL174" s="4">
        <v>0</v>
      </c>
      <c r="BM174" s="1">
        <v>46572</v>
      </c>
      <c r="BN174" s="1">
        <v>46141</v>
      </c>
      <c r="BO174">
        <v>0</v>
      </c>
      <c r="BP174">
        <v>30843</v>
      </c>
      <c r="BQ174" t="s">
        <v>156</v>
      </c>
      <c r="BR174" s="3">
        <v>120108.1</v>
      </c>
      <c r="BS174" s="3">
        <v>45872</v>
      </c>
      <c r="BT174">
        <v>0</v>
      </c>
      <c r="BU174" s="3">
        <v>165980.1</v>
      </c>
      <c r="BV174" s="3">
        <v>225729.38</v>
      </c>
      <c r="BX174">
        <v>0</v>
      </c>
      <c r="BZ174">
        <v>0</v>
      </c>
      <c r="CA174">
        <v>0</v>
      </c>
      <c r="CB174">
        <v>0</v>
      </c>
      <c r="CC174" s="3">
        <v>225729.38</v>
      </c>
      <c r="CD174" s="5">
        <v>0</v>
      </c>
      <c r="CE174" t="s">
        <v>467</v>
      </c>
      <c r="CF174" s="6">
        <v>46113</v>
      </c>
      <c r="CH174">
        <v>0</v>
      </c>
      <c r="CI174">
        <v>0</v>
      </c>
      <c r="CJ174">
        <v>0</v>
      </c>
      <c r="CK174">
        <v>0</v>
      </c>
      <c r="CL174">
        <v>0</v>
      </c>
      <c r="CM174">
        <v>0</v>
      </c>
      <c r="CN174">
        <v>0</v>
      </c>
      <c r="CO174">
        <v>0</v>
      </c>
      <c r="CP174">
        <v>0</v>
      </c>
      <c r="CQ174">
        <v>0</v>
      </c>
      <c r="CR174">
        <v>0</v>
      </c>
      <c r="CS174" t="s">
        <v>360</v>
      </c>
      <c r="CT174" t="s">
        <v>214</v>
      </c>
      <c r="CU174" t="s">
        <v>1387</v>
      </c>
      <c r="CW174">
        <v>-58.939</v>
      </c>
      <c r="CZ174" s="1">
        <v>46133</v>
      </c>
      <c r="DA174" t="s">
        <v>172</v>
      </c>
      <c r="DB174" t="s">
        <v>172</v>
      </c>
      <c r="DC174" t="s">
        <v>172</v>
      </c>
      <c r="DD174" t="s">
        <v>172</v>
      </c>
      <c r="DG174" s="1">
        <v>46133</v>
      </c>
      <c r="DH174">
        <v>0</v>
      </c>
      <c r="DI174">
        <v>0</v>
      </c>
      <c r="DJ174" s="1">
        <v>46140</v>
      </c>
      <c r="DL174" t="s">
        <v>200</v>
      </c>
      <c r="DM174" t="s">
        <v>172</v>
      </c>
      <c r="DN174" t="s">
        <v>201</v>
      </c>
      <c r="DV174" s="3">
        <v>225729.38</v>
      </c>
      <c r="DW174">
        <v>0</v>
      </c>
      <c r="DX174" s="3">
        <v>225729.38</v>
      </c>
      <c r="DY174">
        <v>0</v>
      </c>
      <c r="EF174" s="1">
        <v>46142</v>
      </c>
      <c r="EG174" s="1">
        <v>46140</v>
      </c>
      <c r="EK174" s="1">
        <v>46142</v>
      </c>
      <c r="EM174" s="1">
        <v>46139</v>
      </c>
      <c r="EN174" t="s">
        <v>156</v>
      </c>
      <c r="EP174" s="1">
        <v>46139</v>
      </c>
      <c r="ET174" t="s">
        <v>1467</v>
      </c>
      <c r="EU174" s="1">
        <v>46136</v>
      </c>
      <c r="EW174" s="1">
        <v>46133</v>
      </c>
    </row>
    <row r="175" spans="1:153" ht="246.5" x14ac:dyDescent="0.35">
      <c r="A175" t="str">
        <f>HYPERLINK("https://7lm.cvcrm.com.br/gestor/comercial/reservas/6985/administrar","6985")</f>
        <v>6985</v>
      </c>
      <c r="B175" t="s">
        <v>156</v>
      </c>
      <c r="C175" s="1">
        <v>46133</v>
      </c>
      <c r="D175" s="2">
        <v>0.52035879629629633</v>
      </c>
      <c r="E175" t="s">
        <v>294</v>
      </c>
      <c r="F175" t="s">
        <v>182</v>
      </c>
      <c r="G175" t="s">
        <v>159</v>
      </c>
      <c r="H175" t="s">
        <v>362</v>
      </c>
      <c r="I175" t="s">
        <v>766</v>
      </c>
      <c r="J175">
        <v>1</v>
      </c>
      <c r="K175">
        <v>8370</v>
      </c>
      <c r="L175">
        <v>30151</v>
      </c>
      <c r="M175" t="s">
        <v>1468</v>
      </c>
      <c r="N175" s="1">
        <v>46140</v>
      </c>
      <c r="O175" s="2">
        <v>0.61873842592592587</v>
      </c>
      <c r="R175" t="str">
        <f>HYPERLINK("https://7lm.cvcrm.com.br/gestor/relatorios/associado/html?q[1|r.idreserva]=6985","PABLO GUILHERME FERREIRA BASTOS")</f>
        <v>PABLO GUILHERME FERREIRA BASTOS</v>
      </c>
      <c r="S175">
        <v>8793524188</v>
      </c>
      <c r="T175">
        <v>5561998832547</v>
      </c>
      <c r="U175">
        <f>556199257-6153</f>
        <v>556193104</v>
      </c>
      <c r="V175" t="s">
        <v>1469</v>
      </c>
      <c r="W175" t="s">
        <v>163</v>
      </c>
      <c r="X175" t="s">
        <v>299</v>
      </c>
      <c r="Y175" t="s">
        <v>165</v>
      </c>
      <c r="Z175" t="s">
        <v>1470</v>
      </c>
      <c r="AA175" t="s">
        <v>1471</v>
      </c>
      <c r="AB175" t="s">
        <v>1472</v>
      </c>
      <c r="AC175" t="s">
        <v>696</v>
      </c>
      <c r="AD175" t="s">
        <v>697</v>
      </c>
      <c r="AF175" t="s">
        <v>413</v>
      </c>
      <c r="AG175" t="s">
        <v>195</v>
      </c>
      <c r="AH175" s="3">
        <v>235022.83</v>
      </c>
      <c r="AI175" s="3">
        <v>235022.83</v>
      </c>
      <c r="AJ175" s="1">
        <v>46194</v>
      </c>
      <c r="AN175" t="s">
        <v>172</v>
      </c>
      <c r="AR175" s="7" t="s">
        <v>353</v>
      </c>
      <c r="AT175" t="s">
        <v>196</v>
      </c>
      <c r="AU175" t="s">
        <v>292</v>
      </c>
      <c r="AW175">
        <v>0</v>
      </c>
      <c r="AX175" s="1">
        <v>46141</v>
      </c>
      <c r="AY175" s="2">
        <v>0.43162037037037038</v>
      </c>
      <c r="AZ175">
        <v>138077</v>
      </c>
      <c r="BA175" s="1">
        <v>45600</v>
      </c>
      <c r="BB175" s="1">
        <v>46126</v>
      </c>
      <c r="BC175" t="s">
        <v>0</v>
      </c>
      <c r="BD175" s="1">
        <v>46133</v>
      </c>
      <c r="BE175" t="s">
        <v>590</v>
      </c>
      <c r="BL175" s="4">
        <v>0</v>
      </c>
      <c r="BM175" s="1">
        <v>46899</v>
      </c>
      <c r="BN175" s="1">
        <v>46141</v>
      </c>
      <c r="BO175">
        <v>0</v>
      </c>
      <c r="BP175">
        <v>31166</v>
      </c>
      <c r="BQ175" t="s">
        <v>156</v>
      </c>
      <c r="BR175" s="3">
        <v>180000</v>
      </c>
      <c r="BS175" s="3">
        <v>1992</v>
      </c>
      <c r="BT175">
        <v>0</v>
      </c>
      <c r="BU175" s="3">
        <v>181992</v>
      </c>
      <c r="BV175" s="3">
        <v>235022.83</v>
      </c>
      <c r="BX175">
        <v>0</v>
      </c>
      <c r="BZ175">
        <v>0</v>
      </c>
      <c r="CA175">
        <v>0</v>
      </c>
      <c r="CB175">
        <v>0</v>
      </c>
      <c r="CC175" s="3">
        <v>235022.83</v>
      </c>
      <c r="CD175" s="5">
        <v>0</v>
      </c>
      <c r="CF175" s="6">
        <v>46113</v>
      </c>
      <c r="CH175">
        <v>0</v>
      </c>
      <c r="CI175">
        <v>0</v>
      </c>
      <c r="CJ175">
        <v>0</v>
      </c>
      <c r="CK175">
        <v>0</v>
      </c>
      <c r="CL175">
        <v>0</v>
      </c>
      <c r="CM175">
        <v>0</v>
      </c>
      <c r="CN175">
        <v>0</v>
      </c>
      <c r="CO175">
        <v>0</v>
      </c>
      <c r="CP175">
        <v>0</v>
      </c>
      <c r="CQ175">
        <v>0</v>
      </c>
      <c r="CR175">
        <v>0</v>
      </c>
      <c r="CS175" t="s">
        <v>649</v>
      </c>
      <c r="CT175" t="s">
        <v>190</v>
      </c>
      <c r="CU175" t="s">
        <v>766</v>
      </c>
      <c r="CW175">
        <v>-53.890999999999998</v>
      </c>
      <c r="CZ175" s="1">
        <v>46133</v>
      </c>
      <c r="DA175" t="s">
        <v>172</v>
      </c>
      <c r="DB175" t="s">
        <v>172</v>
      </c>
      <c r="DC175" t="s">
        <v>172</v>
      </c>
      <c r="DD175" t="s">
        <v>172</v>
      </c>
      <c r="DG175" s="1">
        <v>46133</v>
      </c>
      <c r="DH175">
        <v>0</v>
      </c>
      <c r="DI175">
        <v>0</v>
      </c>
      <c r="DJ175" s="1">
        <v>46140</v>
      </c>
      <c r="DK175" t="s">
        <v>179</v>
      </c>
      <c r="DL175" t="s">
        <v>200</v>
      </c>
      <c r="DM175" t="s">
        <v>172</v>
      </c>
      <c r="DN175" t="s">
        <v>201</v>
      </c>
      <c r="DV175" s="3">
        <v>235022.83</v>
      </c>
      <c r="DW175">
        <v>0</v>
      </c>
      <c r="DX175" s="3">
        <v>235022.83</v>
      </c>
      <c r="DY175">
        <v>0</v>
      </c>
      <c r="EF175" s="1">
        <v>46140</v>
      </c>
      <c r="EG175" s="1">
        <v>46136</v>
      </c>
      <c r="EK175" s="1">
        <v>46140</v>
      </c>
      <c r="EL175" s="1">
        <v>46140</v>
      </c>
      <c r="EM175" s="1">
        <v>46139</v>
      </c>
      <c r="EN175" t="s">
        <v>156</v>
      </c>
      <c r="EP175" s="1">
        <v>46136</v>
      </c>
      <c r="ER175" s="1">
        <v>46134</v>
      </c>
      <c r="ES175" t="s">
        <v>1473</v>
      </c>
      <c r="ET175" t="s">
        <v>1474</v>
      </c>
      <c r="EU175" s="1">
        <v>46136</v>
      </c>
      <c r="EW175" s="1">
        <v>46133</v>
      </c>
    </row>
    <row r="176" spans="1:153" ht="246.5" x14ac:dyDescent="0.35">
      <c r="A176" t="str">
        <f>HYPERLINK("https://7lm.cvcrm.com.br/gestor/comercial/reservas/6984/administrar","6984")</f>
        <v>6984</v>
      </c>
      <c r="B176" t="s">
        <v>156</v>
      </c>
      <c r="C176" s="1">
        <v>46133</v>
      </c>
      <c r="D176" s="2">
        <v>0.42596064814814816</v>
      </c>
      <c r="E176" t="s">
        <v>294</v>
      </c>
      <c r="F176" t="s">
        <v>182</v>
      </c>
      <c r="G176" t="s">
        <v>159</v>
      </c>
      <c r="H176" t="s">
        <v>265</v>
      </c>
      <c r="I176" t="s">
        <v>1394</v>
      </c>
      <c r="J176">
        <v>1</v>
      </c>
      <c r="K176">
        <v>8357</v>
      </c>
      <c r="L176">
        <v>30151</v>
      </c>
      <c r="M176" t="s">
        <v>1475</v>
      </c>
      <c r="N176" s="1">
        <v>46135</v>
      </c>
      <c r="O176" s="2">
        <v>0.45709490740740738</v>
      </c>
      <c r="Q176">
        <v>9895</v>
      </c>
      <c r="R176" t="str">
        <f>HYPERLINK("https://7lm.cvcrm.com.br/gestor/relatorios/associado/html?q[1|r.idreserva]=6984","HERIKA CONCEICAO DA COSTA")</f>
        <v>HERIKA CONCEICAO DA COSTA</v>
      </c>
      <c r="S176">
        <v>8450208114</v>
      </c>
      <c r="T176">
        <v>5561998349616</v>
      </c>
      <c r="U176">
        <v>5561999152910</v>
      </c>
      <c r="V176" t="s">
        <v>1476</v>
      </c>
      <c r="W176" t="s">
        <v>187</v>
      </c>
      <c r="X176" t="s">
        <v>376</v>
      </c>
      <c r="Y176" t="s">
        <v>189</v>
      </c>
      <c r="Z176" t="s">
        <v>190</v>
      </c>
      <c r="AA176" t="s">
        <v>1477</v>
      </c>
      <c r="AB176" t="s">
        <v>1478</v>
      </c>
      <c r="AC176" t="s">
        <v>534</v>
      </c>
      <c r="AF176" t="s">
        <v>303</v>
      </c>
      <c r="AG176" t="s">
        <v>251</v>
      </c>
      <c r="AH176" s="3">
        <v>251571.29</v>
      </c>
      <c r="AI176" s="3">
        <v>251571.29</v>
      </c>
      <c r="AJ176" s="1">
        <v>46163</v>
      </c>
      <c r="AN176" t="s">
        <v>172</v>
      </c>
      <c r="AR176" s="7" t="s">
        <v>353</v>
      </c>
      <c r="AT176" t="s">
        <v>196</v>
      </c>
      <c r="AU176" t="s">
        <v>292</v>
      </c>
      <c r="AW176">
        <v>0</v>
      </c>
      <c r="AX176" s="1">
        <v>46139</v>
      </c>
      <c r="AY176" s="2">
        <v>0.6872800925925926</v>
      </c>
      <c r="AZ176">
        <v>82698</v>
      </c>
      <c r="BA176" s="1">
        <v>44944</v>
      </c>
      <c r="BC176" t="s">
        <v>1479</v>
      </c>
      <c r="BD176" s="1">
        <v>44944</v>
      </c>
      <c r="BE176" t="s">
        <v>317</v>
      </c>
      <c r="BL176" s="4">
        <v>0</v>
      </c>
      <c r="BM176" s="1">
        <v>46899</v>
      </c>
      <c r="BN176" s="1">
        <v>46139</v>
      </c>
      <c r="BO176">
        <v>0</v>
      </c>
      <c r="BP176">
        <v>31027</v>
      </c>
      <c r="BQ176" t="s">
        <v>156</v>
      </c>
      <c r="BR176" s="3">
        <v>155573.69</v>
      </c>
      <c r="BS176" s="3">
        <v>18598</v>
      </c>
      <c r="BT176">
        <v>0</v>
      </c>
      <c r="BU176" s="3">
        <v>174171.69</v>
      </c>
      <c r="BV176" s="3">
        <v>251571.29</v>
      </c>
      <c r="BX176">
        <v>0</v>
      </c>
      <c r="BZ176">
        <v>0</v>
      </c>
      <c r="CA176">
        <v>0</v>
      </c>
      <c r="CB176">
        <v>0</v>
      </c>
      <c r="CC176" s="3">
        <v>251571.29</v>
      </c>
      <c r="CD176" s="5">
        <v>0</v>
      </c>
      <c r="CF176" s="6">
        <v>46113</v>
      </c>
      <c r="CH176">
        <v>0</v>
      </c>
      <c r="CI176">
        <v>0</v>
      </c>
      <c r="CJ176">
        <v>0</v>
      </c>
      <c r="CK176">
        <v>0</v>
      </c>
      <c r="CL176">
        <v>0</v>
      </c>
      <c r="CM176">
        <v>0</v>
      </c>
      <c r="CN176">
        <v>0</v>
      </c>
      <c r="CO176">
        <v>0</v>
      </c>
      <c r="CP176">
        <v>0</v>
      </c>
      <c r="CQ176">
        <v>0</v>
      </c>
      <c r="CR176">
        <v>0</v>
      </c>
      <c r="CS176" t="s">
        <v>305</v>
      </c>
      <c r="CT176" t="s">
        <v>190</v>
      </c>
      <c r="CU176" t="s">
        <v>1394</v>
      </c>
      <c r="CW176">
        <v>-53.1873</v>
      </c>
      <c r="CZ176" s="1">
        <v>46133</v>
      </c>
      <c r="DA176" t="s">
        <v>172</v>
      </c>
      <c r="DB176" t="s">
        <v>172</v>
      </c>
      <c r="DC176" t="s">
        <v>172</v>
      </c>
      <c r="DD176" t="s">
        <v>172</v>
      </c>
      <c r="DG176" s="1">
        <v>46133</v>
      </c>
      <c r="DH176">
        <v>0</v>
      </c>
      <c r="DI176">
        <v>0</v>
      </c>
      <c r="DJ176" s="1">
        <v>46139</v>
      </c>
      <c r="DK176" t="s">
        <v>179</v>
      </c>
      <c r="DL176" t="s">
        <v>200</v>
      </c>
      <c r="DM176" t="s">
        <v>172</v>
      </c>
      <c r="DN176" t="s">
        <v>525</v>
      </c>
      <c r="DP176" s="4">
        <v>1.2E-2</v>
      </c>
      <c r="DU176" t="s">
        <v>440</v>
      </c>
      <c r="DV176" s="3">
        <v>285828.71000000002</v>
      </c>
      <c r="DW176">
        <v>-53.19</v>
      </c>
      <c r="DX176" s="3">
        <v>285828.71000000002</v>
      </c>
      <c r="DY176">
        <v>-53.19</v>
      </c>
      <c r="EG176" s="1">
        <v>46135</v>
      </c>
      <c r="EN176" t="s">
        <v>156</v>
      </c>
      <c r="EP176" s="1">
        <v>46135</v>
      </c>
      <c r="ER176" s="1">
        <v>46134</v>
      </c>
      <c r="ES176" t="s">
        <v>1480</v>
      </c>
      <c r="EU176" s="1">
        <v>46136</v>
      </c>
      <c r="EW176" s="1">
        <v>46133</v>
      </c>
    </row>
    <row r="177" spans="1:153" ht="217.5" x14ac:dyDescent="0.35">
      <c r="A177" t="str">
        <f>HYPERLINK("https://7lm.cvcrm.com.br/gestor/comercial/reservas/6983/administrar","6983")</f>
        <v>6983</v>
      </c>
      <c r="B177" t="s">
        <v>172</v>
      </c>
      <c r="C177" s="1">
        <v>46132</v>
      </c>
      <c r="D177" s="2">
        <v>0.80822916666666667</v>
      </c>
      <c r="E177" t="s">
        <v>527</v>
      </c>
      <c r="F177" t="s">
        <v>182</v>
      </c>
      <c r="G177" t="s">
        <v>159</v>
      </c>
      <c r="H177" t="s">
        <v>265</v>
      </c>
      <c r="I177" t="s">
        <v>430</v>
      </c>
      <c r="J177">
        <v>1</v>
      </c>
      <c r="K177">
        <v>8357</v>
      </c>
      <c r="L177">
        <v>30151</v>
      </c>
      <c r="M177" t="s">
        <v>431</v>
      </c>
      <c r="R177" t="str">
        <f>HYPERLINK("https://7lm.cvcrm.com.br/gestor/relatorios/associado/html?q[1|r.idreserva]=6983","HERIKA CONCEICAO DA COSTA")</f>
        <v>HERIKA CONCEICAO DA COSTA</v>
      </c>
      <c r="S177">
        <v>8450208114</v>
      </c>
      <c r="T177">
        <v>5561998349616</v>
      </c>
      <c r="U177">
        <v>5561999152910</v>
      </c>
      <c r="V177" t="s">
        <v>1476</v>
      </c>
      <c r="W177" t="s">
        <v>187</v>
      </c>
      <c r="X177" t="s">
        <v>376</v>
      </c>
      <c r="Y177" t="s">
        <v>189</v>
      </c>
      <c r="Z177" t="s">
        <v>190</v>
      </c>
      <c r="AA177" t="s">
        <v>1477</v>
      </c>
      <c r="AB177" t="s">
        <v>1478</v>
      </c>
      <c r="AC177" t="s">
        <v>534</v>
      </c>
      <c r="AF177" t="s">
        <v>303</v>
      </c>
      <c r="AG177" t="s">
        <v>251</v>
      </c>
      <c r="AH177" s="3">
        <v>251571.29</v>
      </c>
      <c r="AI177" s="3">
        <v>251571.29</v>
      </c>
      <c r="AJ177" s="1">
        <v>46162</v>
      </c>
      <c r="AN177" t="s">
        <v>172</v>
      </c>
      <c r="AO177" t="s">
        <v>725</v>
      </c>
      <c r="AP177" t="s">
        <v>1481</v>
      </c>
      <c r="AR177" s="7" t="s">
        <v>1482</v>
      </c>
      <c r="AT177" t="s">
        <v>196</v>
      </c>
      <c r="AU177" t="s">
        <v>292</v>
      </c>
      <c r="AW177">
        <v>0</v>
      </c>
      <c r="AX177" s="1">
        <v>46134</v>
      </c>
      <c r="AY177" s="2">
        <v>0.44657407407407407</v>
      </c>
      <c r="AZ177">
        <v>82698</v>
      </c>
      <c r="BA177" s="1">
        <v>44944</v>
      </c>
      <c r="BC177" t="s">
        <v>1479</v>
      </c>
      <c r="BD177" s="1">
        <v>44944</v>
      </c>
      <c r="BE177" t="s">
        <v>317</v>
      </c>
      <c r="BL177" s="4">
        <v>0</v>
      </c>
      <c r="BM177" s="1">
        <v>46899</v>
      </c>
      <c r="BO177">
        <v>0</v>
      </c>
      <c r="BP177">
        <v>31027</v>
      </c>
      <c r="BQ177" t="s">
        <v>156</v>
      </c>
      <c r="BR177" s="3">
        <v>155573.69</v>
      </c>
      <c r="BS177" s="3">
        <v>18598</v>
      </c>
      <c r="BT177">
        <v>0</v>
      </c>
      <c r="BU177" s="3">
        <v>174171.69</v>
      </c>
      <c r="BV177" s="3">
        <v>251571.29</v>
      </c>
      <c r="BX177">
        <v>0</v>
      </c>
      <c r="BZ177">
        <v>0</v>
      </c>
      <c r="CA177">
        <v>0</v>
      </c>
      <c r="CB177">
        <v>0</v>
      </c>
      <c r="CC177" s="3">
        <v>251571.29</v>
      </c>
      <c r="CD177" s="5">
        <v>0</v>
      </c>
      <c r="CF177" s="6">
        <v>46113</v>
      </c>
      <c r="CH177">
        <v>0</v>
      </c>
      <c r="CI177">
        <v>0</v>
      </c>
      <c r="CJ177">
        <v>0</v>
      </c>
      <c r="CK177">
        <v>0</v>
      </c>
      <c r="CL177">
        <v>0</v>
      </c>
      <c r="CM177">
        <v>0</v>
      </c>
      <c r="CN177">
        <v>0</v>
      </c>
      <c r="CO177">
        <v>0</v>
      </c>
      <c r="CP177">
        <v>0</v>
      </c>
      <c r="CQ177">
        <v>0</v>
      </c>
      <c r="CR177">
        <v>0</v>
      </c>
      <c r="CT177" t="s">
        <v>190</v>
      </c>
      <c r="CU177" t="s">
        <v>430</v>
      </c>
      <c r="CW177">
        <v>0</v>
      </c>
      <c r="CZ177" s="1">
        <v>46132</v>
      </c>
      <c r="DA177" t="s">
        <v>172</v>
      </c>
      <c r="DB177" t="s">
        <v>172</v>
      </c>
      <c r="DC177" t="s">
        <v>172</v>
      </c>
      <c r="DD177" t="s">
        <v>172</v>
      </c>
      <c r="DG177" s="1">
        <v>46132</v>
      </c>
      <c r="DH177">
        <v>0</v>
      </c>
      <c r="DI177">
        <v>0</v>
      </c>
      <c r="DK177" t="s">
        <v>179</v>
      </c>
      <c r="DL177" t="s">
        <v>200</v>
      </c>
      <c r="DM177" t="s">
        <v>172</v>
      </c>
      <c r="DN177" t="s">
        <v>225</v>
      </c>
      <c r="DP177" s="4">
        <v>1.2E-2</v>
      </c>
      <c r="DV177" s="3">
        <v>251571.29</v>
      </c>
      <c r="DW177">
        <v>0</v>
      </c>
      <c r="DX177" s="3">
        <v>251571.29</v>
      </c>
      <c r="DY177">
        <v>0</v>
      </c>
      <c r="EN177" t="s">
        <v>537</v>
      </c>
      <c r="EU177" s="1">
        <v>46134</v>
      </c>
      <c r="EW177" s="1">
        <v>46132</v>
      </c>
    </row>
    <row r="178" spans="1:153" x14ac:dyDescent="0.35">
      <c r="A178" t="str">
        <f>HYPERLINK("https://7lm.cvcrm.com.br/gestor/comercial/reservas/6982/administrar","6982")</f>
        <v>6982</v>
      </c>
      <c r="B178" t="s">
        <v>172</v>
      </c>
      <c r="C178" s="1">
        <v>46132</v>
      </c>
      <c r="D178" s="2">
        <v>0.73599537037037033</v>
      </c>
      <c r="E178" t="s">
        <v>157</v>
      </c>
      <c r="F178" t="s">
        <v>458</v>
      </c>
      <c r="G178" t="s">
        <v>203</v>
      </c>
      <c r="H178" t="s">
        <v>513</v>
      </c>
      <c r="I178" t="s">
        <v>1483</v>
      </c>
      <c r="J178">
        <v>1</v>
      </c>
      <c r="L178">
        <v>20001</v>
      </c>
      <c r="M178" t="s">
        <v>1484</v>
      </c>
      <c r="R178" t="str">
        <f>HYPERLINK("https://7lm.cvcrm.com.br/gestor/relatorios/associado/html?q[1|r.idreserva]=6982","JOSE ANTONIO DOS SANTOS SOUSA")</f>
        <v>JOSE ANTONIO DOS SANTOS SOUSA</v>
      </c>
      <c r="S178">
        <v>4123993184</v>
      </c>
      <c r="T178">
        <v>5561981524364</v>
      </c>
      <c r="U178">
        <v>5561999517080</v>
      </c>
      <c r="V178" t="s">
        <v>1485</v>
      </c>
      <c r="W178" t="s">
        <v>163</v>
      </c>
      <c r="X178" t="s">
        <v>299</v>
      </c>
      <c r="Y178" t="s">
        <v>165</v>
      </c>
      <c r="Z178" t="s">
        <v>257</v>
      </c>
      <c r="AA178" t="s">
        <v>1486</v>
      </c>
      <c r="AB178" t="s">
        <v>1487</v>
      </c>
      <c r="AC178" t="s">
        <v>1488</v>
      </c>
      <c r="AF178" t="s">
        <v>399</v>
      </c>
      <c r="AG178" t="s">
        <v>195</v>
      </c>
      <c r="AH178" s="3">
        <v>225778.46</v>
      </c>
      <c r="AI178" s="3">
        <v>225778.46</v>
      </c>
      <c r="AJ178" s="1">
        <v>46132</v>
      </c>
      <c r="AN178" t="s">
        <v>172</v>
      </c>
      <c r="AT178" t="s">
        <v>196</v>
      </c>
      <c r="AU178" t="s">
        <v>316</v>
      </c>
      <c r="AW178">
        <v>0</v>
      </c>
      <c r="AX178" s="1">
        <v>46132</v>
      </c>
      <c r="AY178" s="2">
        <v>0.73599537037037033</v>
      </c>
      <c r="AZ178">
        <v>201371</v>
      </c>
      <c r="BA178" s="1">
        <v>46126</v>
      </c>
      <c r="BC178" t="s">
        <v>0</v>
      </c>
      <c r="BD178" s="1">
        <v>46132</v>
      </c>
      <c r="BE178" t="s">
        <v>198</v>
      </c>
      <c r="BL178" s="4">
        <v>0</v>
      </c>
      <c r="BM178" s="1">
        <v>46572</v>
      </c>
      <c r="BO178">
        <v>0</v>
      </c>
      <c r="BP178">
        <v>31020</v>
      </c>
      <c r="BQ178" t="s">
        <v>156</v>
      </c>
      <c r="BR178" s="3">
        <v>118143.3</v>
      </c>
      <c r="BS178" s="3">
        <v>15595</v>
      </c>
      <c r="BT178">
        <v>0</v>
      </c>
      <c r="BU178" s="3">
        <v>133738.29999999999</v>
      </c>
      <c r="BV178" s="3">
        <v>225778.46</v>
      </c>
      <c r="BX178">
        <v>0</v>
      </c>
      <c r="BZ178">
        <v>0</v>
      </c>
      <c r="CA178">
        <v>0</v>
      </c>
      <c r="CB178">
        <v>0</v>
      </c>
      <c r="CC178" s="3">
        <v>225778.46</v>
      </c>
      <c r="CD178" s="5">
        <v>0</v>
      </c>
      <c r="CE178" t="s">
        <v>467</v>
      </c>
      <c r="CF178" s="6">
        <v>46143</v>
      </c>
      <c r="CH178">
        <v>0</v>
      </c>
      <c r="CI178">
        <v>0</v>
      </c>
      <c r="CJ178">
        <v>0</v>
      </c>
      <c r="CK178">
        <v>0</v>
      </c>
      <c r="CL178">
        <v>0</v>
      </c>
      <c r="CM178">
        <v>0</v>
      </c>
      <c r="CN178">
        <v>0</v>
      </c>
      <c r="CO178">
        <v>0</v>
      </c>
      <c r="CP178">
        <v>0</v>
      </c>
      <c r="CQ178">
        <v>0</v>
      </c>
      <c r="CR178">
        <v>0</v>
      </c>
      <c r="CT178" t="s">
        <v>214</v>
      </c>
      <c r="CU178" t="s">
        <v>1483</v>
      </c>
      <c r="CW178">
        <v>0</v>
      </c>
      <c r="CZ178" s="1">
        <v>46132</v>
      </c>
      <c r="DA178" t="s">
        <v>172</v>
      </c>
      <c r="DB178" t="s">
        <v>172</v>
      </c>
      <c r="DC178" t="s">
        <v>172</v>
      </c>
      <c r="DD178" t="s">
        <v>172</v>
      </c>
      <c r="DG178" s="1">
        <v>46132</v>
      </c>
      <c r="DH178">
        <v>0</v>
      </c>
      <c r="DI178">
        <v>0</v>
      </c>
      <c r="DL178" t="s">
        <v>200</v>
      </c>
      <c r="DM178" t="s">
        <v>172</v>
      </c>
      <c r="DN178" t="s">
        <v>201</v>
      </c>
      <c r="DV178" s="3">
        <v>225778.46</v>
      </c>
      <c r="DW178">
        <v>0</v>
      </c>
      <c r="DX178" s="3">
        <v>225778.46</v>
      </c>
      <c r="DY178">
        <v>0</v>
      </c>
      <c r="EN178" t="s">
        <v>172</v>
      </c>
    </row>
    <row r="179" spans="1:153" ht="246.5" x14ac:dyDescent="0.35">
      <c r="A179" t="str">
        <f>HYPERLINK("https://7lm.cvcrm.com.br/gestor/comercial/reservas/6981/administrar","6981")</f>
        <v>6981</v>
      </c>
      <c r="B179" t="s">
        <v>156</v>
      </c>
      <c r="C179" s="1">
        <v>46132</v>
      </c>
      <c r="D179" s="2">
        <v>0.53297453703703701</v>
      </c>
      <c r="E179" t="s">
        <v>294</v>
      </c>
      <c r="F179" t="s">
        <v>182</v>
      </c>
      <c r="G179" t="s">
        <v>159</v>
      </c>
      <c r="H179" t="s">
        <v>362</v>
      </c>
      <c r="I179" t="s">
        <v>253</v>
      </c>
      <c r="J179">
        <v>1</v>
      </c>
      <c r="K179">
        <v>8400</v>
      </c>
      <c r="L179">
        <v>30151</v>
      </c>
      <c r="M179" t="s">
        <v>1489</v>
      </c>
      <c r="N179" s="1">
        <v>46142</v>
      </c>
      <c r="O179" s="2">
        <v>0.67815972222222221</v>
      </c>
      <c r="Q179">
        <v>9922</v>
      </c>
      <c r="R179" t="str">
        <f>HYPERLINK("https://7lm.cvcrm.com.br/gestor/relatorios/associado/html?q[1|r.idreserva]=6981","CARLOS HENRIQUE RIBEIRO DE JESUS")</f>
        <v>CARLOS HENRIQUE RIBEIRO DE JESUS</v>
      </c>
      <c r="S179">
        <v>8905238190</v>
      </c>
      <c r="T179">
        <v>5561993735548</v>
      </c>
      <c r="U179">
        <v>5561992036195</v>
      </c>
      <c r="V179" t="s">
        <v>1490</v>
      </c>
      <c r="W179" t="s">
        <v>163</v>
      </c>
      <c r="X179" t="s">
        <v>521</v>
      </c>
      <c r="Y179" t="s">
        <v>189</v>
      </c>
      <c r="Z179" t="s">
        <v>190</v>
      </c>
      <c r="AA179" t="s">
        <v>1491</v>
      </c>
      <c r="AB179" t="s">
        <v>1492</v>
      </c>
      <c r="AC179" t="s">
        <v>1493</v>
      </c>
      <c r="AD179" t="s">
        <v>1493</v>
      </c>
      <c r="AF179" t="s">
        <v>250</v>
      </c>
      <c r="AG179" t="s">
        <v>251</v>
      </c>
      <c r="AH179" s="3">
        <v>246000.25</v>
      </c>
      <c r="AI179" s="3">
        <v>246000.25</v>
      </c>
      <c r="AJ179" s="1">
        <v>46162</v>
      </c>
      <c r="AN179" t="s">
        <v>172</v>
      </c>
      <c r="AR179" s="7" t="s">
        <v>353</v>
      </c>
      <c r="AT179" t="s">
        <v>173</v>
      </c>
      <c r="AU179" t="s">
        <v>175</v>
      </c>
      <c r="AW179">
        <v>0</v>
      </c>
      <c r="AX179" s="1">
        <v>46142</v>
      </c>
      <c r="AY179" s="2">
        <v>0.69172453703703707</v>
      </c>
      <c r="AZ179">
        <v>122424</v>
      </c>
      <c r="BA179" s="1">
        <v>45470</v>
      </c>
      <c r="BC179" t="s">
        <v>0</v>
      </c>
      <c r="BD179" s="1">
        <v>46132</v>
      </c>
      <c r="BE179" t="s">
        <v>175</v>
      </c>
      <c r="BL179" s="4">
        <v>0</v>
      </c>
      <c r="BM179" s="1">
        <v>46899</v>
      </c>
      <c r="BN179" s="1">
        <v>46142</v>
      </c>
      <c r="BO179">
        <v>0</v>
      </c>
      <c r="BP179">
        <v>31270</v>
      </c>
      <c r="BQ179" t="s">
        <v>156</v>
      </c>
      <c r="BR179">
        <v>0</v>
      </c>
      <c r="BS179">
        <v>0</v>
      </c>
      <c r="BT179">
        <v>0</v>
      </c>
      <c r="BU179">
        <v>0</v>
      </c>
      <c r="BV179" s="3">
        <v>246000.25</v>
      </c>
      <c r="BX179">
        <v>0</v>
      </c>
      <c r="BZ179">
        <v>0</v>
      </c>
      <c r="CA179">
        <v>0</v>
      </c>
      <c r="CB179">
        <v>0</v>
      </c>
      <c r="CC179" s="3">
        <v>246000.25</v>
      </c>
      <c r="CD179" s="5">
        <v>0</v>
      </c>
      <c r="CF179" s="6">
        <v>46113</v>
      </c>
      <c r="CH179">
        <v>0</v>
      </c>
      <c r="CI179">
        <v>0</v>
      </c>
      <c r="CJ179">
        <v>0</v>
      </c>
      <c r="CK179">
        <v>0</v>
      </c>
      <c r="CL179">
        <v>0</v>
      </c>
      <c r="CM179">
        <v>0</v>
      </c>
      <c r="CN179">
        <v>0</v>
      </c>
      <c r="CO179">
        <v>0</v>
      </c>
      <c r="CP179">
        <v>0</v>
      </c>
      <c r="CQ179">
        <v>0</v>
      </c>
      <c r="CR179">
        <v>0</v>
      </c>
      <c r="CS179" t="s">
        <v>649</v>
      </c>
      <c r="CT179" t="s">
        <v>190</v>
      </c>
      <c r="CU179" t="s">
        <v>253</v>
      </c>
      <c r="CW179">
        <v>-50.391199999999998</v>
      </c>
      <c r="CZ179" s="1">
        <v>46132</v>
      </c>
      <c r="DA179" t="s">
        <v>172</v>
      </c>
      <c r="DB179" t="s">
        <v>172</v>
      </c>
      <c r="DC179" t="s">
        <v>172</v>
      </c>
      <c r="DD179" t="s">
        <v>172</v>
      </c>
      <c r="DG179" s="1">
        <v>46132</v>
      </c>
      <c r="DH179">
        <v>0</v>
      </c>
      <c r="DI179">
        <v>0</v>
      </c>
      <c r="DJ179" s="1">
        <v>46142</v>
      </c>
      <c r="DK179" t="s">
        <v>179</v>
      </c>
      <c r="DL179" t="s">
        <v>200</v>
      </c>
      <c r="DM179" t="s">
        <v>172</v>
      </c>
      <c r="DN179" t="s">
        <v>225</v>
      </c>
      <c r="DV179" s="3">
        <v>246000.25</v>
      </c>
      <c r="DW179">
        <v>0</v>
      </c>
      <c r="DX179" s="3">
        <v>246000.25</v>
      </c>
      <c r="DY179">
        <v>0</v>
      </c>
      <c r="EF179" s="1">
        <v>46141</v>
      </c>
      <c r="EG179" s="1">
        <v>46139</v>
      </c>
      <c r="EK179" s="1">
        <v>46141</v>
      </c>
      <c r="EL179" s="1">
        <v>46141</v>
      </c>
      <c r="EN179" t="s">
        <v>156</v>
      </c>
      <c r="EP179" s="1">
        <v>46141</v>
      </c>
      <c r="EQ179" s="1">
        <v>46162</v>
      </c>
      <c r="ER179" s="1">
        <v>46140</v>
      </c>
      <c r="ES179" t="s">
        <v>1494</v>
      </c>
      <c r="EU179" s="1">
        <v>46199</v>
      </c>
      <c r="EV179" s="1">
        <v>46162</v>
      </c>
      <c r="EW179" s="1">
        <v>46132</v>
      </c>
    </row>
    <row r="180" spans="1:153" x14ac:dyDescent="0.35">
      <c r="A180" t="str">
        <f>HYPERLINK("https://7lm.cvcrm.com.br/gestor/comercial/reservas/6980/administrar","6980")</f>
        <v>6980</v>
      </c>
      <c r="B180" t="s">
        <v>156</v>
      </c>
      <c r="C180" s="1">
        <v>46132</v>
      </c>
      <c r="D180" s="2">
        <v>0.43748842592592591</v>
      </c>
      <c r="E180" t="s">
        <v>294</v>
      </c>
      <c r="F180" t="s">
        <v>295</v>
      </c>
      <c r="G180" t="s">
        <v>203</v>
      </c>
      <c r="H180" t="s">
        <v>336</v>
      </c>
      <c r="I180" t="s">
        <v>760</v>
      </c>
      <c r="J180">
        <v>1</v>
      </c>
      <c r="K180">
        <v>8361</v>
      </c>
      <c r="L180">
        <v>30031</v>
      </c>
      <c r="M180" t="s">
        <v>1495</v>
      </c>
      <c r="N180" s="1">
        <v>46139</v>
      </c>
      <c r="O180" s="2">
        <v>0.45579861111111108</v>
      </c>
      <c r="Q180">
        <v>9897</v>
      </c>
      <c r="R180" t="str">
        <f>HYPERLINK("https://7lm.cvcrm.com.br/gestor/relatorios/associado/html?q[1|r.idreserva]=6980","DAVID AUGUSTO LOPES DE CAMPOS ALBUQUERQUE OLIVEIRA")</f>
        <v>DAVID AUGUSTO LOPES DE CAMPOS ALBUQUERQUE OLIVEIRA</v>
      </c>
      <c r="S180">
        <v>4913711105</v>
      </c>
      <c r="T180">
        <v>5561996074905</v>
      </c>
      <c r="U180">
        <v>5561998424733</v>
      </c>
      <c r="V180" t="s">
        <v>1496</v>
      </c>
      <c r="W180" t="s">
        <v>163</v>
      </c>
      <c r="X180" t="s">
        <v>376</v>
      </c>
      <c r="Y180" t="s">
        <v>189</v>
      </c>
      <c r="Z180" t="s">
        <v>190</v>
      </c>
      <c r="AA180" t="s">
        <v>1497</v>
      </c>
      <c r="AB180" t="s">
        <v>1498</v>
      </c>
      <c r="AC180" t="s">
        <v>1499</v>
      </c>
      <c r="AD180" t="s">
        <v>1499</v>
      </c>
      <c r="AF180" t="s">
        <v>303</v>
      </c>
      <c r="AG180" t="s">
        <v>195</v>
      </c>
      <c r="AH180" s="3">
        <v>245794.72</v>
      </c>
      <c r="AI180" s="3">
        <v>245794.72</v>
      </c>
      <c r="AJ180" s="1">
        <v>46188</v>
      </c>
      <c r="AN180" t="s">
        <v>172</v>
      </c>
      <c r="AR180" t="s">
        <v>1500</v>
      </c>
      <c r="AT180" t="s">
        <v>196</v>
      </c>
      <c r="AU180" t="s">
        <v>292</v>
      </c>
      <c r="AW180">
        <v>0</v>
      </c>
      <c r="AX180" s="1">
        <v>46139</v>
      </c>
      <c r="AY180" s="2">
        <v>0.69140046296296298</v>
      </c>
      <c r="AZ180">
        <v>120139</v>
      </c>
      <c r="BA180" s="1">
        <v>45450</v>
      </c>
      <c r="BC180" t="s">
        <v>1501</v>
      </c>
      <c r="BD180" s="1">
        <v>45849</v>
      </c>
      <c r="BE180" t="s">
        <v>466</v>
      </c>
      <c r="BL180" s="4">
        <v>0</v>
      </c>
      <c r="BM180" s="1">
        <v>46604</v>
      </c>
      <c r="BN180" s="1">
        <v>46139</v>
      </c>
      <c r="BO180">
        <v>0</v>
      </c>
      <c r="BP180">
        <v>31038</v>
      </c>
      <c r="BQ180" t="s">
        <v>156</v>
      </c>
      <c r="BR180" s="3">
        <v>146039.93</v>
      </c>
      <c r="BS180" s="3">
        <v>18906</v>
      </c>
      <c r="BT180">
        <v>0</v>
      </c>
      <c r="BU180" s="3">
        <v>164945.93</v>
      </c>
      <c r="BV180" s="3">
        <v>245794.72</v>
      </c>
      <c r="BX180">
        <v>0</v>
      </c>
      <c r="BZ180">
        <v>0</v>
      </c>
      <c r="CA180">
        <v>0</v>
      </c>
      <c r="CB180">
        <v>0</v>
      </c>
      <c r="CC180" s="3">
        <v>245794.72</v>
      </c>
      <c r="CD180" s="5">
        <v>0</v>
      </c>
      <c r="CF180" s="6">
        <v>46113</v>
      </c>
      <c r="CH180">
        <v>0</v>
      </c>
      <c r="CI180">
        <v>0</v>
      </c>
      <c r="CJ180">
        <v>0</v>
      </c>
      <c r="CK180">
        <v>0</v>
      </c>
      <c r="CL180">
        <v>0</v>
      </c>
      <c r="CM180">
        <v>0</v>
      </c>
      <c r="CN180">
        <v>0</v>
      </c>
      <c r="CO180">
        <v>0</v>
      </c>
      <c r="CP180">
        <v>0</v>
      </c>
      <c r="CQ180">
        <v>0</v>
      </c>
      <c r="CR180">
        <v>0</v>
      </c>
      <c r="CS180" t="s">
        <v>360</v>
      </c>
      <c r="CT180" t="s">
        <v>190</v>
      </c>
      <c r="CU180" t="s">
        <v>760</v>
      </c>
      <c r="CW180">
        <v>-48.7913</v>
      </c>
      <c r="CZ180" s="1">
        <v>46132</v>
      </c>
      <c r="DA180" t="s">
        <v>172</v>
      </c>
      <c r="DB180" t="s">
        <v>172</v>
      </c>
      <c r="DC180" t="s">
        <v>172</v>
      </c>
      <c r="DD180" t="s">
        <v>172</v>
      </c>
      <c r="DG180" s="1">
        <v>46132</v>
      </c>
      <c r="DH180">
        <v>0</v>
      </c>
      <c r="DI180">
        <v>0</v>
      </c>
      <c r="DJ180" s="1">
        <v>46139</v>
      </c>
      <c r="DL180" t="s">
        <v>200</v>
      </c>
      <c r="DM180" t="s">
        <v>172</v>
      </c>
      <c r="DN180" t="s">
        <v>201</v>
      </c>
      <c r="DV180" s="3">
        <v>245794.72</v>
      </c>
      <c r="DW180">
        <v>0</v>
      </c>
      <c r="DX180" s="3">
        <v>245794.72</v>
      </c>
      <c r="DY180">
        <v>0</v>
      </c>
      <c r="EG180" s="1">
        <v>46134</v>
      </c>
      <c r="EH180" s="1">
        <v>46135</v>
      </c>
      <c r="EN180" t="s">
        <v>156</v>
      </c>
      <c r="EP180" s="1">
        <v>46135</v>
      </c>
      <c r="ER180" s="1">
        <v>46134</v>
      </c>
      <c r="ES180" t="s">
        <v>1502</v>
      </c>
      <c r="EU180" s="1">
        <v>46134</v>
      </c>
      <c r="EW180" s="1">
        <v>46132</v>
      </c>
    </row>
    <row r="181" spans="1:153" ht="246.5" x14ac:dyDescent="0.35">
      <c r="A181" t="str">
        <f>HYPERLINK("https://7lm.cvcrm.com.br/gestor/comercial/reservas/6979/administrar","6979")</f>
        <v>6979</v>
      </c>
      <c r="B181" t="s">
        <v>156</v>
      </c>
      <c r="C181" s="1">
        <v>46130</v>
      </c>
      <c r="D181" s="2">
        <v>0.78462962962962968</v>
      </c>
      <c r="E181" t="s">
        <v>294</v>
      </c>
      <c r="F181" t="s">
        <v>202</v>
      </c>
      <c r="G181" t="s">
        <v>203</v>
      </c>
      <c r="H181" t="s">
        <v>513</v>
      </c>
      <c r="I181" t="s">
        <v>1503</v>
      </c>
      <c r="J181">
        <v>1</v>
      </c>
      <c r="K181">
        <v>8422</v>
      </c>
      <c r="L181">
        <v>20031</v>
      </c>
      <c r="M181" t="s">
        <v>1504</v>
      </c>
      <c r="N181" s="1">
        <v>46155</v>
      </c>
      <c r="O181" s="2">
        <v>0.30151620370370369</v>
      </c>
      <c r="Q181">
        <v>9937</v>
      </c>
      <c r="R181" t="str">
        <f>HYPERLINK("https://7lm.cvcrm.com.br/gestor/relatorios/associado/html?q[1|r.idreserva]=6979","ADRIANA ARAUJO ROQUE")</f>
        <v>ADRIANA ARAUJO ROQUE</v>
      </c>
      <c r="S181">
        <v>74554760359</v>
      </c>
      <c r="T181">
        <v>5561996088574</v>
      </c>
      <c r="U181">
        <v>61992064159</v>
      </c>
      <c r="V181" t="s">
        <v>1505</v>
      </c>
      <c r="W181" t="s">
        <v>187</v>
      </c>
      <c r="X181" t="s">
        <v>1506</v>
      </c>
      <c r="Y181" t="s">
        <v>189</v>
      </c>
      <c r="Z181" t="s">
        <v>214</v>
      </c>
      <c r="AA181" t="s">
        <v>1507</v>
      </c>
      <c r="AB181" t="s">
        <v>1508</v>
      </c>
      <c r="AC181" t="s">
        <v>1466</v>
      </c>
      <c r="AF181" t="s">
        <v>413</v>
      </c>
      <c r="AG181" t="s">
        <v>195</v>
      </c>
      <c r="AH181" s="3">
        <v>211906.73</v>
      </c>
      <c r="AI181" s="3">
        <v>211906.73</v>
      </c>
      <c r="AJ181" s="1">
        <v>46142</v>
      </c>
      <c r="AN181" t="s">
        <v>172</v>
      </c>
      <c r="AR181" s="7" t="s">
        <v>353</v>
      </c>
      <c r="AT181" t="s">
        <v>196</v>
      </c>
      <c r="AU181" t="s">
        <v>1509</v>
      </c>
      <c r="AW181">
        <v>0</v>
      </c>
      <c r="AX181" s="1">
        <v>46153</v>
      </c>
      <c r="AY181" s="2">
        <v>0.33269675925925923</v>
      </c>
      <c r="AZ181">
        <v>136013</v>
      </c>
      <c r="BA181" s="1">
        <v>45582</v>
      </c>
      <c r="BB181" s="1">
        <v>46127</v>
      </c>
      <c r="BC181" t="s">
        <v>0</v>
      </c>
      <c r="BD181" s="1">
        <v>46130</v>
      </c>
      <c r="BE181" t="s">
        <v>466</v>
      </c>
      <c r="BL181" s="4">
        <v>0</v>
      </c>
      <c r="BM181" s="1">
        <v>46808</v>
      </c>
      <c r="BN181" s="1">
        <v>46153</v>
      </c>
      <c r="BO181">
        <v>0</v>
      </c>
      <c r="BP181">
        <v>31022</v>
      </c>
      <c r="BQ181" t="s">
        <v>156</v>
      </c>
      <c r="BR181" s="3">
        <v>100246.88</v>
      </c>
      <c r="BS181" s="3">
        <v>38794</v>
      </c>
      <c r="BT181">
        <v>0</v>
      </c>
      <c r="BU181" s="3">
        <v>139040.88</v>
      </c>
      <c r="BV181" s="3">
        <v>211906.73</v>
      </c>
      <c r="BX181">
        <v>0</v>
      </c>
      <c r="BZ181">
        <v>0</v>
      </c>
      <c r="CA181">
        <v>0</v>
      </c>
      <c r="CB181">
        <v>0</v>
      </c>
      <c r="CC181" s="3">
        <v>211906.73</v>
      </c>
      <c r="CD181" s="5">
        <v>0</v>
      </c>
      <c r="CF181" s="6">
        <v>46143</v>
      </c>
      <c r="CH181">
        <v>0</v>
      </c>
      <c r="CI181">
        <v>0</v>
      </c>
      <c r="CJ181">
        <v>0</v>
      </c>
      <c r="CK181">
        <v>0</v>
      </c>
      <c r="CL181">
        <v>0</v>
      </c>
      <c r="CM181">
        <v>0</v>
      </c>
      <c r="CN181">
        <v>0</v>
      </c>
      <c r="CO181">
        <v>0</v>
      </c>
      <c r="CP181">
        <v>0</v>
      </c>
      <c r="CQ181">
        <v>0</v>
      </c>
      <c r="CR181">
        <v>0</v>
      </c>
      <c r="CS181" t="s">
        <v>360</v>
      </c>
      <c r="CT181" t="s">
        <v>214</v>
      </c>
      <c r="CU181" t="s">
        <v>1503</v>
      </c>
      <c r="CW181">
        <v>-53.304400000000001</v>
      </c>
      <c r="CZ181" s="1">
        <v>46130</v>
      </c>
      <c r="DA181" t="s">
        <v>172</v>
      </c>
      <c r="DB181" t="s">
        <v>172</v>
      </c>
      <c r="DC181" t="s">
        <v>172</v>
      </c>
      <c r="DD181" t="s">
        <v>172</v>
      </c>
      <c r="DG181" s="1">
        <v>46130</v>
      </c>
      <c r="DH181">
        <v>0</v>
      </c>
      <c r="DI181">
        <v>0</v>
      </c>
      <c r="DJ181" s="1">
        <v>46153</v>
      </c>
      <c r="DL181" t="s">
        <v>215</v>
      </c>
      <c r="DM181" t="s">
        <v>172</v>
      </c>
      <c r="DN181" t="s">
        <v>201</v>
      </c>
      <c r="DV181" s="3">
        <v>211906.73</v>
      </c>
      <c r="DW181">
        <v>0</v>
      </c>
      <c r="DX181" s="3">
        <v>211906.73</v>
      </c>
      <c r="DY181">
        <v>0</v>
      </c>
      <c r="EF181" s="1">
        <v>46154</v>
      </c>
      <c r="EG181" s="1">
        <v>46150</v>
      </c>
      <c r="EK181" s="1">
        <v>46154</v>
      </c>
      <c r="EN181" t="s">
        <v>156</v>
      </c>
      <c r="EP181" s="1">
        <v>46149</v>
      </c>
      <c r="ER181" s="1">
        <v>46147</v>
      </c>
      <c r="ES181" t="s">
        <v>1510</v>
      </c>
      <c r="ET181" t="s">
        <v>699</v>
      </c>
      <c r="EU181" s="1">
        <v>46149</v>
      </c>
      <c r="EW181" s="1">
        <v>46130</v>
      </c>
    </row>
    <row r="182" spans="1:153" ht="246.5" x14ac:dyDescent="0.35">
      <c r="A182" t="str">
        <f>HYPERLINK("https://7lm.cvcrm.com.br/gestor/comercial/reservas/6978/administrar","6978")</f>
        <v>6978</v>
      </c>
      <c r="B182" t="s">
        <v>156</v>
      </c>
      <c r="C182" s="1">
        <v>46130</v>
      </c>
      <c r="D182" s="2">
        <v>0.77196759259259262</v>
      </c>
      <c r="E182" t="s">
        <v>294</v>
      </c>
      <c r="F182" t="s">
        <v>202</v>
      </c>
      <c r="G182" t="s">
        <v>203</v>
      </c>
      <c r="H182" t="s">
        <v>513</v>
      </c>
      <c r="I182" t="s">
        <v>1511</v>
      </c>
      <c r="J182">
        <v>1</v>
      </c>
      <c r="K182">
        <v>8356</v>
      </c>
      <c r="L182">
        <v>20031</v>
      </c>
      <c r="M182" t="s">
        <v>1512</v>
      </c>
      <c r="N182" s="1">
        <v>46140</v>
      </c>
      <c r="O182" s="2">
        <v>0.632349537037037</v>
      </c>
      <c r="Q182">
        <v>9894</v>
      </c>
      <c r="R182" t="str">
        <f>HYPERLINK("https://7lm.cvcrm.com.br/gestor/relatorios/associado/html?q[1|r.idreserva]=6978","MATHEUS ALVES DE MELO")</f>
        <v>MATHEUS ALVES DE MELO</v>
      </c>
      <c r="S182">
        <v>71611627184</v>
      </c>
      <c r="T182">
        <v>556181387610</v>
      </c>
      <c r="U182">
        <v>556182109202</v>
      </c>
      <c r="V182" t="s">
        <v>1513</v>
      </c>
      <c r="W182" t="s">
        <v>163</v>
      </c>
      <c r="Y182" t="s">
        <v>165</v>
      </c>
      <c r="Z182" t="s">
        <v>385</v>
      </c>
      <c r="AA182" t="s">
        <v>783</v>
      </c>
      <c r="AB182" t="s">
        <v>1514</v>
      </c>
      <c r="AC182" t="s">
        <v>715</v>
      </c>
      <c r="AF182" t="s">
        <v>389</v>
      </c>
      <c r="AG182" t="s">
        <v>195</v>
      </c>
      <c r="AH182" s="3">
        <v>223514.14</v>
      </c>
      <c r="AI182" s="3">
        <v>223514.14</v>
      </c>
      <c r="AJ182" s="1">
        <v>46188</v>
      </c>
      <c r="AN182" t="s">
        <v>172</v>
      </c>
      <c r="AR182" s="7" t="s">
        <v>353</v>
      </c>
      <c r="AT182" t="s">
        <v>196</v>
      </c>
      <c r="AU182" t="s">
        <v>316</v>
      </c>
      <c r="AW182">
        <v>0</v>
      </c>
      <c r="AX182" s="1">
        <v>46139</v>
      </c>
      <c r="AY182" s="2">
        <v>0.36269675925925926</v>
      </c>
      <c r="AZ182">
        <v>186103</v>
      </c>
      <c r="BA182" s="1">
        <v>46047</v>
      </c>
      <c r="BC182" t="s">
        <v>0</v>
      </c>
      <c r="BD182" s="1">
        <v>46130</v>
      </c>
      <c r="BE182" t="s">
        <v>615</v>
      </c>
      <c r="BL182" s="4">
        <v>0</v>
      </c>
      <c r="BM182" s="1">
        <v>46808</v>
      </c>
      <c r="BN182" s="1">
        <v>46139</v>
      </c>
      <c r="BO182">
        <v>0</v>
      </c>
      <c r="BP182">
        <v>31124</v>
      </c>
      <c r="BQ182" t="s">
        <v>156</v>
      </c>
      <c r="BR182" s="3">
        <v>114223.45</v>
      </c>
      <c r="BS182" s="3">
        <v>49892</v>
      </c>
      <c r="BT182">
        <v>0</v>
      </c>
      <c r="BU182" s="3">
        <v>164115.45000000001</v>
      </c>
      <c r="BV182" s="3">
        <v>223514.14</v>
      </c>
      <c r="BX182">
        <v>0</v>
      </c>
      <c r="BZ182">
        <v>0</v>
      </c>
      <c r="CA182">
        <v>0</v>
      </c>
      <c r="CB182">
        <v>0</v>
      </c>
      <c r="CC182" s="3">
        <v>223514.14</v>
      </c>
      <c r="CD182" s="5">
        <v>0</v>
      </c>
      <c r="CF182" s="6">
        <v>46113</v>
      </c>
      <c r="CH182">
        <v>0</v>
      </c>
      <c r="CI182">
        <v>0</v>
      </c>
      <c r="CJ182">
        <v>0</v>
      </c>
      <c r="CK182">
        <v>0</v>
      </c>
      <c r="CL182">
        <v>0</v>
      </c>
      <c r="CM182">
        <v>0</v>
      </c>
      <c r="CN182">
        <v>0</v>
      </c>
      <c r="CO182">
        <v>0</v>
      </c>
      <c r="CP182">
        <v>0</v>
      </c>
      <c r="CQ182">
        <v>0</v>
      </c>
      <c r="CR182">
        <v>0</v>
      </c>
      <c r="CS182" t="s">
        <v>360</v>
      </c>
      <c r="CT182" t="s">
        <v>214</v>
      </c>
      <c r="CU182" t="s">
        <v>1511</v>
      </c>
      <c r="CW182">
        <v>-53.190100000000001</v>
      </c>
      <c r="CZ182" s="1">
        <v>46130</v>
      </c>
      <c r="DA182" t="s">
        <v>172</v>
      </c>
      <c r="DB182" t="s">
        <v>172</v>
      </c>
      <c r="DC182" t="s">
        <v>172</v>
      </c>
      <c r="DD182" t="s">
        <v>172</v>
      </c>
      <c r="DG182" s="1">
        <v>46130</v>
      </c>
      <c r="DH182">
        <v>0</v>
      </c>
      <c r="DI182">
        <v>0</v>
      </c>
      <c r="DJ182" s="1">
        <v>46136</v>
      </c>
      <c r="DL182" t="s">
        <v>215</v>
      </c>
      <c r="DM182" t="s">
        <v>172</v>
      </c>
      <c r="DN182" t="s">
        <v>525</v>
      </c>
      <c r="DV182" s="3">
        <v>223514.14</v>
      </c>
      <c r="DW182">
        <v>0</v>
      </c>
      <c r="DX182" s="3">
        <v>223514.14</v>
      </c>
      <c r="DY182">
        <v>0</v>
      </c>
      <c r="EF182" s="1">
        <v>46140</v>
      </c>
      <c r="EG182" s="1">
        <v>46136</v>
      </c>
      <c r="EK182" s="1">
        <v>46140</v>
      </c>
    </row>
    <row r="183" spans="1:153" ht="87" x14ac:dyDescent="0.35">
      <c r="A183" t="str">
        <f>HYPERLINK("https://7lm.cvcrm.com.br/gestor/comercial/reservas/6977/administrar","6977")</f>
        <v>6977</v>
      </c>
      <c r="B183" t="s">
        <v>156</v>
      </c>
      <c r="C183" s="1">
        <v>46130</v>
      </c>
      <c r="D183" s="2">
        <v>0.57290509259259259</v>
      </c>
      <c r="E183" t="s">
        <v>294</v>
      </c>
      <c r="F183" t="s">
        <v>226</v>
      </c>
      <c r="G183" t="s">
        <v>159</v>
      </c>
      <c r="H183" t="s">
        <v>1143</v>
      </c>
      <c r="I183" t="s">
        <v>1063</v>
      </c>
      <c r="J183">
        <v>1</v>
      </c>
      <c r="K183">
        <v>8420</v>
      </c>
      <c r="L183">
        <v>10031</v>
      </c>
      <c r="M183" t="s">
        <v>1515</v>
      </c>
      <c r="N183" s="1">
        <v>46150</v>
      </c>
      <c r="O183" s="2">
        <v>0.69524305555555554</v>
      </c>
      <c r="Q183">
        <v>9936</v>
      </c>
      <c r="R183" t="str">
        <f>HYPERLINK("https://7lm.cvcrm.com.br/gestor/relatorios/associado/html?q[1|r.idreserva]=6977","ELIEL RODRIGUES DA SILVA")</f>
        <v>ELIEL RODRIGUES DA SILVA</v>
      </c>
      <c r="S183">
        <v>6643399130</v>
      </c>
      <c r="T183">
        <v>5561994131904</v>
      </c>
      <c r="U183">
        <v>5561994131904</v>
      </c>
      <c r="V183" t="s">
        <v>1516</v>
      </c>
      <c r="W183" t="s">
        <v>163</v>
      </c>
      <c r="X183" t="s">
        <v>1517</v>
      </c>
      <c r="Y183" t="s">
        <v>165</v>
      </c>
      <c r="Z183" t="s">
        <v>257</v>
      </c>
      <c r="AA183" t="s">
        <v>1518</v>
      </c>
      <c r="AB183" t="s">
        <v>1519</v>
      </c>
      <c r="AC183" t="s">
        <v>550</v>
      </c>
      <c r="AD183" t="s">
        <v>551</v>
      </c>
      <c r="AE183" t="s">
        <v>169</v>
      </c>
      <c r="AF183" t="s">
        <v>170</v>
      </c>
      <c r="AG183" t="s">
        <v>171</v>
      </c>
      <c r="AH183" s="3">
        <v>320000</v>
      </c>
      <c r="AI183" s="3">
        <v>320000</v>
      </c>
      <c r="AJ183" s="1">
        <v>46130</v>
      </c>
      <c r="AN183" t="s">
        <v>172</v>
      </c>
      <c r="AR183" s="7" t="s">
        <v>1520</v>
      </c>
      <c r="AT183" t="s">
        <v>173</v>
      </c>
      <c r="AU183" t="s">
        <v>292</v>
      </c>
      <c r="AW183">
        <v>0</v>
      </c>
      <c r="AX183" s="1">
        <v>46150</v>
      </c>
      <c r="AY183" s="2">
        <v>0.71275462962962965</v>
      </c>
      <c r="AZ183">
        <v>196562</v>
      </c>
      <c r="BA183" s="1">
        <v>46102</v>
      </c>
      <c r="BC183" t="s">
        <v>275</v>
      </c>
      <c r="BD183" s="1">
        <v>46112</v>
      </c>
      <c r="BE183" t="s">
        <v>317</v>
      </c>
      <c r="BL183" s="4">
        <v>0</v>
      </c>
      <c r="BM183" s="1">
        <v>46698</v>
      </c>
      <c r="BN183" s="1">
        <v>46150</v>
      </c>
      <c r="BO183">
        <v>0</v>
      </c>
      <c r="BP183">
        <v>30417</v>
      </c>
      <c r="BQ183" t="s">
        <v>156</v>
      </c>
      <c r="BR183" s="3">
        <v>393176.58</v>
      </c>
      <c r="BS183">
        <v>0</v>
      </c>
      <c r="BT183">
        <v>0</v>
      </c>
      <c r="BU183" s="3">
        <v>393176.58</v>
      </c>
      <c r="BV183" s="3">
        <v>320000</v>
      </c>
      <c r="BX183">
        <v>0</v>
      </c>
      <c r="BZ183">
        <v>0</v>
      </c>
      <c r="CA183">
        <v>0</v>
      </c>
      <c r="CB183">
        <v>0</v>
      </c>
      <c r="CC183" s="3">
        <v>320000</v>
      </c>
      <c r="CD183" s="5">
        <v>0</v>
      </c>
      <c r="CF183" s="6">
        <v>46143</v>
      </c>
      <c r="CH183">
        <v>0</v>
      </c>
      <c r="CI183">
        <v>0</v>
      </c>
      <c r="CJ183">
        <v>0</v>
      </c>
      <c r="CK183">
        <v>0</v>
      </c>
      <c r="CL183">
        <v>0</v>
      </c>
      <c r="CM183">
        <v>0</v>
      </c>
      <c r="CN183">
        <v>0</v>
      </c>
      <c r="CO183">
        <v>0</v>
      </c>
      <c r="CP183">
        <v>0</v>
      </c>
      <c r="CQ183">
        <v>0</v>
      </c>
      <c r="CR183">
        <v>0</v>
      </c>
      <c r="CS183" t="s">
        <v>649</v>
      </c>
      <c r="CT183" t="s">
        <v>238</v>
      </c>
      <c r="CU183" t="s">
        <v>1063</v>
      </c>
      <c r="CW183">
        <v>-64.303799999999995</v>
      </c>
      <c r="CX183" t="s">
        <v>170</v>
      </c>
      <c r="CZ183" s="1">
        <v>46130</v>
      </c>
      <c r="DA183" t="s">
        <v>172</v>
      </c>
      <c r="DB183" t="s">
        <v>172</v>
      </c>
      <c r="DC183" t="s">
        <v>172</v>
      </c>
      <c r="DD183" t="s">
        <v>172</v>
      </c>
      <c r="DG183" s="1">
        <v>46130</v>
      </c>
      <c r="DH183">
        <v>0</v>
      </c>
      <c r="DI183">
        <v>0</v>
      </c>
      <c r="DJ183" s="1">
        <v>46150</v>
      </c>
      <c r="DL183" t="s">
        <v>1157</v>
      </c>
      <c r="DM183" t="s">
        <v>172</v>
      </c>
      <c r="DN183" t="s">
        <v>264</v>
      </c>
      <c r="DU183" t="s">
        <v>1120</v>
      </c>
      <c r="DV183" s="3">
        <v>576454.28</v>
      </c>
      <c r="DW183">
        <v>-64.3</v>
      </c>
      <c r="DX183" s="3">
        <v>576454.28</v>
      </c>
      <c r="DY183">
        <v>-64.3</v>
      </c>
    </row>
    <row r="184" spans="1:153" ht="203" x14ac:dyDescent="0.35">
      <c r="A184" t="str">
        <f>HYPERLINK("https://7lm.cvcrm.com.br/gestor/comercial/reservas/6976/administrar","6976")</f>
        <v>6976</v>
      </c>
      <c r="B184" t="s">
        <v>172</v>
      </c>
      <c r="C184" s="1">
        <v>46130</v>
      </c>
      <c r="D184" s="2">
        <v>0.48950231481481482</v>
      </c>
      <c r="E184" t="s">
        <v>527</v>
      </c>
      <c r="F184" t="s">
        <v>202</v>
      </c>
      <c r="G184" t="s">
        <v>203</v>
      </c>
      <c r="H184" t="s">
        <v>513</v>
      </c>
      <c r="I184" t="s">
        <v>869</v>
      </c>
      <c r="J184">
        <v>1</v>
      </c>
      <c r="L184">
        <v>20031</v>
      </c>
      <c r="M184" t="s">
        <v>870</v>
      </c>
      <c r="R184" t="str">
        <f>HYPERLINK("https://7lm.cvcrm.com.br/gestor/relatorios/associado/html?q[1|r.idreserva]=6976","FILIPE PROFETA RAMOS")</f>
        <v>FILIPE PROFETA RAMOS</v>
      </c>
      <c r="S184">
        <v>9103394140</v>
      </c>
      <c r="T184">
        <v>5561994555668</v>
      </c>
      <c r="V184" t="s">
        <v>1521</v>
      </c>
      <c r="W184" t="s">
        <v>163</v>
      </c>
      <c r="X184" t="s">
        <v>299</v>
      </c>
      <c r="Y184" t="s">
        <v>165</v>
      </c>
      <c r="Z184" t="s">
        <v>938</v>
      </c>
      <c r="AA184" t="s">
        <v>938</v>
      </c>
      <c r="AB184" t="s">
        <v>1522</v>
      </c>
      <c r="AC184" t="s">
        <v>1444</v>
      </c>
      <c r="AF184" t="s">
        <v>413</v>
      </c>
      <c r="AG184" t="s">
        <v>195</v>
      </c>
      <c r="AH184" s="3">
        <v>219519.97</v>
      </c>
      <c r="AI184" s="3">
        <v>219519.97</v>
      </c>
      <c r="AJ184" s="1">
        <v>46178</v>
      </c>
      <c r="AN184" t="s">
        <v>172</v>
      </c>
      <c r="AO184" t="s">
        <v>932</v>
      </c>
      <c r="AP184" t="s">
        <v>1523</v>
      </c>
      <c r="AR184" s="7" t="s">
        <v>1524</v>
      </c>
      <c r="AT184" t="s">
        <v>196</v>
      </c>
      <c r="AU184" t="s">
        <v>292</v>
      </c>
      <c r="AW184">
        <v>0</v>
      </c>
      <c r="AX184" s="1">
        <v>46154</v>
      </c>
      <c r="AY184" s="2">
        <v>0.63855324074074071</v>
      </c>
      <c r="AZ184">
        <v>203003</v>
      </c>
      <c r="BA184" s="1">
        <v>46130</v>
      </c>
      <c r="BC184" t="s">
        <v>0</v>
      </c>
      <c r="BD184" s="1">
        <v>46130</v>
      </c>
      <c r="BE184" t="s">
        <v>213</v>
      </c>
      <c r="BL184" s="4">
        <v>0</v>
      </c>
      <c r="BM184" s="1">
        <v>46808</v>
      </c>
      <c r="BO184">
        <v>0</v>
      </c>
      <c r="BP184">
        <v>30995</v>
      </c>
      <c r="BQ184" t="s">
        <v>156</v>
      </c>
      <c r="BR184" s="3">
        <v>128423.97</v>
      </c>
      <c r="BS184" s="3">
        <v>35220</v>
      </c>
      <c r="BT184">
        <v>0</v>
      </c>
      <c r="BU184" s="3">
        <v>163643.97</v>
      </c>
      <c r="BV184" s="3">
        <v>219519.97</v>
      </c>
      <c r="BX184">
        <v>0</v>
      </c>
      <c r="BZ184">
        <v>0</v>
      </c>
      <c r="CA184">
        <v>0</v>
      </c>
      <c r="CB184">
        <v>0</v>
      </c>
      <c r="CC184" s="3">
        <v>219519.97</v>
      </c>
      <c r="CD184" s="5">
        <v>0</v>
      </c>
      <c r="CF184" s="6">
        <v>46143</v>
      </c>
      <c r="CH184">
        <v>0</v>
      </c>
      <c r="CI184">
        <v>0</v>
      </c>
      <c r="CJ184">
        <v>0</v>
      </c>
      <c r="CK184">
        <v>0</v>
      </c>
      <c r="CL184">
        <v>0</v>
      </c>
      <c r="CM184">
        <v>0</v>
      </c>
      <c r="CN184">
        <v>0</v>
      </c>
      <c r="CO184">
        <v>0</v>
      </c>
      <c r="CP184">
        <v>0</v>
      </c>
      <c r="CQ184">
        <v>0</v>
      </c>
      <c r="CR184">
        <v>0</v>
      </c>
      <c r="CT184" t="s">
        <v>214</v>
      </c>
      <c r="CU184" t="s">
        <v>869</v>
      </c>
      <c r="CW184">
        <v>0</v>
      </c>
      <c r="CZ184" s="1">
        <v>46130</v>
      </c>
      <c r="DA184" t="s">
        <v>172</v>
      </c>
      <c r="DB184" t="s">
        <v>172</v>
      </c>
      <c r="DC184" t="s">
        <v>172</v>
      </c>
      <c r="DD184" t="s">
        <v>172</v>
      </c>
      <c r="DG184" s="1">
        <v>46130</v>
      </c>
      <c r="DH184">
        <v>0</v>
      </c>
      <c r="DI184">
        <v>0</v>
      </c>
      <c r="DL184" t="s">
        <v>215</v>
      </c>
      <c r="DM184" t="s">
        <v>172</v>
      </c>
      <c r="DN184" t="s">
        <v>225</v>
      </c>
      <c r="DV184" s="3">
        <v>219519.97</v>
      </c>
      <c r="DW184">
        <v>0</v>
      </c>
      <c r="DX184" s="3">
        <v>219519.97</v>
      </c>
      <c r="DY184">
        <v>0</v>
      </c>
      <c r="EN184" t="s">
        <v>537</v>
      </c>
      <c r="ET184" t="s">
        <v>1525</v>
      </c>
      <c r="EW184" s="1">
        <v>46130</v>
      </c>
    </row>
    <row r="185" spans="1:153" ht="87" x14ac:dyDescent="0.35">
      <c r="A185" t="str">
        <f>HYPERLINK("https://7lm.cvcrm.com.br/gestor/comercial/reservas/6975/administrar","6975")</f>
        <v>6975</v>
      </c>
      <c r="B185" t="s">
        <v>156</v>
      </c>
      <c r="C185" s="1">
        <v>46130</v>
      </c>
      <c r="D185" s="2">
        <v>0.46129629629629632</v>
      </c>
      <c r="E185" t="s">
        <v>294</v>
      </c>
      <c r="F185" t="s">
        <v>226</v>
      </c>
      <c r="G185" t="s">
        <v>159</v>
      </c>
      <c r="H185" t="s">
        <v>722</v>
      </c>
      <c r="I185" t="s">
        <v>976</v>
      </c>
      <c r="J185">
        <v>1</v>
      </c>
      <c r="L185">
        <v>10031</v>
      </c>
      <c r="M185" t="s">
        <v>1526</v>
      </c>
      <c r="N185" s="1">
        <v>46146</v>
      </c>
      <c r="O185" s="2">
        <v>0.56443287037037038</v>
      </c>
      <c r="R185" t="str">
        <f>HYPERLINK("https://7lm.cvcrm.com.br/gestor/relatorios/associado/html?q[1|r.idreserva]=6975","DENIS LUCIO FEITOSA SANTOS")</f>
        <v>DENIS LUCIO FEITOSA SANTOS</v>
      </c>
      <c r="S185">
        <v>86089765368</v>
      </c>
      <c r="T185">
        <v>5561981269048</v>
      </c>
      <c r="U185">
        <v>5561981269048</v>
      </c>
      <c r="V185" t="s">
        <v>1527</v>
      </c>
      <c r="W185" t="s">
        <v>163</v>
      </c>
      <c r="X185" t="s">
        <v>1528</v>
      </c>
      <c r="Y185" t="s">
        <v>165</v>
      </c>
      <c r="Z185" t="s">
        <v>257</v>
      </c>
      <c r="AA185" t="s">
        <v>1518</v>
      </c>
      <c r="AB185" t="s">
        <v>1529</v>
      </c>
      <c r="AC185" t="s">
        <v>550</v>
      </c>
      <c r="AD185" t="s">
        <v>551</v>
      </c>
      <c r="AE185" t="s">
        <v>169</v>
      </c>
      <c r="AF185" t="s">
        <v>170</v>
      </c>
      <c r="AG185" t="s">
        <v>171</v>
      </c>
      <c r="AH185" s="3">
        <v>351000</v>
      </c>
      <c r="AI185" s="3">
        <v>351000</v>
      </c>
      <c r="AJ185" s="1">
        <v>46130</v>
      </c>
      <c r="AN185" t="s">
        <v>172</v>
      </c>
      <c r="AR185" s="7" t="s">
        <v>1149</v>
      </c>
      <c r="AT185" t="s">
        <v>196</v>
      </c>
      <c r="AU185" t="s">
        <v>316</v>
      </c>
      <c r="AW185">
        <v>0</v>
      </c>
      <c r="AX185" s="1">
        <v>46134</v>
      </c>
      <c r="AY185" s="2">
        <v>0.76304398148148145</v>
      </c>
      <c r="AZ185">
        <v>200427</v>
      </c>
      <c r="BA185" s="1">
        <v>46122</v>
      </c>
      <c r="BC185" t="s">
        <v>176</v>
      </c>
      <c r="BD185" s="1">
        <v>46122</v>
      </c>
      <c r="BE185" t="s">
        <v>176</v>
      </c>
      <c r="BL185" s="4">
        <v>0</v>
      </c>
      <c r="BM185" s="1">
        <v>46698</v>
      </c>
      <c r="BN185" s="1">
        <v>46134</v>
      </c>
      <c r="BO185">
        <v>0</v>
      </c>
      <c r="BP185">
        <v>30819</v>
      </c>
      <c r="BQ185" t="s">
        <v>156</v>
      </c>
      <c r="BR185" s="3">
        <v>309272.39</v>
      </c>
      <c r="BS185">
        <v>0</v>
      </c>
      <c r="BT185">
        <v>0</v>
      </c>
      <c r="BU185" s="3">
        <v>309272.39</v>
      </c>
      <c r="BV185" s="3">
        <v>351000</v>
      </c>
      <c r="BX185">
        <v>0</v>
      </c>
      <c r="BZ185">
        <v>0</v>
      </c>
      <c r="CA185">
        <v>0</v>
      </c>
      <c r="CB185">
        <v>0</v>
      </c>
      <c r="CC185" s="3">
        <v>351000</v>
      </c>
      <c r="CD185" s="5">
        <v>0</v>
      </c>
      <c r="CF185" s="6">
        <v>46113</v>
      </c>
      <c r="CH185">
        <v>0</v>
      </c>
      <c r="CI185">
        <v>0</v>
      </c>
      <c r="CJ185">
        <v>0</v>
      </c>
      <c r="CK185">
        <v>0</v>
      </c>
      <c r="CL185">
        <v>0</v>
      </c>
      <c r="CM185">
        <v>0</v>
      </c>
      <c r="CN185">
        <v>0</v>
      </c>
      <c r="CO185">
        <v>0</v>
      </c>
      <c r="CP185">
        <v>0</v>
      </c>
      <c r="CQ185">
        <v>0</v>
      </c>
      <c r="CR185">
        <v>0</v>
      </c>
      <c r="CS185" t="s">
        <v>360</v>
      </c>
      <c r="CT185" t="s">
        <v>238</v>
      </c>
      <c r="CU185" t="s">
        <v>976</v>
      </c>
      <c r="CW185">
        <v>-61.640999999999998</v>
      </c>
      <c r="CX185" t="s">
        <v>170</v>
      </c>
      <c r="CZ185" s="1">
        <v>46130</v>
      </c>
      <c r="DA185" t="s">
        <v>172</v>
      </c>
      <c r="DB185" t="s">
        <v>172</v>
      </c>
      <c r="DC185" t="s">
        <v>172</v>
      </c>
      <c r="DD185" t="s">
        <v>172</v>
      </c>
      <c r="DG185" s="1">
        <v>46130</v>
      </c>
      <c r="DH185">
        <v>0</v>
      </c>
      <c r="DI185">
        <v>0</v>
      </c>
      <c r="DL185" t="s">
        <v>239</v>
      </c>
      <c r="DM185" t="s">
        <v>172</v>
      </c>
      <c r="DU185" t="s">
        <v>1120</v>
      </c>
      <c r="DV185" s="3">
        <v>564039.12</v>
      </c>
      <c r="DW185">
        <v>-61.64</v>
      </c>
      <c r="DX185" s="3">
        <v>564039.12</v>
      </c>
      <c r="DY185">
        <v>-61.64</v>
      </c>
    </row>
    <row r="186" spans="1:153" x14ac:dyDescent="0.35">
      <c r="A186" t="str">
        <f>HYPERLINK("https://7lm.cvcrm.com.br/gestor/comercial/reservas/6974/administrar","6974")</f>
        <v>6974</v>
      </c>
      <c r="B186" t="s">
        <v>156</v>
      </c>
      <c r="C186" s="1">
        <v>46129</v>
      </c>
      <c r="D186" s="2">
        <v>0.8970717592592593</v>
      </c>
      <c r="E186" t="s">
        <v>294</v>
      </c>
      <c r="F186" t="s">
        <v>202</v>
      </c>
      <c r="G186" t="s">
        <v>203</v>
      </c>
      <c r="H186" t="s">
        <v>277</v>
      </c>
      <c r="I186" t="s">
        <v>934</v>
      </c>
      <c r="J186">
        <v>1</v>
      </c>
      <c r="K186">
        <v>8347</v>
      </c>
      <c r="L186">
        <v>20031</v>
      </c>
      <c r="M186" t="s">
        <v>1530</v>
      </c>
      <c r="N186" s="1">
        <v>46139</v>
      </c>
      <c r="O186" s="2">
        <v>0.44265046296296295</v>
      </c>
      <c r="R186" t="str">
        <f>HYPERLINK("https://7lm.cvcrm.com.br/gestor/relatorios/associado/html?q[1|r.idreserva]=6974","CAYO JOEL CASTRO DE MACEDO")</f>
        <v>CAYO JOEL CASTRO DE MACEDO</v>
      </c>
      <c r="S186">
        <v>8443570148</v>
      </c>
      <c r="T186">
        <v>556196021796</v>
      </c>
      <c r="U186">
        <v>5561984095800</v>
      </c>
      <c r="V186" t="s">
        <v>1531</v>
      </c>
      <c r="W186" t="s">
        <v>163</v>
      </c>
      <c r="X186" t="s">
        <v>521</v>
      </c>
      <c r="Y186" t="s">
        <v>189</v>
      </c>
      <c r="Z186" t="s">
        <v>1532</v>
      </c>
      <c r="AA186" t="s">
        <v>1533</v>
      </c>
      <c r="AB186" t="s">
        <v>1534</v>
      </c>
      <c r="AC186" t="s">
        <v>398</v>
      </c>
      <c r="AF186" t="s">
        <v>399</v>
      </c>
      <c r="AG186" t="s">
        <v>195</v>
      </c>
      <c r="AH186" s="3">
        <v>223576.62</v>
      </c>
      <c r="AI186" s="3">
        <v>223576.62</v>
      </c>
      <c r="AJ186" s="1">
        <v>46129</v>
      </c>
      <c r="AN186" t="s">
        <v>172</v>
      </c>
      <c r="AR186" t="s">
        <v>1203</v>
      </c>
      <c r="AT186" t="s">
        <v>196</v>
      </c>
      <c r="AU186" t="s">
        <v>316</v>
      </c>
      <c r="AW186">
        <v>0</v>
      </c>
      <c r="AX186" s="1">
        <v>46135</v>
      </c>
      <c r="AY186" s="2">
        <v>0.61063657407407412</v>
      </c>
      <c r="AZ186">
        <v>201039</v>
      </c>
      <c r="BA186" s="1">
        <v>46125</v>
      </c>
      <c r="BC186" t="s">
        <v>0</v>
      </c>
      <c r="BD186" s="1">
        <v>46129</v>
      </c>
      <c r="BE186" t="s">
        <v>615</v>
      </c>
      <c r="BL186" s="4">
        <v>0</v>
      </c>
      <c r="BM186" s="1">
        <v>46808</v>
      </c>
      <c r="BN186" s="1">
        <v>46135</v>
      </c>
      <c r="BO186">
        <v>0</v>
      </c>
      <c r="BP186">
        <v>30992</v>
      </c>
      <c r="BQ186" t="s">
        <v>156</v>
      </c>
      <c r="BR186" s="3">
        <v>134027.54</v>
      </c>
      <c r="BS186" s="3">
        <v>29597</v>
      </c>
      <c r="BT186">
        <v>0</v>
      </c>
      <c r="BU186" s="3">
        <v>163624.54</v>
      </c>
      <c r="BV186" s="3">
        <v>223576.62</v>
      </c>
      <c r="BX186">
        <v>0</v>
      </c>
      <c r="BZ186">
        <v>0</v>
      </c>
      <c r="CA186">
        <v>0</v>
      </c>
      <c r="CB186">
        <v>0</v>
      </c>
      <c r="CC186" s="3">
        <v>223576.62</v>
      </c>
      <c r="CD186" s="5">
        <v>0</v>
      </c>
      <c r="CF186" s="6">
        <v>46113</v>
      </c>
      <c r="CH186">
        <v>0</v>
      </c>
      <c r="CI186">
        <v>0</v>
      </c>
      <c r="CJ186">
        <v>0</v>
      </c>
      <c r="CK186">
        <v>0</v>
      </c>
      <c r="CL186">
        <v>0</v>
      </c>
      <c r="CM186">
        <v>0</v>
      </c>
      <c r="CN186">
        <v>0</v>
      </c>
      <c r="CO186">
        <v>0</v>
      </c>
      <c r="CP186">
        <v>0</v>
      </c>
      <c r="CQ186">
        <v>0</v>
      </c>
      <c r="CR186">
        <v>0</v>
      </c>
      <c r="CS186" t="s">
        <v>360</v>
      </c>
      <c r="CT186" t="s">
        <v>214</v>
      </c>
      <c r="CU186" t="s">
        <v>934</v>
      </c>
      <c r="CW186">
        <v>-52.987499999999997</v>
      </c>
      <c r="CZ186" s="1">
        <v>46129</v>
      </c>
      <c r="DA186" t="s">
        <v>172</v>
      </c>
      <c r="DB186" t="s">
        <v>172</v>
      </c>
      <c r="DC186" t="s">
        <v>172</v>
      </c>
      <c r="DD186" t="s">
        <v>172</v>
      </c>
      <c r="DG186" s="1">
        <v>46129</v>
      </c>
      <c r="DH186">
        <v>0</v>
      </c>
      <c r="DI186">
        <v>0</v>
      </c>
      <c r="DJ186" s="1">
        <v>46135</v>
      </c>
      <c r="DL186" t="s">
        <v>215</v>
      </c>
      <c r="DM186" t="s">
        <v>172</v>
      </c>
      <c r="DN186" t="s">
        <v>525</v>
      </c>
      <c r="DV186" s="3">
        <v>223576.62</v>
      </c>
      <c r="DW186">
        <v>0</v>
      </c>
      <c r="DX186" s="3">
        <v>223576.62</v>
      </c>
      <c r="DY186">
        <v>0</v>
      </c>
      <c r="EF186" s="1">
        <v>46139</v>
      </c>
      <c r="EG186" s="1">
        <v>46134</v>
      </c>
      <c r="EK186" s="1">
        <v>46139</v>
      </c>
      <c r="EP186" s="1">
        <v>46134</v>
      </c>
    </row>
    <row r="187" spans="1:153" ht="246.5" x14ac:dyDescent="0.35">
      <c r="A187" t="str">
        <f>HYPERLINK("https://7lm.cvcrm.com.br/gestor/comercial/reservas/6973/administrar","6973")</f>
        <v>6973</v>
      </c>
      <c r="B187" t="s">
        <v>156</v>
      </c>
      <c r="C187" s="1">
        <v>46129</v>
      </c>
      <c r="D187" s="2">
        <v>0.84460648148148143</v>
      </c>
      <c r="E187" t="s">
        <v>294</v>
      </c>
      <c r="F187" t="s">
        <v>202</v>
      </c>
      <c r="G187" t="s">
        <v>203</v>
      </c>
      <c r="H187" t="s">
        <v>528</v>
      </c>
      <c r="I187" t="s">
        <v>1113</v>
      </c>
      <c r="J187">
        <v>1</v>
      </c>
      <c r="K187">
        <v>8365</v>
      </c>
      <c r="L187">
        <v>20031</v>
      </c>
      <c r="M187" t="s">
        <v>1535</v>
      </c>
      <c r="N187" s="1">
        <v>46140</v>
      </c>
      <c r="O187" s="2">
        <v>0.55106481481481484</v>
      </c>
      <c r="R187" t="str">
        <f>HYPERLINK("https://7lm.cvcrm.com.br/gestor/relatorios/associado/html?q[1|r.idreserva]=6973","ELIENE CANUTO DA SILVA")</f>
        <v>ELIENE CANUTO DA SILVA</v>
      </c>
      <c r="S187">
        <v>69886318104</v>
      </c>
      <c r="T187">
        <v>5561986247312</v>
      </c>
      <c r="U187">
        <v>5561984870247</v>
      </c>
      <c r="V187" t="s">
        <v>1536</v>
      </c>
      <c r="W187" t="s">
        <v>187</v>
      </c>
      <c r="Y187" t="s">
        <v>189</v>
      </c>
      <c r="Z187" t="s">
        <v>214</v>
      </c>
      <c r="AA187" t="s">
        <v>1537</v>
      </c>
      <c r="AB187" t="s">
        <v>1538</v>
      </c>
      <c r="AC187" t="s">
        <v>785</v>
      </c>
      <c r="AD187" t="s">
        <v>785</v>
      </c>
      <c r="AF187" t="s">
        <v>634</v>
      </c>
      <c r="AG187" t="s">
        <v>195</v>
      </c>
      <c r="AH187" s="3">
        <v>215170.68</v>
      </c>
      <c r="AI187" s="3">
        <v>215170.68</v>
      </c>
      <c r="AJ187" s="1">
        <v>46188</v>
      </c>
      <c r="AN187" t="s">
        <v>172</v>
      </c>
      <c r="AR187" s="7" t="s">
        <v>353</v>
      </c>
      <c r="AT187" t="s">
        <v>196</v>
      </c>
      <c r="AU187" t="s">
        <v>316</v>
      </c>
      <c r="AW187">
        <v>0</v>
      </c>
      <c r="AX187" s="1">
        <v>46141</v>
      </c>
      <c r="AY187" s="2">
        <v>0.41340277777777779</v>
      </c>
      <c r="AZ187">
        <v>112591</v>
      </c>
      <c r="BA187" s="1">
        <v>45377</v>
      </c>
      <c r="BB187" s="1">
        <v>45922</v>
      </c>
      <c r="BC187" t="s">
        <v>0</v>
      </c>
      <c r="BD187" s="1">
        <v>46129</v>
      </c>
      <c r="BE187" t="s">
        <v>427</v>
      </c>
      <c r="BL187" s="4">
        <v>0</v>
      </c>
      <c r="BM187" s="1">
        <v>46808</v>
      </c>
      <c r="BN187" s="1">
        <v>46141</v>
      </c>
      <c r="BO187">
        <v>0</v>
      </c>
      <c r="BP187">
        <v>30257</v>
      </c>
      <c r="BQ187" t="s">
        <v>156</v>
      </c>
      <c r="BR187" s="3">
        <v>102064.64</v>
      </c>
      <c r="BS187" s="3">
        <v>50286</v>
      </c>
      <c r="BT187">
        <v>0</v>
      </c>
      <c r="BU187" s="3">
        <v>152350.64000000001</v>
      </c>
      <c r="BV187" s="3">
        <v>215170.68</v>
      </c>
      <c r="BX187">
        <v>0</v>
      </c>
      <c r="BZ187">
        <v>0</v>
      </c>
      <c r="CA187">
        <v>0</v>
      </c>
      <c r="CB187">
        <v>0</v>
      </c>
      <c r="CC187" s="3">
        <v>215170.68</v>
      </c>
      <c r="CD187" s="5">
        <v>0</v>
      </c>
      <c r="CF187" s="6">
        <v>46113</v>
      </c>
      <c r="CH187">
        <v>0</v>
      </c>
      <c r="CI187">
        <v>0</v>
      </c>
      <c r="CJ187">
        <v>0</v>
      </c>
      <c r="CK187">
        <v>0</v>
      </c>
      <c r="CL187">
        <v>0</v>
      </c>
      <c r="CM187">
        <v>0</v>
      </c>
      <c r="CN187">
        <v>0</v>
      </c>
      <c r="CO187">
        <v>0</v>
      </c>
      <c r="CP187">
        <v>0</v>
      </c>
      <c r="CQ187">
        <v>0</v>
      </c>
      <c r="CR187">
        <v>0</v>
      </c>
      <c r="CS187" t="s">
        <v>360</v>
      </c>
      <c r="CT187" t="s">
        <v>214</v>
      </c>
      <c r="CU187" t="s">
        <v>1113</v>
      </c>
      <c r="CW187">
        <v>-53.547400000000003</v>
      </c>
      <c r="CZ187" s="1">
        <v>46129</v>
      </c>
      <c r="DA187" t="s">
        <v>172</v>
      </c>
      <c r="DB187" t="s">
        <v>172</v>
      </c>
      <c r="DC187" t="s">
        <v>172</v>
      </c>
      <c r="DD187" t="s">
        <v>172</v>
      </c>
      <c r="DG187" s="1">
        <v>46129</v>
      </c>
      <c r="DH187">
        <v>0</v>
      </c>
      <c r="DI187">
        <v>0</v>
      </c>
      <c r="DJ187" s="1">
        <v>46140</v>
      </c>
      <c r="DL187" t="s">
        <v>224</v>
      </c>
      <c r="DM187" t="s">
        <v>172</v>
      </c>
      <c r="DN187" t="s">
        <v>201</v>
      </c>
      <c r="DU187" t="s">
        <v>318</v>
      </c>
      <c r="DV187" s="3">
        <v>260229.32</v>
      </c>
      <c r="DW187">
        <v>-54.74</v>
      </c>
      <c r="DX187" s="3">
        <v>260229.32</v>
      </c>
      <c r="DY187">
        <v>-54.74</v>
      </c>
      <c r="EF187" s="1">
        <v>46140</v>
      </c>
      <c r="EG187" s="1">
        <v>46136</v>
      </c>
      <c r="EK187" s="1">
        <v>46140</v>
      </c>
      <c r="EM187" s="1">
        <v>46139</v>
      </c>
      <c r="EN187" t="s">
        <v>156</v>
      </c>
      <c r="EP187" s="1">
        <v>46136</v>
      </c>
      <c r="EU187" s="1">
        <v>46133</v>
      </c>
      <c r="EW187" s="1">
        <v>46129</v>
      </c>
    </row>
    <row r="188" spans="1:153" ht="246.5" x14ac:dyDescent="0.35">
      <c r="A188" t="str">
        <f>HYPERLINK("https://7lm.cvcrm.com.br/gestor/comercial/reservas/6972/administrar","6972")</f>
        <v>6972</v>
      </c>
      <c r="B188" t="s">
        <v>156</v>
      </c>
      <c r="C188" s="1">
        <v>46129</v>
      </c>
      <c r="D188" s="2">
        <v>0.79855324074074074</v>
      </c>
      <c r="E188" t="s">
        <v>294</v>
      </c>
      <c r="F188" t="s">
        <v>295</v>
      </c>
      <c r="G188" t="s">
        <v>203</v>
      </c>
      <c r="H188" t="s">
        <v>217</v>
      </c>
      <c r="I188" t="s">
        <v>253</v>
      </c>
      <c r="J188">
        <v>1</v>
      </c>
      <c r="L188">
        <v>30031</v>
      </c>
      <c r="M188" t="s">
        <v>1539</v>
      </c>
      <c r="N188" s="1">
        <v>46132</v>
      </c>
      <c r="O188" s="2">
        <v>0.46649305555555554</v>
      </c>
      <c r="R188" t="str">
        <f>HYPERLINK("https://7lm.cvcrm.com.br/gestor/relatorios/associado/html?q[1|r.idreserva]=6972","LUDMILLA APARECIDA FERREIRA DA COSTA")</f>
        <v>LUDMILLA APARECIDA FERREIRA DA COSTA</v>
      </c>
      <c r="S188">
        <v>3396790189</v>
      </c>
      <c r="T188">
        <v>5561996603864</v>
      </c>
      <c r="U188">
        <v>5561998479330</v>
      </c>
      <c r="V188" t="s">
        <v>1540</v>
      </c>
      <c r="W188" t="s">
        <v>187</v>
      </c>
      <c r="X188" t="s">
        <v>299</v>
      </c>
      <c r="Y188" t="s">
        <v>189</v>
      </c>
      <c r="Z188" t="s">
        <v>190</v>
      </c>
      <c r="AA188" t="s">
        <v>1541</v>
      </c>
      <c r="AB188" t="s">
        <v>1542</v>
      </c>
      <c r="AC188" t="s">
        <v>302</v>
      </c>
      <c r="AD188" t="s">
        <v>302</v>
      </c>
      <c r="AF188" t="s">
        <v>303</v>
      </c>
      <c r="AG188" t="s">
        <v>195</v>
      </c>
      <c r="AH188" s="3">
        <v>247732.82</v>
      </c>
      <c r="AI188" s="3">
        <v>247732.82</v>
      </c>
      <c r="AJ188" s="1">
        <v>46159</v>
      </c>
      <c r="AN188" t="s">
        <v>172</v>
      </c>
      <c r="AR188" s="7" t="s">
        <v>353</v>
      </c>
      <c r="AT188" t="s">
        <v>196</v>
      </c>
      <c r="AU188" t="s">
        <v>292</v>
      </c>
      <c r="AW188">
        <v>0</v>
      </c>
      <c r="AX188" s="1">
        <v>46134</v>
      </c>
      <c r="AY188" s="2">
        <v>0.7670717592592593</v>
      </c>
      <c r="AZ188">
        <v>59919</v>
      </c>
      <c r="BA188" s="1">
        <v>44378</v>
      </c>
      <c r="BC188" t="s">
        <v>0</v>
      </c>
      <c r="BD188" s="1">
        <v>46129</v>
      </c>
      <c r="BE188" t="s">
        <v>317</v>
      </c>
      <c r="BL188" s="4">
        <v>0</v>
      </c>
      <c r="BM188" s="1">
        <v>46604</v>
      </c>
      <c r="BN188" s="1">
        <v>46134</v>
      </c>
      <c r="BO188">
        <v>0</v>
      </c>
      <c r="BP188">
        <v>30982</v>
      </c>
      <c r="BQ188" t="s">
        <v>156</v>
      </c>
      <c r="BR188" s="3">
        <v>143137.57999999999</v>
      </c>
      <c r="BS188" s="3">
        <v>24467</v>
      </c>
      <c r="BT188">
        <v>0</v>
      </c>
      <c r="BU188" s="3">
        <v>167604.57999999999</v>
      </c>
      <c r="BV188" s="3">
        <v>247732.82</v>
      </c>
      <c r="BX188">
        <v>0</v>
      </c>
      <c r="BZ188">
        <v>0</v>
      </c>
      <c r="CA188">
        <v>0</v>
      </c>
      <c r="CB188">
        <v>0</v>
      </c>
      <c r="CC188" s="3">
        <v>247732.82</v>
      </c>
      <c r="CD188" s="5">
        <v>0</v>
      </c>
      <c r="CF188" s="6">
        <v>46113</v>
      </c>
      <c r="CH188">
        <v>0</v>
      </c>
      <c r="CI188">
        <v>0</v>
      </c>
      <c r="CJ188">
        <v>0</v>
      </c>
      <c r="CK188">
        <v>0</v>
      </c>
      <c r="CL188">
        <v>0</v>
      </c>
      <c r="CM188">
        <v>0</v>
      </c>
      <c r="CN188">
        <v>0</v>
      </c>
      <c r="CO188">
        <v>0</v>
      </c>
      <c r="CP188">
        <v>0</v>
      </c>
      <c r="CQ188">
        <v>0</v>
      </c>
      <c r="CR188">
        <v>0</v>
      </c>
      <c r="CS188" t="s">
        <v>305</v>
      </c>
      <c r="CT188" t="s">
        <v>190</v>
      </c>
      <c r="CU188" t="s">
        <v>253</v>
      </c>
      <c r="CW188">
        <v>-52.884599999999999</v>
      </c>
      <c r="CZ188" s="1">
        <v>46129</v>
      </c>
      <c r="DA188" t="s">
        <v>172</v>
      </c>
      <c r="DB188" t="s">
        <v>172</v>
      </c>
      <c r="DC188" t="s">
        <v>172</v>
      </c>
      <c r="DD188" t="s">
        <v>172</v>
      </c>
      <c r="DG188" s="1">
        <v>46129</v>
      </c>
      <c r="DH188">
        <v>0</v>
      </c>
      <c r="DI188">
        <v>0</v>
      </c>
      <c r="DL188" t="s">
        <v>200</v>
      </c>
      <c r="DM188" t="s">
        <v>172</v>
      </c>
      <c r="DN188" t="s">
        <v>225</v>
      </c>
      <c r="DV188" s="3">
        <v>247732.82</v>
      </c>
      <c r="DW188">
        <v>0</v>
      </c>
      <c r="DX188" s="3">
        <v>247732.82</v>
      </c>
      <c r="DY188">
        <v>0</v>
      </c>
      <c r="EG188" s="1">
        <v>46132</v>
      </c>
      <c r="EN188" t="s">
        <v>156</v>
      </c>
      <c r="EP188" s="1">
        <v>46132</v>
      </c>
      <c r="ER188" s="1">
        <v>46132</v>
      </c>
      <c r="ES188" t="s">
        <v>1543</v>
      </c>
      <c r="EU188" s="1">
        <v>46133</v>
      </c>
      <c r="EW188" s="1">
        <v>46129</v>
      </c>
    </row>
    <row r="189" spans="1:153" ht="246.5" x14ac:dyDescent="0.35">
      <c r="A189" t="str">
        <f>HYPERLINK("https://7lm.cvcrm.com.br/gestor/comercial/reservas/6971/administrar","6971")</f>
        <v>6971</v>
      </c>
      <c r="B189" t="s">
        <v>156</v>
      </c>
      <c r="C189" s="1">
        <v>46129</v>
      </c>
      <c r="D189" s="2">
        <v>0.78175925925925926</v>
      </c>
      <c r="E189" t="s">
        <v>294</v>
      </c>
      <c r="F189" t="s">
        <v>182</v>
      </c>
      <c r="G189" t="s">
        <v>159</v>
      </c>
      <c r="H189" t="s">
        <v>241</v>
      </c>
      <c r="I189" t="s">
        <v>1544</v>
      </c>
      <c r="J189">
        <v>1</v>
      </c>
      <c r="K189">
        <v>8385</v>
      </c>
      <c r="L189">
        <v>30151</v>
      </c>
      <c r="M189" t="s">
        <v>1545</v>
      </c>
      <c r="N189" s="1">
        <v>46141</v>
      </c>
      <c r="O189" s="2">
        <v>0.4805902777777778</v>
      </c>
      <c r="Q189">
        <v>9914</v>
      </c>
      <c r="R189" t="str">
        <f>HYPERLINK("https://7lm.cvcrm.com.br/gestor/relatorios/associado/html?q[1|r.idreserva]=6971","EMILLY DE ALMEIDA SOUSA")</f>
        <v>EMILLY DE ALMEIDA SOUSA</v>
      </c>
      <c r="S189">
        <v>4693021199</v>
      </c>
      <c r="T189">
        <v>5561996344822</v>
      </c>
      <c r="U189">
        <v>5561996571928</v>
      </c>
      <c r="V189" t="s">
        <v>1546</v>
      </c>
      <c r="W189" t="s">
        <v>187</v>
      </c>
      <c r="X189" t="s">
        <v>366</v>
      </c>
      <c r="Y189" t="s">
        <v>189</v>
      </c>
      <c r="Z189" t="s">
        <v>190</v>
      </c>
      <c r="AA189" t="s">
        <v>433</v>
      </c>
      <c r="AB189" t="s">
        <v>1547</v>
      </c>
      <c r="AC189" t="s">
        <v>248</v>
      </c>
      <c r="AD189" t="s">
        <v>249</v>
      </c>
      <c r="AF189" t="s">
        <v>250</v>
      </c>
      <c r="AG189" t="s">
        <v>195</v>
      </c>
      <c r="AH189" s="3">
        <v>240654.53</v>
      </c>
      <c r="AI189" s="3">
        <v>240654.53</v>
      </c>
      <c r="AJ189" s="1">
        <v>46159</v>
      </c>
      <c r="AN189" t="s">
        <v>172</v>
      </c>
      <c r="AR189" s="7" t="s">
        <v>353</v>
      </c>
      <c r="AT189" t="s">
        <v>261</v>
      </c>
      <c r="AU189" t="s">
        <v>175</v>
      </c>
      <c r="AW189">
        <v>0</v>
      </c>
      <c r="AX189" s="1">
        <v>46141</v>
      </c>
      <c r="AY189" s="2">
        <v>0.48576388888888888</v>
      </c>
      <c r="AZ189">
        <v>202928</v>
      </c>
      <c r="BA189" s="1">
        <v>46129</v>
      </c>
      <c r="BC189" t="s">
        <v>213</v>
      </c>
      <c r="BD189" s="1">
        <v>46129</v>
      </c>
      <c r="BE189" t="s">
        <v>175</v>
      </c>
      <c r="BL189" s="4">
        <v>0</v>
      </c>
      <c r="BM189" s="1">
        <v>46899</v>
      </c>
      <c r="BN189" s="1">
        <v>46141</v>
      </c>
      <c r="BO189">
        <v>0</v>
      </c>
      <c r="BP189">
        <v>31215</v>
      </c>
      <c r="BQ189" t="s">
        <v>156</v>
      </c>
      <c r="BR189">
        <v>0</v>
      </c>
      <c r="BS189">
        <v>0</v>
      </c>
      <c r="BT189">
        <v>0</v>
      </c>
      <c r="BU189">
        <v>0</v>
      </c>
      <c r="BV189" s="3">
        <v>240654.53</v>
      </c>
      <c r="BX189">
        <v>0</v>
      </c>
      <c r="BZ189">
        <v>0</v>
      </c>
      <c r="CA189">
        <v>0</v>
      </c>
      <c r="CB189">
        <v>0</v>
      </c>
      <c r="CC189" s="3">
        <v>240654.53</v>
      </c>
      <c r="CD189" s="5">
        <v>0</v>
      </c>
      <c r="CF189" s="6">
        <v>46113</v>
      </c>
      <c r="CH189">
        <v>0</v>
      </c>
      <c r="CI189">
        <v>0</v>
      </c>
      <c r="CJ189">
        <v>0</v>
      </c>
      <c r="CK189">
        <v>0</v>
      </c>
      <c r="CL189">
        <v>0</v>
      </c>
      <c r="CM189">
        <v>0</v>
      </c>
      <c r="CN189">
        <v>0</v>
      </c>
      <c r="CO189">
        <v>0</v>
      </c>
      <c r="CP189">
        <v>0</v>
      </c>
      <c r="CQ189">
        <v>0</v>
      </c>
      <c r="CR189">
        <v>0</v>
      </c>
      <c r="CS189" t="s">
        <v>649</v>
      </c>
      <c r="CT189" t="s">
        <v>190</v>
      </c>
      <c r="CU189" t="s">
        <v>1544</v>
      </c>
      <c r="CW189">
        <v>-52.872700000000002</v>
      </c>
      <c r="CZ189" s="1">
        <v>46129</v>
      </c>
      <c r="DA189" t="s">
        <v>172</v>
      </c>
      <c r="DB189" t="s">
        <v>172</v>
      </c>
      <c r="DC189" t="s">
        <v>172</v>
      </c>
      <c r="DD189" t="s">
        <v>172</v>
      </c>
      <c r="DG189" s="1">
        <v>46129</v>
      </c>
      <c r="DH189">
        <v>0</v>
      </c>
      <c r="DI189">
        <v>0</v>
      </c>
      <c r="DJ189" s="1">
        <v>46141</v>
      </c>
      <c r="DK189" t="s">
        <v>179</v>
      </c>
      <c r="DL189" t="s">
        <v>200</v>
      </c>
      <c r="DM189" t="s">
        <v>172</v>
      </c>
      <c r="DN189" t="s">
        <v>201</v>
      </c>
      <c r="DV189" s="3">
        <v>240654.53</v>
      </c>
      <c r="DW189">
        <v>0</v>
      </c>
      <c r="DX189" s="3">
        <v>240654.53</v>
      </c>
      <c r="DY189">
        <v>0</v>
      </c>
      <c r="EF189" s="1">
        <v>46140</v>
      </c>
      <c r="EG189" s="1">
        <v>46136</v>
      </c>
      <c r="EK189" s="1">
        <v>46140</v>
      </c>
      <c r="EL189" s="1">
        <v>46140</v>
      </c>
      <c r="EM189" s="1">
        <v>46140</v>
      </c>
      <c r="EN189" t="s">
        <v>156</v>
      </c>
      <c r="EP189" s="1">
        <v>46140</v>
      </c>
      <c r="EQ189" s="1">
        <v>46140</v>
      </c>
      <c r="ER189" s="1">
        <v>46135</v>
      </c>
      <c r="ES189" t="s">
        <v>1548</v>
      </c>
      <c r="EU189" s="1">
        <v>46135</v>
      </c>
      <c r="EV189" s="1">
        <v>46140</v>
      </c>
    </row>
    <row r="190" spans="1:153" ht="246.5" x14ac:dyDescent="0.35">
      <c r="A190" t="str">
        <f>HYPERLINK("https://7lm.cvcrm.com.br/gestor/comercial/reservas/6970/administrar","6970")</f>
        <v>6970</v>
      </c>
      <c r="B190" t="s">
        <v>156</v>
      </c>
      <c r="C190" s="1">
        <v>46129</v>
      </c>
      <c r="D190" s="2">
        <v>0.74206018518518524</v>
      </c>
      <c r="E190" t="s">
        <v>294</v>
      </c>
      <c r="F190" t="s">
        <v>202</v>
      </c>
      <c r="G190" t="s">
        <v>203</v>
      </c>
      <c r="H190" t="s">
        <v>513</v>
      </c>
      <c r="I190" t="s">
        <v>1549</v>
      </c>
      <c r="J190">
        <v>1</v>
      </c>
      <c r="K190">
        <v>8413</v>
      </c>
      <c r="L190">
        <v>20031</v>
      </c>
      <c r="M190" t="s">
        <v>1550</v>
      </c>
      <c r="N190" s="1">
        <v>46154</v>
      </c>
      <c r="O190" s="2">
        <v>0.49608796296296298</v>
      </c>
      <c r="Q190">
        <v>9933</v>
      </c>
      <c r="R190" t="str">
        <f>HYPERLINK("https://7lm.cvcrm.com.br/gestor/relatorios/associado/html?q[1|r.idreserva]=6970","LUDMILA SOUZA SANTOS")</f>
        <v>LUDMILA SOUZA SANTOS</v>
      </c>
      <c r="S190">
        <v>9512697556</v>
      </c>
      <c r="T190">
        <v>5561996267287</v>
      </c>
      <c r="U190">
        <v>5583998412733</v>
      </c>
      <c r="V190" t="s">
        <v>1551</v>
      </c>
      <c r="W190" t="s">
        <v>187</v>
      </c>
      <c r="Y190" t="s">
        <v>165</v>
      </c>
      <c r="Z190" t="s">
        <v>1030</v>
      </c>
      <c r="AA190" t="s">
        <v>1110</v>
      </c>
      <c r="AB190" t="s">
        <v>1552</v>
      </c>
      <c r="AC190" t="s">
        <v>1553</v>
      </c>
      <c r="AF190" t="s">
        <v>634</v>
      </c>
      <c r="AG190" t="s">
        <v>195</v>
      </c>
      <c r="AH190" s="3">
        <v>213263.26</v>
      </c>
      <c r="AI190" s="3">
        <v>213263.26</v>
      </c>
      <c r="AJ190" s="1">
        <v>46188</v>
      </c>
      <c r="AN190" t="s">
        <v>172</v>
      </c>
      <c r="AR190" s="7" t="s">
        <v>353</v>
      </c>
      <c r="AT190" t="s">
        <v>196</v>
      </c>
      <c r="AU190" t="s">
        <v>316</v>
      </c>
      <c r="AW190">
        <v>0</v>
      </c>
      <c r="AX190" s="1">
        <v>46150</v>
      </c>
      <c r="AY190" s="2">
        <v>0.59657407407407403</v>
      </c>
      <c r="AZ190">
        <v>194732</v>
      </c>
      <c r="BA190" s="1">
        <v>46092</v>
      </c>
      <c r="BC190" t="s">
        <v>0</v>
      </c>
      <c r="BD190" s="1">
        <v>46129</v>
      </c>
      <c r="BE190" t="s">
        <v>615</v>
      </c>
      <c r="BL190" s="4">
        <v>0</v>
      </c>
      <c r="BM190" s="1">
        <v>46808</v>
      </c>
      <c r="BN190" s="1">
        <v>46150</v>
      </c>
      <c r="BO190">
        <v>0</v>
      </c>
      <c r="BP190">
        <v>31077</v>
      </c>
      <c r="BQ190" t="s">
        <v>156</v>
      </c>
      <c r="BR190" s="3">
        <v>95663.59</v>
      </c>
      <c r="BS190" s="3">
        <v>55000</v>
      </c>
      <c r="BT190">
        <v>0</v>
      </c>
      <c r="BU190" s="3">
        <v>150663.59</v>
      </c>
      <c r="BV190" s="3">
        <v>213263.26</v>
      </c>
      <c r="BX190">
        <v>0</v>
      </c>
      <c r="BZ190">
        <v>0</v>
      </c>
      <c r="CA190">
        <v>0</v>
      </c>
      <c r="CB190">
        <v>0</v>
      </c>
      <c r="CC190" s="3">
        <v>213263.26</v>
      </c>
      <c r="CD190" s="5">
        <v>0</v>
      </c>
      <c r="CF190" s="6">
        <v>46143</v>
      </c>
      <c r="CH190">
        <v>0</v>
      </c>
      <c r="CI190">
        <v>0</v>
      </c>
      <c r="CJ190">
        <v>0</v>
      </c>
      <c r="CK190">
        <v>0</v>
      </c>
      <c r="CL190">
        <v>0</v>
      </c>
      <c r="CM190">
        <v>0</v>
      </c>
      <c r="CN190">
        <v>0</v>
      </c>
      <c r="CO190">
        <v>0</v>
      </c>
      <c r="CP190">
        <v>0</v>
      </c>
      <c r="CQ190">
        <v>0</v>
      </c>
      <c r="CR190">
        <v>0</v>
      </c>
      <c r="CS190" t="s">
        <v>360</v>
      </c>
      <c r="CT190" t="s">
        <v>214</v>
      </c>
      <c r="CU190" t="s">
        <v>1549</v>
      </c>
      <c r="CW190">
        <v>-53.471899999999998</v>
      </c>
      <c r="CZ190" s="1">
        <v>46129</v>
      </c>
      <c r="DA190" t="s">
        <v>172</v>
      </c>
      <c r="DB190" t="s">
        <v>172</v>
      </c>
      <c r="DC190" t="s">
        <v>172</v>
      </c>
      <c r="DD190" t="s">
        <v>172</v>
      </c>
      <c r="DG190" s="1">
        <v>46129</v>
      </c>
      <c r="DH190">
        <v>0</v>
      </c>
      <c r="DI190">
        <v>0</v>
      </c>
      <c r="DJ190" s="1">
        <v>46150</v>
      </c>
      <c r="DL190" t="s">
        <v>215</v>
      </c>
      <c r="DM190" t="s">
        <v>172</v>
      </c>
      <c r="DN190" t="s">
        <v>201</v>
      </c>
      <c r="DV190" s="3">
        <v>213263.26</v>
      </c>
      <c r="DW190">
        <v>0</v>
      </c>
      <c r="DX190" s="3">
        <v>213263.26</v>
      </c>
      <c r="DY190">
        <v>0</v>
      </c>
      <c r="EF190" s="1">
        <v>46154</v>
      </c>
      <c r="EG190" s="1">
        <v>46149</v>
      </c>
      <c r="EK190" s="1">
        <v>46154</v>
      </c>
      <c r="EN190" t="s">
        <v>156</v>
      </c>
      <c r="EP190" s="1">
        <v>46149</v>
      </c>
      <c r="ER190" s="1">
        <v>46149</v>
      </c>
      <c r="ES190" t="s">
        <v>1554</v>
      </c>
      <c r="EU190" s="1">
        <v>46135</v>
      </c>
      <c r="EW190" s="1">
        <v>46129</v>
      </c>
    </row>
    <row r="191" spans="1:153" x14ac:dyDescent="0.35">
      <c r="A191" t="str">
        <f>HYPERLINK("https://7lm.cvcrm.com.br/gestor/comercial/reservas/6969/administrar","6969")</f>
        <v>6969</v>
      </c>
      <c r="B191" t="s">
        <v>172</v>
      </c>
      <c r="C191" s="1">
        <v>46129</v>
      </c>
      <c r="D191" s="2">
        <v>0.72020833333333334</v>
      </c>
      <c r="E191" t="s">
        <v>527</v>
      </c>
      <c r="F191" t="s">
        <v>182</v>
      </c>
      <c r="G191" t="s">
        <v>159</v>
      </c>
      <c r="H191" t="s">
        <v>643</v>
      </c>
      <c r="I191" t="s">
        <v>967</v>
      </c>
      <c r="J191">
        <v>1</v>
      </c>
      <c r="K191">
        <v>8406</v>
      </c>
      <c r="L191">
        <v>30151</v>
      </c>
      <c r="M191" t="s">
        <v>968</v>
      </c>
      <c r="R191" t="str">
        <f>HYPERLINK("https://7lm.cvcrm.com.br/gestor/relatorios/associado/html?q[1|r.idreserva]=6969","GUSTAVO CAMPOS VIANNA")</f>
        <v>GUSTAVO CAMPOS VIANNA</v>
      </c>
      <c r="S191">
        <v>5660707157</v>
      </c>
      <c r="T191">
        <v>5561998536653</v>
      </c>
      <c r="U191">
        <v>5561998026590</v>
      </c>
      <c r="V191" t="s">
        <v>1318</v>
      </c>
      <c r="W191" t="s">
        <v>163</v>
      </c>
      <c r="X191" t="s">
        <v>288</v>
      </c>
      <c r="Y191" t="s">
        <v>189</v>
      </c>
      <c r="Z191" t="s">
        <v>190</v>
      </c>
      <c r="AA191" t="s">
        <v>367</v>
      </c>
      <c r="AB191" t="s">
        <v>1319</v>
      </c>
      <c r="AC191" t="s">
        <v>665</v>
      </c>
      <c r="AD191" t="s">
        <v>665</v>
      </c>
      <c r="AF191" t="s">
        <v>250</v>
      </c>
      <c r="AG191" t="s">
        <v>251</v>
      </c>
      <c r="AH191" s="3">
        <v>241000.2</v>
      </c>
      <c r="AI191" s="3">
        <v>241000.2</v>
      </c>
      <c r="AJ191" s="1">
        <v>46159</v>
      </c>
      <c r="AN191" t="s">
        <v>172</v>
      </c>
      <c r="AO191" t="s">
        <v>725</v>
      </c>
      <c r="AP191" t="s">
        <v>1555</v>
      </c>
      <c r="AR191" t="s">
        <v>1556</v>
      </c>
      <c r="AT191" t="s">
        <v>173</v>
      </c>
      <c r="AU191" t="s">
        <v>175</v>
      </c>
      <c r="AW191">
        <v>0</v>
      </c>
      <c r="AX191" s="1">
        <v>46136</v>
      </c>
      <c r="AY191" s="2">
        <v>0.45221064814814815</v>
      </c>
      <c r="AZ191">
        <v>87405</v>
      </c>
      <c r="BA191" s="1">
        <v>45054</v>
      </c>
      <c r="BC191" t="s">
        <v>176</v>
      </c>
      <c r="BD191" s="1">
        <v>45054</v>
      </c>
      <c r="BE191" t="s">
        <v>427</v>
      </c>
      <c r="BL191" s="4">
        <v>0</v>
      </c>
      <c r="BM191" s="1">
        <v>46899</v>
      </c>
      <c r="BO191">
        <v>0</v>
      </c>
      <c r="BP191">
        <v>31210</v>
      </c>
      <c r="BQ191" t="s">
        <v>156</v>
      </c>
      <c r="BR191">
        <v>0</v>
      </c>
      <c r="BS191">
        <v>0</v>
      </c>
      <c r="BT191">
        <v>0</v>
      </c>
      <c r="BU191">
        <v>0</v>
      </c>
      <c r="BV191" s="3">
        <v>241000.2</v>
      </c>
      <c r="BX191">
        <v>0</v>
      </c>
      <c r="BZ191">
        <v>0</v>
      </c>
      <c r="CA191">
        <v>0</v>
      </c>
      <c r="CB191">
        <v>0</v>
      </c>
      <c r="CC191" s="3">
        <v>241000.2</v>
      </c>
      <c r="CD191" s="5">
        <v>0</v>
      </c>
      <c r="CF191" s="6">
        <v>46113</v>
      </c>
      <c r="CH191">
        <v>0</v>
      </c>
      <c r="CI191">
        <v>0</v>
      </c>
      <c r="CJ191">
        <v>0</v>
      </c>
      <c r="CK191">
        <v>0</v>
      </c>
      <c r="CL191">
        <v>0</v>
      </c>
      <c r="CM191">
        <v>0</v>
      </c>
      <c r="CN191">
        <v>0</v>
      </c>
      <c r="CO191">
        <v>0</v>
      </c>
      <c r="CP191">
        <v>0</v>
      </c>
      <c r="CQ191">
        <v>0</v>
      </c>
      <c r="CR191">
        <v>0</v>
      </c>
      <c r="CT191" t="s">
        <v>190</v>
      </c>
      <c r="CU191" t="s">
        <v>967</v>
      </c>
      <c r="CW191">
        <v>0</v>
      </c>
      <c r="CZ191" s="1">
        <v>46129</v>
      </c>
      <c r="DA191" t="s">
        <v>172</v>
      </c>
      <c r="DB191" t="s">
        <v>172</v>
      </c>
      <c r="DC191" t="s">
        <v>172</v>
      </c>
      <c r="DD191" t="s">
        <v>172</v>
      </c>
      <c r="DG191" s="1">
        <v>46129</v>
      </c>
      <c r="DH191">
        <v>0</v>
      </c>
      <c r="DI191">
        <v>0</v>
      </c>
      <c r="DK191" t="s">
        <v>179</v>
      </c>
      <c r="DL191" t="s">
        <v>200</v>
      </c>
      <c r="DM191" t="s">
        <v>172</v>
      </c>
      <c r="DN191" t="s">
        <v>201</v>
      </c>
      <c r="DV191" s="3">
        <v>241000.2</v>
      </c>
      <c r="DW191">
        <v>0</v>
      </c>
      <c r="DX191" s="3">
        <v>241000.2</v>
      </c>
      <c r="DY191">
        <v>0</v>
      </c>
      <c r="EN191" t="s">
        <v>156</v>
      </c>
      <c r="EU191" s="1">
        <v>46136</v>
      </c>
      <c r="EW191" s="1">
        <v>46129</v>
      </c>
    </row>
    <row r="192" spans="1:153" x14ac:dyDescent="0.35">
      <c r="A192" t="str">
        <f>HYPERLINK("https://7lm.cvcrm.com.br/gestor/comercial/reservas/6968/administrar","6968")</f>
        <v>6968</v>
      </c>
      <c r="B192" t="s">
        <v>156</v>
      </c>
      <c r="C192" s="1">
        <v>46129</v>
      </c>
      <c r="D192" s="2">
        <v>0.68532407407407403</v>
      </c>
      <c r="E192" t="s">
        <v>294</v>
      </c>
      <c r="F192" t="s">
        <v>226</v>
      </c>
      <c r="G192" t="s">
        <v>159</v>
      </c>
      <c r="H192" t="s">
        <v>227</v>
      </c>
      <c r="I192" t="s">
        <v>1423</v>
      </c>
      <c r="J192">
        <v>1</v>
      </c>
      <c r="K192">
        <v>8351</v>
      </c>
      <c r="L192">
        <v>10031</v>
      </c>
      <c r="M192" t="s">
        <v>1557</v>
      </c>
      <c r="N192" s="1">
        <v>46136</v>
      </c>
      <c r="O192" s="2">
        <v>0.48137731481481483</v>
      </c>
      <c r="Q192">
        <v>9891</v>
      </c>
      <c r="R192" t="str">
        <f>HYPERLINK("https://7lm.cvcrm.com.br/gestor/relatorios/associado/html?q[1|r.idreserva]=6968","FILIPE ALEMAR DE SOUZA GUIMARAES")</f>
        <v>FILIPE ALEMAR DE SOUZA GUIMARAES</v>
      </c>
      <c r="S192">
        <v>5974580141</v>
      </c>
      <c r="T192">
        <v>5561996841402</v>
      </c>
      <c r="U192">
        <v>5561996841402</v>
      </c>
      <c r="V192" t="s">
        <v>1558</v>
      </c>
      <c r="W192" t="s">
        <v>163</v>
      </c>
      <c r="X192" t="s">
        <v>1559</v>
      </c>
      <c r="Y192" t="s">
        <v>165</v>
      </c>
      <c r="Z192" t="s">
        <v>257</v>
      </c>
      <c r="AA192" t="s">
        <v>167</v>
      </c>
      <c r="AB192" t="s">
        <v>1560</v>
      </c>
      <c r="AC192" t="s">
        <v>1561</v>
      </c>
      <c r="AE192" t="s">
        <v>733</v>
      </c>
      <c r="AF192" t="s">
        <v>170</v>
      </c>
      <c r="AG192" t="s">
        <v>171</v>
      </c>
      <c r="AH192" s="3">
        <v>320000</v>
      </c>
      <c r="AI192" s="3">
        <v>320000</v>
      </c>
      <c r="AJ192" s="1">
        <v>46129</v>
      </c>
      <c r="AN192" t="s">
        <v>172</v>
      </c>
      <c r="AR192" t="s">
        <v>1562</v>
      </c>
      <c r="AT192" t="s">
        <v>173</v>
      </c>
      <c r="AU192" t="s">
        <v>174</v>
      </c>
      <c r="AW192">
        <v>0</v>
      </c>
      <c r="AX192" s="1">
        <v>46136</v>
      </c>
      <c r="AY192" s="2">
        <v>0.4830787037037037</v>
      </c>
      <c r="AZ192">
        <v>200937</v>
      </c>
      <c r="BA192" s="1">
        <v>46125</v>
      </c>
      <c r="BC192" t="s">
        <v>175</v>
      </c>
      <c r="BD192" s="1">
        <v>46125</v>
      </c>
      <c r="BE192" t="s">
        <v>817</v>
      </c>
      <c r="BL192" s="4">
        <v>0</v>
      </c>
      <c r="BM192" s="1">
        <v>46698</v>
      </c>
      <c r="BN192" s="1">
        <v>46136</v>
      </c>
      <c r="BO192">
        <v>0</v>
      </c>
      <c r="BP192">
        <v>30883</v>
      </c>
      <c r="BQ192" t="s">
        <v>156</v>
      </c>
      <c r="BR192" s="3">
        <v>302393.76</v>
      </c>
      <c r="BS192">
        <v>0</v>
      </c>
      <c r="BT192">
        <v>0</v>
      </c>
      <c r="BU192" s="3">
        <v>302393.76</v>
      </c>
      <c r="BV192" s="3">
        <v>320000</v>
      </c>
      <c r="BX192">
        <v>0</v>
      </c>
      <c r="BZ192">
        <v>0</v>
      </c>
      <c r="CA192">
        <v>0</v>
      </c>
      <c r="CB192">
        <v>0</v>
      </c>
      <c r="CC192" s="3">
        <v>320000</v>
      </c>
      <c r="CD192" s="5">
        <v>0</v>
      </c>
      <c r="CF192" s="6">
        <v>46113</v>
      </c>
      <c r="CH192">
        <v>0</v>
      </c>
      <c r="CI192">
        <v>0</v>
      </c>
      <c r="CJ192">
        <v>0</v>
      </c>
      <c r="CK192">
        <v>0</v>
      </c>
      <c r="CL192">
        <v>0</v>
      </c>
      <c r="CM192">
        <v>0</v>
      </c>
      <c r="CN192">
        <v>0</v>
      </c>
      <c r="CO192">
        <v>0</v>
      </c>
      <c r="CP192">
        <v>0</v>
      </c>
      <c r="CQ192">
        <v>0</v>
      </c>
      <c r="CR192">
        <v>0</v>
      </c>
      <c r="CS192" t="s">
        <v>649</v>
      </c>
      <c r="CT192" t="s">
        <v>238</v>
      </c>
      <c r="CU192" t="s">
        <v>1423</v>
      </c>
      <c r="CW192">
        <v>-64.303799999999995</v>
      </c>
      <c r="CX192" t="s">
        <v>170</v>
      </c>
      <c r="CZ192" s="1">
        <v>46129</v>
      </c>
      <c r="DA192" t="s">
        <v>172</v>
      </c>
      <c r="DB192" t="s">
        <v>172</v>
      </c>
      <c r="DC192" t="s">
        <v>172</v>
      </c>
      <c r="DD192" t="s">
        <v>172</v>
      </c>
      <c r="DG192" s="1">
        <v>46129</v>
      </c>
      <c r="DH192">
        <v>0</v>
      </c>
      <c r="DI192">
        <v>0</v>
      </c>
      <c r="DJ192" s="1">
        <v>46136</v>
      </c>
      <c r="DL192" t="s">
        <v>794</v>
      </c>
      <c r="DM192" t="s">
        <v>172</v>
      </c>
      <c r="DU192" t="s">
        <v>1120</v>
      </c>
      <c r="DV192" s="3">
        <v>576454.28</v>
      </c>
      <c r="DW192">
        <v>-64.3</v>
      </c>
      <c r="DX192" s="3">
        <v>576454.28</v>
      </c>
      <c r="DY192">
        <v>-64.3</v>
      </c>
    </row>
    <row r="193" spans="1:153" ht="246.5" x14ac:dyDescent="0.35">
      <c r="A193" t="str">
        <f>HYPERLINK("https://7lm.cvcrm.com.br/gestor/comercial/reservas/6967/administrar","6967")</f>
        <v>6967</v>
      </c>
      <c r="B193" t="s">
        <v>156</v>
      </c>
      <c r="C193" s="1">
        <v>46129</v>
      </c>
      <c r="D193" s="2">
        <v>0.57204861111111116</v>
      </c>
      <c r="E193" t="s">
        <v>294</v>
      </c>
      <c r="F193" t="s">
        <v>182</v>
      </c>
      <c r="G193" t="s">
        <v>159</v>
      </c>
      <c r="H193" t="s">
        <v>1371</v>
      </c>
      <c r="I193" t="s">
        <v>1563</v>
      </c>
      <c r="J193">
        <v>1</v>
      </c>
      <c r="K193">
        <v>8401</v>
      </c>
      <c r="L193">
        <v>30151</v>
      </c>
      <c r="M193" t="s">
        <v>1564</v>
      </c>
      <c r="N193" s="1">
        <v>46142</v>
      </c>
      <c r="O193" s="2">
        <v>0.6824189814814815</v>
      </c>
      <c r="Q193">
        <v>9923</v>
      </c>
      <c r="R193" t="str">
        <f>HYPERLINK("https://7lm.cvcrm.com.br/gestor/relatorios/associado/html?q[1|r.idreserva]=6967","RICARDO EMIDIO DE SOUSA")</f>
        <v>RICARDO EMIDIO DE SOUSA</v>
      </c>
      <c r="S193">
        <v>3836910101</v>
      </c>
      <c r="T193">
        <v>5561993148003</v>
      </c>
      <c r="V193" t="s">
        <v>1565</v>
      </c>
      <c r="W193" t="s">
        <v>163</v>
      </c>
      <c r="Y193" t="s">
        <v>189</v>
      </c>
      <c r="Z193" t="s">
        <v>190</v>
      </c>
      <c r="AA193" t="s">
        <v>342</v>
      </c>
      <c r="AB193" t="s">
        <v>1566</v>
      </c>
      <c r="AC193" t="s">
        <v>568</v>
      </c>
      <c r="AF193" t="s">
        <v>389</v>
      </c>
      <c r="AG193" t="s">
        <v>195</v>
      </c>
      <c r="AH193" s="3">
        <v>235760.8</v>
      </c>
      <c r="AI193" s="3">
        <v>235760.8</v>
      </c>
      <c r="AJ193" s="1">
        <v>46188</v>
      </c>
      <c r="AN193" t="s">
        <v>172</v>
      </c>
      <c r="AR193" s="7" t="s">
        <v>1567</v>
      </c>
      <c r="AT193" t="s">
        <v>196</v>
      </c>
      <c r="AU193" t="s">
        <v>262</v>
      </c>
      <c r="AW193">
        <v>0</v>
      </c>
      <c r="AX193" s="1">
        <v>46142</v>
      </c>
      <c r="AY193" s="2">
        <v>0.69365740740740744</v>
      </c>
      <c r="AZ193">
        <v>171133</v>
      </c>
      <c r="BA193" s="1">
        <v>45932</v>
      </c>
      <c r="BC193" t="s">
        <v>0</v>
      </c>
      <c r="BD193" s="1">
        <v>46129</v>
      </c>
      <c r="BE193" t="s">
        <v>198</v>
      </c>
      <c r="BL193" s="4">
        <v>0</v>
      </c>
      <c r="BM193" s="1">
        <v>46899</v>
      </c>
      <c r="BN193" s="1">
        <v>46142</v>
      </c>
      <c r="BO193">
        <v>0</v>
      </c>
      <c r="BP193">
        <v>30732</v>
      </c>
      <c r="BQ193" t="s">
        <v>156</v>
      </c>
      <c r="BR193" s="3">
        <v>148324.43</v>
      </c>
      <c r="BS193" s="3">
        <v>16851</v>
      </c>
      <c r="BT193">
        <v>0</v>
      </c>
      <c r="BU193" s="3">
        <v>165175.43</v>
      </c>
      <c r="BV193" s="3">
        <v>235760.8</v>
      </c>
      <c r="BX193">
        <v>0</v>
      </c>
      <c r="BZ193">
        <v>0</v>
      </c>
      <c r="CA193">
        <v>0</v>
      </c>
      <c r="CB193">
        <v>0</v>
      </c>
      <c r="CC193" s="3">
        <v>235760.8</v>
      </c>
      <c r="CD193" s="5">
        <v>0</v>
      </c>
      <c r="CF193" s="6">
        <v>46113</v>
      </c>
      <c r="CH193">
        <v>0</v>
      </c>
      <c r="CI193">
        <v>0</v>
      </c>
      <c r="CJ193">
        <v>0</v>
      </c>
      <c r="CK193">
        <v>0</v>
      </c>
      <c r="CL193">
        <v>0</v>
      </c>
      <c r="CM193">
        <v>0</v>
      </c>
      <c r="CN193">
        <v>0</v>
      </c>
      <c r="CO193">
        <v>0</v>
      </c>
      <c r="CP193">
        <v>0</v>
      </c>
      <c r="CQ193">
        <v>0</v>
      </c>
      <c r="CR193">
        <v>0</v>
      </c>
      <c r="CS193" t="s">
        <v>649</v>
      </c>
      <c r="CT193" t="s">
        <v>190</v>
      </c>
      <c r="CU193" t="s">
        <v>1563</v>
      </c>
      <c r="CW193">
        <v>-54.763199999999998</v>
      </c>
      <c r="CZ193" s="1">
        <v>46129</v>
      </c>
      <c r="DA193" t="s">
        <v>172</v>
      </c>
      <c r="DB193" t="s">
        <v>172</v>
      </c>
      <c r="DC193" t="s">
        <v>172</v>
      </c>
      <c r="DD193" t="s">
        <v>172</v>
      </c>
      <c r="DG193" s="1">
        <v>46129</v>
      </c>
      <c r="DH193">
        <v>0</v>
      </c>
      <c r="DI193">
        <v>0</v>
      </c>
      <c r="DJ193" s="1">
        <v>46142</v>
      </c>
      <c r="DK193" t="s">
        <v>179</v>
      </c>
      <c r="DL193" t="s">
        <v>200</v>
      </c>
      <c r="DM193" t="s">
        <v>172</v>
      </c>
      <c r="DN193" t="s">
        <v>201</v>
      </c>
      <c r="DV193" s="3">
        <v>235760.8</v>
      </c>
      <c r="DW193">
        <v>0</v>
      </c>
      <c r="DX193" s="3">
        <v>235760.8</v>
      </c>
      <c r="DY193">
        <v>0</v>
      </c>
      <c r="EF193" s="1">
        <v>46140</v>
      </c>
      <c r="EG193" s="1">
        <v>46135</v>
      </c>
      <c r="EK193" s="1">
        <v>46140</v>
      </c>
      <c r="EL193" s="1">
        <v>46140</v>
      </c>
      <c r="EM193" s="1">
        <v>46136</v>
      </c>
      <c r="EN193" t="s">
        <v>156</v>
      </c>
      <c r="EP193" s="1">
        <v>46135</v>
      </c>
      <c r="ER193" s="1">
        <v>46134</v>
      </c>
      <c r="ES193" t="s">
        <v>1568</v>
      </c>
      <c r="EW193" s="1">
        <v>46130</v>
      </c>
    </row>
    <row r="194" spans="1:153" x14ac:dyDescent="0.35">
      <c r="A194" t="str">
        <f>HYPERLINK("https://7lm.cvcrm.com.br/gestor/comercial/reservas/6966/administrar","6966")</f>
        <v>6966</v>
      </c>
      <c r="B194" t="s">
        <v>156</v>
      </c>
      <c r="C194" s="1">
        <v>46128</v>
      </c>
      <c r="D194" s="2">
        <v>0.6746064814814815</v>
      </c>
      <c r="E194" t="s">
        <v>294</v>
      </c>
      <c r="F194" t="s">
        <v>957</v>
      </c>
      <c r="G194" t="s">
        <v>159</v>
      </c>
      <c r="H194" t="s">
        <v>975</v>
      </c>
      <c r="I194" t="s">
        <v>1569</v>
      </c>
      <c r="J194">
        <v>1</v>
      </c>
      <c r="K194">
        <v>8450</v>
      </c>
      <c r="L194">
        <v>30121</v>
      </c>
      <c r="M194" t="s">
        <v>1570</v>
      </c>
      <c r="N194" s="1">
        <v>46156</v>
      </c>
      <c r="O194" s="2">
        <v>0.44563657407407409</v>
      </c>
      <c r="Q194">
        <v>9957</v>
      </c>
      <c r="R194" t="str">
        <f>HYPERLINK("https://7lm.cvcrm.com.br/gestor/relatorios/associado/html?q[1|r.idreserva]=6966","ITALO BITTENCOURT SARMENTO")</f>
        <v>ITALO BITTENCOURT SARMENTO</v>
      </c>
      <c r="S194">
        <v>10479631670</v>
      </c>
      <c r="T194">
        <v>5561982118201</v>
      </c>
      <c r="U194">
        <v>5561982127436</v>
      </c>
      <c r="V194" t="s">
        <v>1571</v>
      </c>
      <c r="W194" t="s">
        <v>163</v>
      </c>
      <c r="X194" t="s">
        <v>1572</v>
      </c>
      <c r="Y194" t="s">
        <v>165</v>
      </c>
      <c r="Z194" t="s">
        <v>1030</v>
      </c>
      <c r="AA194" t="s">
        <v>1573</v>
      </c>
      <c r="AB194" t="s">
        <v>1574</v>
      </c>
      <c r="AC194" t="s">
        <v>425</v>
      </c>
      <c r="AF194" t="s">
        <v>389</v>
      </c>
      <c r="AG194" t="s">
        <v>251</v>
      </c>
      <c r="AH194" s="3">
        <v>233409.98</v>
      </c>
      <c r="AI194" s="3">
        <v>233409.98</v>
      </c>
      <c r="AJ194" s="1">
        <v>46132</v>
      </c>
      <c r="AN194" t="s">
        <v>172</v>
      </c>
      <c r="AR194" t="s">
        <v>1575</v>
      </c>
      <c r="AT194" t="s">
        <v>196</v>
      </c>
      <c r="AU194" t="s">
        <v>292</v>
      </c>
      <c r="AW194">
        <v>0</v>
      </c>
      <c r="AX194" s="1">
        <v>46157</v>
      </c>
      <c r="AY194" s="2">
        <v>0.60637731481481483</v>
      </c>
      <c r="AZ194">
        <v>200401</v>
      </c>
      <c r="BA194" s="1">
        <v>46122</v>
      </c>
      <c r="BC194" t="s">
        <v>0</v>
      </c>
      <c r="BD194" s="1">
        <v>46128</v>
      </c>
      <c r="BE194" t="s">
        <v>466</v>
      </c>
      <c r="BL194" s="4">
        <v>0</v>
      </c>
      <c r="BM194" s="1">
        <v>47031</v>
      </c>
      <c r="BN194" s="1">
        <v>46157</v>
      </c>
      <c r="BO194">
        <v>0</v>
      </c>
      <c r="BP194">
        <v>30801</v>
      </c>
      <c r="BQ194" t="s">
        <v>156</v>
      </c>
      <c r="BR194" s="3">
        <v>145303.34</v>
      </c>
      <c r="BS194" s="3">
        <v>19010</v>
      </c>
      <c r="BT194">
        <v>0</v>
      </c>
      <c r="BU194" s="3">
        <v>164313.34</v>
      </c>
      <c r="BV194" s="3">
        <v>233409.98</v>
      </c>
      <c r="BX194">
        <v>0</v>
      </c>
      <c r="BZ194">
        <v>0</v>
      </c>
      <c r="CA194">
        <v>0</v>
      </c>
      <c r="CB194">
        <v>0</v>
      </c>
      <c r="CC194" s="3">
        <v>233409.98</v>
      </c>
      <c r="CD194" s="5">
        <v>0</v>
      </c>
      <c r="CF194" s="6">
        <v>46143</v>
      </c>
      <c r="CH194">
        <v>0</v>
      </c>
      <c r="CI194">
        <v>0</v>
      </c>
      <c r="CJ194">
        <v>0</v>
      </c>
      <c r="CK194">
        <v>0</v>
      </c>
      <c r="CL194">
        <v>0</v>
      </c>
      <c r="CM194">
        <v>0</v>
      </c>
      <c r="CN194">
        <v>0</v>
      </c>
      <c r="CO194">
        <v>0</v>
      </c>
      <c r="CP194">
        <v>0</v>
      </c>
      <c r="CQ194">
        <v>0</v>
      </c>
      <c r="CR194">
        <v>0</v>
      </c>
      <c r="CS194" t="s">
        <v>360</v>
      </c>
      <c r="CT194" t="s">
        <v>190</v>
      </c>
      <c r="CU194" t="s">
        <v>1569</v>
      </c>
      <c r="CW194">
        <v>-54.887900000000002</v>
      </c>
      <c r="CZ194" s="1">
        <v>46128</v>
      </c>
      <c r="DA194" t="s">
        <v>172</v>
      </c>
      <c r="DB194" t="s">
        <v>172</v>
      </c>
      <c r="DC194" t="s">
        <v>172</v>
      </c>
      <c r="DD194" t="s">
        <v>172</v>
      </c>
      <c r="DG194" s="1">
        <v>46128</v>
      </c>
      <c r="DH194">
        <v>0</v>
      </c>
      <c r="DI194">
        <v>0</v>
      </c>
      <c r="DJ194" s="1">
        <v>46157</v>
      </c>
      <c r="DL194" t="s">
        <v>963</v>
      </c>
      <c r="DM194" t="s">
        <v>172</v>
      </c>
      <c r="DN194" t="s">
        <v>225</v>
      </c>
      <c r="DV194" s="3">
        <v>233409.98</v>
      </c>
      <c r="DW194">
        <v>0</v>
      </c>
      <c r="DX194" s="3">
        <v>233409.98</v>
      </c>
      <c r="DY194">
        <v>0</v>
      </c>
      <c r="EF194" s="1">
        <v>46156</v>
      </c>
      <c r="EG194" s="1">
        <v>46153</v>
      </c>
      <c r="EK194" s="1">
        <v>46156</v>
      </c>
      <c r="EL194" s="1">
        <v>46156</v>
      </c>
      <c r="EM194" s="1">
        <v>46136</v>
      </c>
      <c r="EN194" t="s">
        <v>156</v>
      </c>
      <c r="EP194" s="1">
        <v>46135</v>
      </c>
      <c r="ER194" s="1">
        <v>46134</v>
      </c>
      <c r="ES194" t="s">
        <v>1576</v>
      </c>
      <c r="EU194" s="1">
        <v>46153</v>
      </c>
      <c r="EW194" s="1">
        <v>46150</v>
      </c>
    </row>
    <row r="195" spans="1:153" ht="246.5" x14ac:dyDescent="0.35">
      <c r="A195" t="str">
        <f>HYPERLINK("https://7lm.cvcrm.com.br/gestor/comercial/reservas/6965/administrar","6965")</f>
        <v>6965</v>
      </c>
      <c r="B195" t="s">
        <v>156</v>
      </c>
      <c r="C195" s="1">
        <v>46128</v>
      </c>
      <c r="D195" s="2">
        <v>0.61281249999999998</v>
      </c>
      <c r="E195" t="s">
        <v>294</v>
      </c>
      <c r="F195" t="s">
        <v>202</v>
      </c>
      <c r="G195" t="s">
        <v>203</v>
      </c>
      <c r="H195" t="s">
        <v>513</v>
      </c>
      <c r="I195" t="s">
        <v>1577</v>
      </c>
      <c r="J195">
        <v>1</v>
      </c>
      <c r="K195">
        <v>8348</v>
      </c>
      <c r="L195">
        <v>20031</v>
      </c>
      <c r="M195" t="s">
        <v>1578</v>
      </c>
      <c r="N195" s="1">
        <v>46139</v>
      </c>
      <c r="O195" s="2">
        <v>0.44939814814814816</v>
      </c>
      <c r="Q195">
        <v>9888</v>
      </c>
      <c r="R195" t="str">
        <f>HYPERLINK("https://7lm.cvcrm.com.br/gestor/relatorios/associado/html?q[1|r.idreserva]=6965","WILLIAN RAIMON DE CAMPOS")</f>
        <v>WILLIAN RAIMON DE CAMPOS</v>
      </c>
      <c r="S195">
        <v>49063988800</v>
      </c>
      <c r="T195">
        <v>5561998359853</v>
      </c>
      <c r="U195">
        <v>556182387335</v>
      </c>
      <c r="V195" t="s">
        <v>1579</v>
      </c>
      <c r="W195" t="s">
        <v>163</v>
      </c>
      <c r="X195" t="s">
        <v>1580</v>
      </c>
      <c r="Y195" t="s">
        <v>165</v>
      </c>
      <c r="Z195" t="s">
        <v>257</v>
      </c>
      <c r="AA195" t="s">
        <v>1210</v>
      </c>
      <c r="AB195" t="s">
        <v>1211</v>
      </c>
      <c r="AC195" t="s">
        <v>473</v>
      </c>
      <c r="AF195" t="s">
        <v>399</v>
      </c>
      <c r="AG195" t="s">
        <v>195</v>
      </c>
      <c r="AH195" s="3">
        <v>223499.66</v>
      </c>
      <c r="AI195" s="3">
        <v>223499.66</v>
      </c>
      <c r="AJ195" s="1">
        <v>46128</v>
      </c>
      <c r="AN195" t="s">
        <v>172</v>
      </c>
      <c r="AR195" s="7" t="s">
        <v>353</v>
      </c>
      <c r="AT195" t="s">
        <v>196</v>
      </c>
      <c r="AU195" t="s">
        <v>316</v>
      </c>
      <c r="AW195">
        <v>0</v>
      </c>
      <c r="AX195" s="1">
        <v>46136</v>
      </c>
      <c r="AY195" s="2">
        <v>0.4138310185185185</v>
      </c>
      <c r="AZ195">
        <v>189289</v>
      </c>
      <c r="BA195" s="1">
        <v>46067</v>
      </c>
      <c r="BC195" t="s">
        <v>0</v>
      </c>
      <c r="BD195" s="1">
        <v>46128</v>
      </c>
      <c r="BE195" t="s">
        <v>198</v>
      </c>
      <c r="BL195" s="4">
        <v>0</v>
      </c>
      <c r="BM195" s="1">
        <v>46808</v>
      </c>
      <c r="BN195" s="1">
        <v>46136</v>
      </c>
      <c r="BO195">
        <v>0</v>
      </c>
      <c r="BP195">
        <v>30880</v>
      </c>
      <c r="BQ195" t="s">
        <v>156</v>
      </c>
      <c r="BR195" s="3">
        <v>137197.82999999999</v>
      </c>
      <c r="BS195" s="3">
        <v>23525</v>
      </c>
      <c r="BT195">
        <v>0</v>
      </c>
      <c r="BU195" s="3">
        <v>160722.82999999999</v>
      </c>
      <c r="BV195" s="3">
        <v>223499.66</v>
      </c>
      <c r="BX195">
        <v>0</v>
      </c>
      <c r="BZ195">
        <v>0</v>
      </c>
      <c r="CA195">
        <v>0</v>
      </c>
      <c r="CB195">
        <v>0</v>
      </c>
      <c r="CC195" s="3">
        <v>223499.66</v>
      </c>
      <c r="CD195" s="5">
        <v>0</v>
      </c>
      <c r="CF195" s="6">
        <v>46113</v>
      </c>
      <c r="CH195">
        <v>0</v>
      </c>
      <c r="CI195">
        <v>0</v>
      </c>
      <c r="CJ195">
        <v>0</v>
      </c>
      <c r="CK195">
        <v>0</v>
      </c>
      <c r="CL195">
        <v>0</v>
      </c>
      <c r="CM195">
        <v>0</v>
      </c>
      <c r="CN195">
        <v>0</v>
      </c>
      <c r="CO195">
        <v>0</v>
      </c>
      <c r="CP195">
        <v>0</v>
      </c>
      <c r="CQ195">
        <v>0</v>
      </c>
      <c r="CR195">
        <v>0</v>
      </c>
      <c r="CS195" t="s">
        <v>360</v>
      </c>
      <c r="CT195" t="s">
        <v>214</v>
      </c>
      <c r="CU195" t="s">
        <v>1577</v>
      </c>
      <c r="CW195">
        <v>-53.411000000000001</v>
      </c>
      <c r="CZ195" s="1">
        <v>46128</v>
      </c>
      <c r="DA195" t="s">
        <v>172</v>
      </c>
      <c r="DB195" t="s">
        <v>172</v>
      </c>
      <c r="DC195" t="s">
        <v>172</v>
      </c>
      <c r="DD195" t="s">
        <v>172</v>
      </c>
      <c r="DG195" s="1">
        <v>46128</v>
      </c>
      <c r="DH195">
        <v>0</v>
      </c>
      <c r="DI195">
        <v>0</v>
      </c>
      <c r="DJ195" s="1">
        <v>46135</v>
      </c>
      <c r="DL195" t="s">
        <v>215</v>
      </c>
      <c r="DM195" t="s">
        <v>172</v>
      </c>
      <c r="DN195" t="s">
        <v>511</v>
      </c>
      <c r="DV195" s="3">
        <v>223499.66</v>
      </c>
      <c r="DW195">
        <v>0</v>
      </c>
      <c r="DX195" s="3">
        <v>223499.66</v>
      </c>
      <c r="DY195">
        <v>0</v>
      </c>
      <c r="EF195" s="1">
        <v>46139</v>
      </c>
      <c r="EG195" s="1">
        <v>46134</v>
      </c>
      <c r="EK195" s="1">
        <v>46139</v>
      </c>
      <c r="EP195" s="1">
        <v>46134</v>
      </c>
    </row>
    <row r="196" spans="1:153" ht="246.5" x14ac:dyDescent="0.35">
      <c r="A196" t="str">
        <f>HYPERLINK("https://7lm.cvcrm.com.br/gestor/comercial/reservas/6964/administrar","6964")</f>
        <v>6964</v>
      </c>
      <c r="B196" t="s">
        <v>156</v>
      </c>
      <c r="C196" s="1">
        <v>46128</v>
      </c>
      <c r="D196" s="2">
        <v>0.44229166666666669</v>
      </c>
      <c r="E196" t="s">
        <v>294</v>
      </c>
      <c r="F196" t="s">
        <v>182</v>
      </c>
      <c r="G196" t="s">
        <v>159</v>
      </c>
      <c r="H196" t="s">
        <v>418</v>
      </c>
      <c r="I196" t="s">
        <v>1581</v>
      </c>
      <c r="J196">
        <v>1</v>
      </c>
      <c r="K196">
        <v>8359</v>
      </c>
      <c r="L196">
        <v>30151</v>
      </c>
      <c r="M196" t="s">
        <v>1582</v>
      </c>
      <c r="N196" s="1">
        <v>46140</v>
      </c>
      <c r="O196" s="2">
        <v>0.61086805555555557</v>
      </c>
      <c r="Q196">
        <v>9896</v>
      </c>
      <c r="R196" t="str">
        <f>HYPERLINK("https://7lm.cvcrm.com.br/gestor/relatorios/associado/html?q[1|r.idreserva]=6964","LUCAS RIBEIRO DE SOUZA")</f>
        <v>LUCAS RIBEIRO DE SOUZA</v>
      </c>
      <c r="S196">
        <v>5528662109</v>
      </c>
      <c r="T196">
        <v>5561996478127</v>
      </c>
      <c r="U196">
        <v>5561999783662</v>
      </c>
      <c r="V196" t="s">
        <v>1583</v>
      </c>
      <c r="W196" t="s">
        <v>163</v>
      </c>
      <c r="X196" t="s">
        <v>366</v>
      </c>
      <c r="Y196" t="s">
        <v>189</v>
      </c>
      <c r="Z196" t="s">
        <v>190</v>
      </c>
      <c r="AA196" t="s">
        <v>707</v>
      </c>
      <c r="AB196" t="s">
        <v>1584</v>
      </c>
      <c r="AC196" t="s">
        <v>1585</v>
      </c>
      <c r="AD196" t="s">
        <v>1585</v>
      </c>
      <c r="AF196" t="s">
        <v>250</v>
      </c>
      <c r="AG196" t="s">
        <v>195</v>
      </c>
      <c r="AH196" s="3">
        <v>240620.92</v>
      </c>
      <c r="AI196" s="3">
        <v>240620.92</v>
      </c>
      <c r="AJ196" s="1">
        <v>46127</v>
      </c>
      <c r="AN196" t="s">
        <v>172</v>
      </c>
      <c r="AR196" s="7" t="s">
        <v>353</v>
      </c>
      <c r="AT196" t="s">
        <v>173</v>
      </c>
      <c r="AU196" t="s">
        <v>175</v>
      </c>
      <c r="AW196">
        <v>0</v>
      </c>
      <c r="AX196" s="1">
        <v>46139</v>
      </c>
      <c r="AY196" s="2">
        <v>0.68978009259259254</v>
      </c>
      <c r="AZ196">
        <v>201550</v>
      </c>
      <c r="BA196" s="1">
        <v>46127</v>
      </c>
      <c r="BC196" t="s">
        <v>213</v>
      </c>
      <c r="BD196" s="1">
        <v>46127</v>
      </c>
      <c r="BE196" t="s">
        <v>175</v>
      </c>
      <c r="BL196" s="4">
        <v>0</v>
      </c>
      <c r="BM196" s="1">
        <v>46899</v>
      </c>
      <c r="BN196" s="1">
        <v>46139</v>
      </c>
      <c r="BO196">
        <v>0</v>
      </c>
      <c r="BP196">
        <v>31042</v>
      </c>
      <c r="BQ196" t="s">
        <v>156</v>
      </c>
      <c r="BR196" s="3">
        <v>115751.61</v>
      </c>
      <c r="BS196" s="3">
        <v>49121</v>
      </c>
      <c r="BT196">
        <v>0</v>
      </c>
      <c r="BU196" s="3">
        <v>164872.60999999999</v>
      </c>
      <c r="BV196" s="3">
        <v>240620.92</v>
      </c>
      <c r="BX196">
        <v>0</v>
      </c>
      <c r="BZ196">
        <v>0</v>
      </c>
      <c r="CA196">
        <v>0</v>
      </c>
      <c r="CB196">
        <v>0</v>
      </c>
      <c r="CC196" s="3">
        <v>240620.92</v>
      </c>
      <c r="CD196" s="5">
        <v>0</v>
      </c>
      <c r="CF196" s="6">
        <v>46113</v>
      </c>
      <c r="CH196">
        <v>0</v>
      </c>
      <c r="CI196">
        <v>0</v>
      </c>
      <c r="CJ196">
        <v>0</v>
      </c>
      <c r="CK196">
        <v>0</v>
      </c>
      <c r="CL196">
        <v>0</v>
      </c>
      <c r="CM196">
        <v>0</v>
      </c>
      <c r="CN196">
        <v>0</v>
      </c>
      <c r="CO196">
        <v>0</v>
      </c>
      <c r="CP196">
        <v>0</v>
      </c>
      <c r="CQ196">
        <v>0</v>
      </c>
      <c r="CR196">
        <v>0</v>
      </c>
      <c r="CS196" t="s">
        <v>360</v>
      </c>
      <c r="CT196" t="s">
        <v>190</v>
      </c>
      <c r="CU196" t="s">
        <v>1581</v>
      </c>
      <c r="CW196">
        <v>-52.286499999999997</v>
      </c>
      <c r="CZ196" s="1">
        <v>46128</v>
      </c>
      <c r="DA196" t="s">
        <v>172</v>
      </c>
      <c r="DB196" t="s">
        <v>172</v>
      </c>
      <c r="DC196" t="s">
        <v>172</v>
      </c>
      <c r="DD196" t="s">
        <v>172</v>
      </c>
      <c r="DG196" s="1">
        <v>46128</v>
      </c>
      <c r="DH196">
        <v>0</v>
      </c>
      <c r="DI196">
        <v>0</v>
      </c>
      <c r="DJ196" s="1">
        <v>46139</v>
      </c>
      <c r="DK196" t="s">
        <v>179</v>
      </c>
      <c r="DL196" t="s">
        <v>200</v>
      </c>
      <c r="DM196" t="s">
        <v>172</v>
      </c>
      <c r="DN196" t="s">
        <v>201</v>
      </c>
      <c r="DV196" s="3">
        <v>240620.92</v>
      </c>
      <c r="DW196">
        <v>0</v>
      </c>
      <c r="DX196" s="3">
        <v>240620.92</v>
      </c>
      <c r="DY196">
        <v>0</v>
      </c>
      <c r="EF196" s="1">
        <v>46140</v>
      </c>
      <c r="EG196" s="1">
        <v>46136</v>
      </c>
      <c r="EK196" s="1">
        <v>46140</v>
      </c>
      <c r="EN196" t="s">
        <v>156</v>
      </c>
      <c r="EP196" s="1">
        <v>46135</v>
      </c>
      <c r="ER196" s="1">
        <v>46134</v>
      </c>
      <c r="ES196" t="s">
        <v>1586</v>
      </c>
      <c r="ET196" t="s">
        <v>1587</v>
      </c>
      <c r="EU196" s="1">
        <v>46135</v>
      </c>
      <c r="EW196" s="1">
        <v>46134</v>
      </c>
    </row>
    <row r="197" spans="1:153" ht="246.5" x14ac:dyDescent="0.35">
      <c r="A197" t="str">
        <f>HYPERLINK("https://7lm.cvcrm.com.br/gestor/comercial/reservas/6963/administrar","6963")</f>
        <v>6963</v>
      </c>
      <c r="B197" t="s">
        <v>156</v>
      </c>
      <c r="C197" s="1">
        <v>46127</v>
      </c>
      <c r="D197" s="2">
        <v>0.75646990740740738</v>
      </c>
      <c r="E197" t="s">
        <v>294</v>
      </c>
      <c r="F197" t="s">
        <v>182</v>
      </c>
      <c r="G197" t="s">
        <v>159</v>
      </c>
      <c r="H197" t="s">
        <v>704</v>
      </c>
      <c r="I197" t="s">
        <v>1588</v>
      </c>
      <c r="J197">
        <v>1</v>
      </c>
      <c r="K197">
        <v>8340</v>
      </c>
      <c r="L197">
        <v>30151</v>
      </c>
      <c r="M197" t="s">
        <v>1589</v>
      </c>
      <c r="N197" s="1">
        <v>46136</v>
      </c>
      <c r="O197" s="2">
        <v>0.61357638888888888</v>
      </c>
      <c r="R197" t="str">
        <f>HYPERLINK("https://7lm.cvcrm.com.br/gestor/relatorios/associado/html?q[1|r.idreserva]=6963","ANTONIO CARLOS RESENDE DOS SANTOS")</f>
        <v>ANTONIO CARLOS RESENDE DOS SANTOS</v>
      </c>
      <c r="S197">
        <v>74985019100</v>
      </c>
      <c r="T197">
        <v>5561996017198</v>
      </c>
      <c r="U197">
        <v>5561998341620</v>
      </c>
      <c r="V197" t="s">
        <v>1590</v>
      </c>
      <c r="W197" t="s">
        <v>163</v>
      </c>
      <c r="X197" t="s">
        <v>1591</v>
      </c>
      <c r="Y197" t="s">
        <v>189</v>
      </c>
      <c r="Z197" t="s">
        <v>190</v>
      </c>
      <c r="AA197" t="s">
        <v>806</v>
      </c>
      <c r="AB197" t="s">
        <v>1592</v>
      </c>
      <c r="AC197" t="s">
        <v>248</v>
      </c>
      <c r="AD197" t="s">
        <v>249</v>
      </c>
      <c r="AF197" t="s">
        <v>250</v>
      </c>
      <c r="AG197" t="s">
        <v>195</v>
      </c>
      <c r="AH197" s="3">
        <v>240628.12</v>
      </c>
      <c r="AI197" s="3">
        <v>240628.12</v>
      </c>
      <c r="AJ197" s="1">
        <v>46157</v>
      </c>
      <c r="AN197" t="s">
        <v>172</v>
      </c>
      <c r="AR197" s="7" t="s">
        <v>353</v>
      </c>
      <c r="AT197" t="s">
        <v>173</v>
      </c>
      <c r="AU197" t="s">
        <v>175</v>
      </c>
      <c r="AW197">
        <v>0</v>
      </c>
      <c r="AX197" s="1">
        <v>46134</v>
      </c>
      <c r="AY197" s="2">
        <v>0.77109953703703704</v>
      </c>
      <c r="AZ197">
        <v>201572</v>
      </c>
      <c r="BA197" s="1">
        <v>46127</v>
      </c>
      <c r="BC197" t="s">
        <v>213</v>
      </c>
      <c r="BD197" s="1">
        <v>46127</v>
      </c>
      <c r="BE197" t="s">
        <v>175</v>
      </c>
      <c r="BL197" s="4">
        <v>0</v>
      </c>
      <c r="BM197" s="1">
        <v>46899</v>
      </c>
      <c r="BN197" s="1">
        <v>46134</v>
      </c>
      <c r="BO197">
        <v>0</v>
      </c>
      <c r="BP197">
        <v>31059</v>
      </c>
      <c r="BQ197" t="s">
        <v>156</v>
      </c>
      <c r="BR197">
        <v>0</v>
      </c>
      <c r="BS197">
        <v>0</v>
      </c>
      <c r="BT197">
        <v>0</v>
      </c>
      <c r="BU197">
        <v>0</v>
      </c>
      <c r="BV197" s="3">
        <v>240628.12</v>
      </c>
      <c r="BX197">
        <v>0</v>
      </c>
      <c r="BZ197">
        <v>0</v>
      </c>
      <c r="CA197">
        <v>0</v>
      </c>
      <c r="CB197">
        <v>0</v>
      </c>
      <c r="CC197" s="3">
        <v>240628.12</v>
      </c>
      <c r="CD197" s="5">
        <v>0</v>
      </c>
      <c r="CF197" s="6">
        <v>46113</v>
      </c>
      <c r="CH197">
        <v>0</v>
      </c>
      <c r="CI197">
        <v>0</v>
      </c>
      <c r="CJ197">
        <v>0</v>
      </c>
      <c r="CK197">
        <v>0</v>
      </c>
      <c r="CL197">
        <v>0</v>
      </c>
      <c r="CM197">
        <v>0</v>
      </c>
      <c r="CN197">
        <v>0</v>
      </c>
      <c r="CO197">
        <v>0</v>
      </c>
      <c r="CP197">
        <v>0</v>
      </c>
      <c r="CQ197">
        <v>0</v>
      </c>
      <c r="CR197">
        <v>0</v>
      </c>
      <c r="CS197" t="s">
        <v>360</v>
      </c>
      <c r="CT197" t="s">
        <v>190</v>
      </c>
      <c r="CU197" t="s">
        <v>1588</v>
      </c>
      <c r="CW197">
        <v>-51.7318</v>
      </c>
      <c r="CZ197" s="1">
        <v>46127</v>
      </c>
      <c r="DA197" t="s">
        <v>172</v>
      </c>
      <c r="DB197" t="s">
        <v>172</v>
      </c>
      <c r="DC197" t="s">
        <v>172</v>
      </c>
      <c r="DD197" t="s">
        <v>172</v>
      </c>
      <c r="DG197" s="1">
        <v>46127</v>
      </c>
      <c r="DH197">
        <v>0</v>
      </c>
      <c r="DI197">
        <v>0</v>
      </c>
      <c r="DK197" t="s">
        <v>179</v>
      </c>
      <c r="DL197" t="s">
        <v>200</v>
      </c>
      <c r="DM197" t="s">
        <v>172</v>
      </c>
      <c r="DN197" t="s">
        <v>201</v>
      </c>
      <c r="DV197" s="3">
        <v>240628.12</v>
      </c>
      <c r="DW197">
        <v>0</v>
      </c>
      <c r="DX197" s="3">
        <v>240628.12</v>
      </c>
      <c r="DY197">
        <v>0</v>
      </c>
      <c r="EG197" s="1">
        <v>46132</v>
      </c>
      <c r="EN197" t="s">
        <v>156</v>
      </c>
      <c r="EP197" s="1">
        <v>46129</v>
      </c>
      <c r="ER197" s="1">
        <v>46129</v>
      </c>
      <c r="ES197" t="s">
        <v>1593</v>
      </c>
      <c r="EU197" s="1">
        <v>46130</v>
      </c>
    </row>
    <row r="198" spans="1:153" ht="246.5" x14ac:dyDescent="0.35">
      <c r="A198" t="str">
        <f>HYPERLINK("https://7lm.cvcrm.com.br/gestor/comercial/reservas/6962/administrar","6962")</f>
        <v>6962</v>
      </c>
      <c r="B198" t="s">
        <v>156</v>
      </c>
      <c r="C198" s="1">
        <v>46127</v>
      </c>
      <c r="D198" s="2">
        <v>0.69605324074074071</v>
      </c>
      <c r="E198" t="s">
        <v>294</v>
      </c>
      <c r="F198" t="s">
        <v>458</v>
      </c>
      <c r="G198" t="s">
        <v>203</v>
      </c>
      <c r="H198" t="s">
        <v>336</v>
      </c>
      <c r="I198" t="s">
        <v>780</v>
      </c>
      <c r="J198">
        <v>1</v>
      </c>
      <c r="K198">
        <v>8366</v>
      </c>
      <c r="L198">
        <v>20001</v>
      </c>
      <c r="M198" t="s">
        <v>1594</v>
      </c>
      <c r="N198" s="1">
        <v>46148</v>
      </c>
      <c r="O198" s="2">
        <v>0.59759259259259256</v>
      </c>
      <c r="R198" t="str">
        <f>HYPERLINK("https://7lm.cvcrm.com.br/gestor/relatorios/associado/html?q[1|r.idreserva]=6962","MATTHEUS VIEIRA DA SILVA")</f>
        <v>MATTHEUS VIEIRA DA SILVA</v>
      </c>
      <c r="S198">
        <v>6812802395</v>
      </c>
      <c r="T198">
        <v>5561982296780</v>
      </c>
      <c r="U198">
        <v>5561991053593</v>
      </c>
      <c r="V198" t="s">
        <v>1595</v>
      </c>
      <c r="W198" t="s">
        <v>163</v>
      </c>
      <c r="Y198" t="s">
        <v>165</v>
      </c>
      <c r="Z198" t="s">
        <v>938</v>
      </c>
      <c r="AA198" t="s">
        <v>938</v>
      </c>
      <c r="AB198" t="s">
        <v>1596</v>
      </c>
      <c r="AC198" t="s">
        <v>1597</v>
      </c>
      <c r="AD198" t="s">
        <v>1597</v>
      </c>
      <c r="AF198" t="s">
        <v>212</v>
      </c>
      <c r="AG198" t="s">
        <v>284</v>
      </c>
      <c r="AH198" s="3">
        <v>234541.35</v>
      </c>
      <c r="AI198" s="3">
        <v>234541.35</v>
      </c>
      <c r="AJ198" s="1">
        <v>46132</v>
      </c>
      <c r="AN198" t="s">
        <v>172</v>
      </c>
      <c r="AR198" s="7" t="s">
        <v>353</v>
      </c>
      <c r="AT198" t="s">
        <v>196</v>
      </c>
      <c r="AV198" t="s">
        <v>1598</v>
      </c>
      <c r="AW198">
        <v>0</v>
      </c>
      <c r="AX198" s="1">
        <v>46141</v>
      </c>
      <c r="AY198" s="2">
        <v>0.39363425925925927</v>
      </c>
      <c r="AZ198">
        <v>201576</v>
      </c>
      <c r="BA198" s="1">
        <v>46127</v>
      </c>
      <c r="BC198" t="s">
        <v>0</v>
      </c>
      <c r="BD198" s="1">
        <v>46127</v>
      </c>
      <c r="BE198" t="s">
        <v>175</v>
      </c>
      <c r="BL198" s="4">
        <v>0</v>
      </c>
      <c r="BM198" s="1">
        <v>46572</v>
      </c>
      <c r="BN198" s="1">
        <v>46141</v>
      </c>
      <c r="BO198">
        <v>0</v>
      </c>
      <c r="BP198">
        <v>31063</v>
      </c>
      <c r="BQ198" t="s">
        <v>156</v>
      </c>
      <c r="BR198" s="3">
        <v>121259</v>
      </c>
      <c r="BS198" s="3">
        <v>47941</v>
      </c>
      <c r="BT198">
        <v>0</v>
      </c>
      <c r="BU198" s="3">
        <v>169200</v>
      </c>
      <c r="BV198" s="3">
        <v>234541.35</v>
      </c>
      <c r="BX198">
        <v>0</v>
      </c>
      <c r="BZ198">
        <v>0</v>
      </c>
      <c r="CA198">
        <v>0</v>
      </c>
      <c r="CB198">
        <v>0</v>
      </c>
      <c r="CC198" s="3">
        <v>234541.35</v>
      </c>
      <c r="CD198" s="5">
        <v>0</v>
      </c>
      <c r="CE198" t="s">
        <v>467</v>
      </c>
      <c r="CF198" s="6">
        <v>46113</v>
      </c>
      <c r="CH198">
        <v>0</v>
      </c>
      <c r="CI198">
        <v>0</v>
      </c>
      <c r="CJ198">
        <v>0</v>
      </c>
      <c r="CK198">
        <v>0</v>
      </c>
      <c r="CL198">
        <v>0</v>
      </c>
      <c r="CM198">
        <v>0</v>
      </c>
      <c r="CN198">
        <v>0</v>
      </c>
      <c r="CO198">
        <v>0</v>
      </c>
      <c r="CP198">
        <v>0</v>
      </c>
      <c r="CQ198">
        <v>0</v>
      </c>
      <c r="CR198">
        <v>0</v>
      </c>
      <c r="CS198" t="s">
        <v>360</v>
      </c>
      <c r="CT198" t="s">
        <v>214</v>
      </c>
      <c r="CU198" t="s">
        <v>780</v>
      </c>
      <c r="CW198">
        <v>-58.0961</v>
      </c>
      <c r="CZ198" s="1">
        <v>46127</v>
      </c>
      <c r="DA198" t="s">
        <v>172</v>
      </c>
      <c r="DB198" t="s">
        <v>172</v>
      </c>
      <c r="DC198" t="s">
        <v>172</v>
      </c>
      <c r="DD198" t="s">
        <v>172</v>
      </c>
      <c r="DG198" s="1">
        <v>46127</v>
      </c>
      <c r="DH198">
        <v>0</v>
      </c>
      <c r="DI198">
        <v>0</v>
      </c>
      <c r="DJ198" s="1">
        <v>46140</v>
      </c>
      <c r="DL198" t="s">
        <v>200</v>
      </c>
      <c r="DM198" t="s">
        <v>172</v>
      </c>
      <c r="DN198" t="s">
        <v>525</v>
      </c>
      <c r="DV198" s="3">
        <v>234541.35</v>
      </c>
      <c r="DW198">
        <v>0</v>
      </c>
      <c r="DX198" s="3">
        <v>234541.35</v>
      </c>
      <c r="DY198">
        <v>0</v>
      </c>
      <c r="EC198">
        <v>1</v>
      </c>
      <c r="EN198" t="s">
        <v>156</v>
      </c>
      <c r="EP198" s="1">
        <v>46136</v>
      </c>
      <c r="EU198" s="1">
        <v>46136</v>
      </c>
      <c r="EW198" s="1">
        <v>46127</v>
      </c>
    </row>
    <row r="199" spans="1:153" x14ac:dyDescent="0.35">
      <c r="A199" t="str">
        <f>HYPERLINK("https://7lm.cvcrm.com.br/gestor/comercial/reservas/6961/administrar","6961")</f>
        <v>6961</v>
      </c>
      <c r="B199" t="s">
        <v>172</v>
      </c>
      <c r="C199" s="1">
        <v>46127</v>
      </c>
      <c r="D199" s="2">
        <v>0.63769675925925928</v>
      </c>
      <c r="E199" t="s">
        <v>527</v>
      </c>
      <c r="F199" t="s">
        <v>182</v>
      </c>
      <c r="G199" t="s">
        <v>159</v>
      </c>
      <c r="H199" t="s">
        <v>975</v>
      </c>
      <c r="I199" t="s">
        <v>723</v>
      </c>
      <c r="J199">
        <v>1</v>
      </c>
      <c r="K199">
        <v>8359</v>
      </c>
      <c r="L199">
        <v>30151</v>
      </c>
      <c r="M199" t="s">
        <v>1599</v>
      </c>
      <c r="R199" t="str">
        <f>HYPERLINK("https://7lm.cvcrm.com.br/gestor/relatorios/associado/html?q[1|r.idreserva]=6961","LUCAS RIBEIRO DE SOUZA")</f>
        <v>LUCAS RIBEIRO DE SOUZA</v>
      </c>
      <c r="S199">
        <v>5528662109</v>
      </c>
      <c r="T199">
        <v>5561996478127</v>
      </c>
      <c r="U199">
        <v>5561999783662</v>
      </c>
      <c r="V199" t="s">
        <v>1583</v>
      </c>
      <c r="W199" t="s">
        <v>163</v>
      </c>
      <c r="X199" t="s">
        <v>366</v>
      </c>
      <c r="Y199" t="s">
        <v>189</v>
      </c>
      <c r="Z199" t="s">
        <v>190</v>
      </c>
      <c r="AA199" t="s">
        <v>707</v>
      </c>
      <c r="AB199" t="s">
        <v>1584</v>
      </c>
      <c r="AC199" t="s">
        <v>1585</v>
      </c>
      <c r="AD199" t="s">
        <v>1585</v>
      </c>
      <c r="AF199" t="s">
        <v>250</v>
      </c>
      <c r="AG199" t="s">
        <v>195</v>
      </c>
      <c r="AH199" s="3">
        <v>241000.02</v>
      </c>
      <c r="AI199" s="3">
        <v>241000.02</v>
      </c>
      <c r="AJ199" s="1">
        <v>46127</v>
      </c>
      <c r="AN199" t="s">
        <v>172</v>
      </c>
      <c r="AO199" t="s">
        <v>725</v>
      </c>
      <c r="AP199" t="s">
        <v>1600</v>
      </c>
      <c r="AR199" t="s">
        <v>1601</v>
      </c>
      <c r="AT199" t="s">
        <v>261</v>
      </c>
      <c r="AU199" t="s">
        <v>175</v>
      </c>
      <c r="AW199">
        <v>0</v>
      </c>
      <c r="AX199" s="1">
        <v>46128</v>
      </c>
      <c r="AY199" s="2">
        <v>0.46828703703703706</v>
      </c>
      <c r="AZ199">
        <v>201550</v>
      </c>
      <c r="BA199" s="1">
        <v>46127</v>
      </c>
      <c r="BC199" t="s">
        <v>213</v>
      </c>
      <c r="BD199" s="1">
        <v>46127</v>
      </c>
      <c r="BE199" t="s">
        <v>175</v>
      </c>
      <c r="BL199" s="4">
        <v>0</v>
      </c>
      <c r="BM199" s="1">
        <v>46899</v>
      </c>
      <c r="BO199">
        <v>0</v>
      </c>
      <c r="BP199">
        <v>31042</v>
      </c>
      <c r="BQ199" t="s">
        <v>156</v>
      </c>
      <c r="BR199" s="3">
        <v>115751.61</v>
      </c>
      <c r="BS199" s="3">
        <v>49121</v>
      </c>
      <c r="BT199">
        <v>0</v>
      </c>
      <c r="BU199" s="3">
        <v>164872.60999999999</v>
      </c>
      <c r="BV199" s="3">
        <v>241000.02</v>
      </c>
      <c r="BX199">
        <v>0</v>
      </c>
      <c r="BZ199">
        <v>0</v>
      </c>
      <c r="CA199">
        <v>0</v>
      </c>
      <c r="CB199">
        <v>0</v>
      </c>
      <c r="CC199" s="3">
        <v>241000.02</v>
      </c>
      <c r="CD199" s="5">
        <v>0</v>
      </c>
      <c r="CF199" s="6">
        <v>46113</v>
      </c>
      <c r="CH199">
        <v>0</v>
      </c>
      <c r="CI199">
        <v>0</v>
      </c>
      <c r="CJ199">
        <v>0</v>
      </c>
      <c r="CK199">
        <v>0</v>
      </c>
      <c r="CL199">
        <v>0</v>
      </c>
      <c r="CM199">
        <v>0</v>
      </c>
      <c r="CN199">
        <v>0</v>
      </c>
      <c r="CO199">
        <v>0</v>
      </c>
      <c r="CP199">
        <v>0</v>
      </c>
      <c r="CQ199">
        <v>0</v>
      </c>
      <c r="CR199">
        <v>0</v>
      </c>
      <c r="CT199" t="s">
        <v>190</v>
      </c>
      <c r="CU199" t="s">
        <v>723</v>
      </c>
      <c r="CW199">
        <v>0</v>
      </c>
      <c r="CZ199" s="1">
        <v>46127</v>
      </c>
      <c r="DA199" t="s">
        <v>172</v>
      </c>
      <c r="DB199" t="s">
        <v>172</v>
      </c>
      <c r="DC199" t="s">
        <v>172</v>
      </c>
      <c r="DD199" t="s">
        <v>172</v>
      </c>
      <c r="DG199" s="1">
        <v>46127</v>
      </c>
      <c r="DH199">
        <v>0</v>
      </c>
      <c r="DI199">
        <v>0</v>
      </c>
      <c r="DK199" t="s">
        <v>179</v>
      </c>
      <c r="DL199" t="s">
        <v>200</v>
      </c>
      <c r="DM199" t="s">
        <v>172</v>
      </c>
      <c r="DN199" t="s">
        <v>201</v>
      </c>
      <c r="DV199" s="3">
        <v>241000.02</v>
      </c>
      <c r="DW199">
        <v>0</v>
      </c>
      <c r="DX199" s="3">
        <v>241000.02</v>
      </c>
      <c r="DY199">
        <v>0</v>
      </c>
      <c r="EN199" t="s">
        <v>537</v>
      </c>
      <c r="ET199" t="s">
        <v>1602</v>
      </c>
      <c r="EU199" s="1">
        <v>46129</v>
      </c>
    </row>
    <row r="200" spans="1:153" x14ac:dyDescent="0.35">
      <c r="A200" t="str">
        <f>HYPERLINK("https://7lm.cvcrm.com.br/gestor/comercial/reservas/6960/administrar","6960")</f>
        <v>6960</v>
      </c>
      <c r="B200" t="s">
        <v>172</v>
      </c>
      <c r="C200" s="1">
        <v>46127</v>
      </c>
      <c r="D200" s="2">
        <v>0.54223379629629631</v>
      </c>
      <c r="E200" t="s">
        <v>527</v>
      </c>
      <c r="F200" t="s">
        <v>182</v>
      </c>
      <c r="G200" t="s">
        <v>159</v>
      </c>
      <c r="H200" t="s">
        <v>538</v>
      </c>
      <c r="I200" t="s">
        <v>539</v>
      </c>
      <c r="J200">
        <v>1</v>
      </c>
      <c r="L200">
        <v>30151</v>
      </c>
      <c r="M200" t="s">
        <v>540</v>
      </c>
      <c r="R200" t="str">
        <f>HYPERLINK("https://7lm.cvcrm.com.br/gestor/relatorios/associado/html?q[1|r.idreserva]=6960","IURY SANTOS BRAGA")</f>
        <v>IURY SANTOS BRAGA</v>
      </c>
      <c r="S200">
        <v>7973545140</v>
      </c>
      <c r="T200">
        <v>5561999598162</v>
      </c>
      <c r="V200" t="s">
        <v>1603</v>
      </c>
      <c r="W200" t="s">
        <v>163</v>
      </c>
      <c r="X200" t="s">
        <v>366</v>
      </c>
      <c r="Y200" t="s">
        <v>189</v>
      </c>
      <c r="Z200" t="s">
        <v>190</v>
      </c>
      <c r="AA200" t="s">
        <v>1604</v>
      </c>
      <c r="AB200" t="s">
        <v>1605</v>
      </c>
      <c r="AC200" t="s">
        <v>447</v>
      </c>
      <c r="AD200" t="s">
        <v>447</v>
      </c>
      <c r="AF200" t="s">
        <v>250</v>
      </c>
      <c r="AG200" t="s">
        <v>195</v>
      </c>
      <c r="AH200" s="3">
        <v>47400</v>
      </c>
      <c r="AI200" s="3">
        <v>47400</v>
      </c>
      <c r="AJ200" s="1">
        <v>46022</v>
      </c>
      <c r="AN200" t="s">
        <v>172</v>
      </c>
      <c r="AO200" t="s">
        <v>966</v>
      </c>
      <c r="AR200" t="s">
        <v>1606</v>
      </c>
      <c r="AT200" t="s">
        <v>173</v>
      </c>
      <c r="AU200" t="s">
        <v>175</v>
      </c>
      <c r="AW200">
        <v>0</v>
      </c>
      <c r="AX200" s="1">
        <v>46155</v>
      </c>
      <c r="AY200" s="2">
        <v>0.72212962962962968</v>
      </c>
      <c r="AZ200">
        <v>201491</v>
      </c>
      <c r="BA200" s="1">
        <v>46127</v>
      </c>
      <c r="BC200" t="s">
        <v>0</v>
      </c>
      <c r="BD200" s="1">
        <v>46127</v>
      </c>
      <c r="BE200" t="s">
        <v>175</v>
      </c>
      <c r="BL200" s="4">
        <v>0</v>
      </c>
      <c r="BM200" s="1">
        <v>46899</v>
      </c>
      <c r="BO200">
        <v>0</v>
      </c>
      <c r="BP200">
        <v>30707</v>
      </c>
      <c r="BQ200" t="s">
        <v>156</v>
      </c>
      <c r="BR200">
        <v>0</v>
      </c>
      <c r="BS200">
        <v>0</v>
      </c>
      <c r="BT200">
        <v>0</v>
      </c>
      <c r="BU200">
        <v>0</v>
      </c>
      <c r="BV200" s="3">
        <v>47400</v>
      </c>
      <c r="BX200">
        <v>0</v>
      </c>
      <c r="BZ200">
        <v>0</v>
      </c>
      <c r="CA200">
        <v>0</v>
      </c>
      <c r="CB200">
        <v>0</v>
      </c>
      <c r="CC200" s="3">
        <v>47400</v>
      </c>
      <c r="CD200" s="5">
        <v>0</v>
      </c>
      <c r="CF200" s="6">
        <v>46143</v>
      </c>
      <c r="CH200">
        <v>0</v>
      </c>
      <c r="CI200">
        <v>0</v>
      </c>
      <c r="CJ200">
        <v>0</v>
      </c>
      <c r="CK200">
        <v>0</v>
      </c>
      <c r="CL200">
        <v>0</v>
      </c>
      <c r="CM200">
        <v>0</v>
      </c>
      <c r="CN200">
        <v>0</v>
      </c>
      <c r="CO200">
        <v>0</v>
      </c>
      <c r="CP200">
        <v>0</v>
      </c>
      <c r="CQ200">
        <v>0</v>
      </c>
      <c r="CR200">
        <v>0</v>
      </c>
      <c r="CT200" t="s">
        <v>190</v>
      </c>
      <c r="CU200" t="s">
        <v>539</v>
      </c>
      <c r="CW200">
        <v>0</v>
      </c>
      <c r="CZ200" s="1">
        <v>46127</v>
      </c>
      <c r="DA200" t="s">
        <v>172</v>
      </c>
      <c r="DB200" t="s">
        <v>172</v>
      </c>
      <c r="DC200" t="s">
        <v>172</v>
      </c>
      <c r="DD200" t="s">
        <v>172</v>
      </c>
      <c r="DG200" s="1">
        <v>46127</v>
      </c>
      <c r="DH200">
        <v>0</v>
      </c>
      <c r="DI200">
        <v>0</v>
      </c>
      <c r="DK200" t="s">
        <v>179</v>
      </c>
      <c r="DL200" t="s">
        <v>200</v>
      </c>
      <c r="DM200" t="s">
        <v>172</v>
      </c>
      <c r="DN200" t="s">
        <v>201</v>
      </c>
      <c r="DU200" t="s">
        <v>440</v>
      </c>
      <c r="DV200" s="3">
        <v>485000</v>
      </c>
      <c r="DW200">
        <v>-91.1</v>
      </c>
      <c r="DX200" s="3">
        <v>485000</v>
      </c>
      <c r="DY200">
        <v>-91.1</v>
      </c>
      <c r="EN200" t="s">
        <v>537</v>
      </c>
      <c r="ET200" t="s">
        <v>1607</v>
      </c>
      <c r="EU200" s="1">
        <v>46137</v>
      </c>
    </row>
    <row r="201" spans="1:153" x14ac:dyDescent="0.35">
      <c r="A201" t="str">
        <f>HYPERLINK("https://7lm.cvcrm.com.br/gestor/comercial/reservas/6959/administrar","6959")</f>
        <v>6959</v>
      </c>
      <c r="B201" t="s">
        <v>156</v>
      </c>
      <c r="C201" s="1">
        <v>46126</v>
      </c>
      <c r="D201" s="2">
        <v>0.81866898148148148</v>
      </c>
      <c r="E201" t="s">
        <v>527</v>
      </c>
      <c r="F201" t="s">
        <v>957</v>
      </c>
      <c r="G201" t="s">
        <v>159</v>
      </c>
      <c r="H201" t="s">
        <v>759</v>
      </c>
      <c r="I201" t="s">
        <v>1177</v>
      </c>
      <c r="J201">
        <v>1</v>
      </c>
      <c r="L201">
        <v>30121</v>
      </c>
      <c r="M201" t="s">
        <v>1178</v>
      </c>
      <c r="N201" s="1">
        <v>46128</v>
      </c>
      <c r="O201" s="2">
        <v>0.78780092592592588</v>
      </c>
      <c r="R201" t="str">
        <f>HYPERLINK("https://7lm.cvcrm.com.br/gestor/relatorios/associado/html?q[1|r.idreserva]=6959","MILLENE SOUSA SANTOS")</f>
        <v>MILLENE SOUSA SANTOS</v>
      </c>
      <c r="S201">
        <v>2218416107</v>
      </c>
      <c r="T201">
        <v>5561993136299</v>
      </c>
      <c r="U201">
        <v>5561983852344</v>
      </c>
      <c r="V201" t="s">
        <v>1608</v>
      </c>
      <c r="W201" t="s">
        <v>187</v>
      </c>
      <c r="X201" t="s">
        <v>1609</v>
      </c>
      <c r="Y201" t="s">
        <v>189</v>
      </c>
      <c r="Z201" t="s">
        <v>190</v>
      </c>
      <c r="AA201" t="s">
        <v>1242</v>
      </c>
      <c r="AB201" t="s">
        <v>1610</v>
      </c>
      <c r="AC201" t="s">
        <v>534</v>
      </c>
      <c r="AF201" t="s">
        <v>303</v>
      </c>
      <c r="AG201" t="s">
        <v>251</v>
      </c>
      <c r="AH201" s="3">
        <v>256000</v>
      </c>
      <c r="AI201" s="3">
        <v>256000</v>
      </c>
      <c r="AJ201" s="1">
        <v>46142</v>
      </c>
      <c r="AN201" t="s">
        <v>172</v>
      </c>
      <c r="AO201" t="s">
        <v>932</v>
      </c>
      <c r="AP201" t="s">
        <v>1611</v>
      </c>
      <c r="AR201" t="s">
        <v>1612</v>
      </c>
      <c r="AT201" t="s">
        <v>196</v>
      </c>
      <c r="AU201" t="s">
        <v>292</v>
      </c>
      <c r="AW201">
        <v>0</v>
      </c>
      <c r="AX201" s="1">
        <v>46132</v>
      </c>
      <c r="AY201" s="2">
        <v>0.71578703703703705</v>
      </c>
      <c r="AZ201" t="s">
        <v>1613</v>
      </c>
      <c r="BA201" t="s">
        <v>1614</v>
      </c>
      <c r="BB201" t="s">
        <v>1615</v>
      </c>
      <c r="BC201" t="s">
        <v>1616</v>
      </c>
      <c r="BD201" t="s">
        <v>1615</v>
      </c>
      <c r="BE201" t="s">
        <v>1617</v>
      </c>
      <c r="BL201" s="4">
        <v>0</v>
      </c>
      <c r="BM201" s="1">
        <v>47031</v>
      </c>
      <c r="BO201">
        <v>0</v>
      </c>
      <c r="BP201">
        <v>30892</v>
      </c>
      <c r="BQ201" t="s">
        <v>156</v>
      </c>
      <c r="BR201" s="3">
        <v>144295.62</v>
      </c>
      <c r="BS201" s="3">
        <v>19010</v>
      </c>
      <c r="BT201">
        <v>0</v>
      </c>
      <c r="BU201" s="3">
        <v>163305.62</v>
      </c>
      <c r="BV201" s="3">
        <v>256000</v>
      </c>
      <c r="BX201">
        <v>0</v>
      </c>
      <c r="BZ201">
        <v>0</v>
      </c>
      <c r="CA201">
        <v>0</v>
      </c>
      <c r="CB201">
        <v>0</v>
      </c>
      <c r="CC201" s="3">
        <v>256000</v>
      </c>
      <c r="CD201" s="5">
        <v>0</v>
      </c>
      <c r="CF201" s="6">
        <v>46113</v>
      </c>
      <c r="CH201">
        <v>0</v>
      </c>
      <c r="CI201">
        <v>0</v>
      </c>
      <c r="CJ201">
        <v>0</v>
      </c>
      <c r="CK201">
        <v>0</v>
      </c>
      <c r="CL201">
        <v>0</v>
      </c>
      <c r="CM201">
        <v>0</v>
      </c>
      <c r="CN201">
        <v>0</v>
      </c>
      <c r="CO201">
        <v>0</v>
      </c>
      <c r="CP201">
        <v>0</v>
      </c>
      <c r="CQ201">
        <v>0</v>
      </c>
      <c r="CR201">
        <v>0</v>
      </c>
      <c r="CS201" t="s">
        <v>305</v>
      </c>
      <c r="CT201" t="s">
        <v>190</v>
      </c>
      <c r="CU201" t="s">
        <v>1177</v>
      </c>
      <c r="CW201">
        <v>-50.521799999999999</v>
      </c>
      <c r="CZ201" s="1">
        <v>46126</v>
      </c>
      <c r="DA201" t="s">
        <v>172</v>
      </c>
      <c r="DB201" t="s">
        <v>172</v>
      </c>
      <c r="DC201" t="s">
        <v>172</v>
      </c>
      <c r="DD201" t="s">
        <v>172</v>
      </c>
      <c r="DG201" s="1">
        <v>46126</v>
      </c>
      <c r="DH201">
        <v>0</v>
      </c>
      <c r="DI201">
        <v>0</v>
      </c>
      <c r="DL201" t="s">
        <v>963</v>
      </c>
      <c r="DM201" t="s">
        <v>172</v>
      </c>
      <c r="DN201" t="s">
        <v>225</v>
      </c>
      <c r="DP201" s="4">
        <v>1.2E-2</v>
      </c>
      <c r="DV201" s="3">
        <v>256000</v>
      </c>
      <c r="DW201">
        <v>0</v>
      </c>
      <c r="DX201" s="3">
        <v>256000</v>
      </c>
      <c r="DY201">
        <v>0</v>
      </c>
      <c r="EN201" t="s">
        <v>156</v>
      </c>
      <c r="EP201" s="1">
        <v>46128</v>
      </c>
      <c r="ER201" s="1">
        <v>46127</v>
      </c>
      <c r="ES201" t="s">
        <v>1618</v>
      </c>
      <c r="EU201" s="1">
        <v>46129</v>
      </c>
      <c r="EW201" s="1">
        <v>46126</v>
      </c>
    </row>
    <row r="202" spans="1:153" x14ac:dyDescent="0.35">
      <c r="A202" t="str">
        <f>HYPERLINK("https://7lm.cvcrm.com.br/gestor/comercial/reservas/6958/administrar","6958")</f>
        <v>6958</v>
      </c>
      <c r="B202" t="s">
        <v>172</v>
      </c>
      <c r="C202" s="1">
        <v>46126</v>
      </c>
      <c r="D202" s="2">
        <v>0.77428240740740739</v>
      </c>
      <c r="E202" t="s">
        <v>527</v>
      </c>
      <c r="F202" t="s">
        <v>1164</v>
      </c>
      <c r="G202" t="s">
        <v>203</v>
      </c>
      <c r="H202" t="s">
        <v>277</v>
      </c>
      <c r="I202" t="s">
        <v>682</v>
      </c>
      <c r="J202">
        <v>1</v>
      </c>
      <c r="L202">
        <v>30001</v>
      </c>
      <c r="M202" t="s">
        <v>1619</v>
      </c>
      <c r="R202" t="str">
        <f>HYPERLINK("https://7lm.cvcrm.com.br/gestor/relatorios/associado/html?q[1|r.idreserva]=6958","JOCICLEIDE FERREIRA  DA PAIXAO")</f>
        <v>JOCICLEIDE FERREIRA  DA PAIXAO</v>
      </c>
      <c r="S202">
        <v>2439663182</v>
      </c>
      <c r="T202">
        <v>556195979136</v>
      </c>
      <c r="V202" t="s">
        <v>1620</v>
      </c>
      <c r="W202" t="s">
        <v>187</v>
      </c>
      <c r="Y202" t="s">
        <v>189</v>
      </c>
      <c r="Z202" t="s">
        <v>190</v>
      </c>
      <c r="AA202" t="s">
        <v>1621</v>
      </c>
      <c r="AB202" t="s">
        <v>1622</v>
      </c>
      <c r="AC202" t="s">
        <v>1623</v>
      </c>
      <c r="AD202" t="s">
        <v>1624</v>
      </c>
      <c r="AF202" t="s">
        <v>352</v>
      </c>
      <c r="AG202" t="s">
        <v>251</v>
      </c>
      <c r="AH202" s="3">
        <v>264000.63</v>
      </c>
      <c r="AI202" s="3">
        <v>264000.63</v>
      </c>
      <c r="AJ202" s="1">
        <v>46187</v>
      </c>
      <c r="AN202" t="s">
        <v>172</v>
      </c>
      <c r="AO202" t="s">
        <v>932</v>
      </c>
      <c r="AP202" t="s">
        <v>1625</v>
      </c>
      <c r="AR202" t="s">
        <v>1626</v>
      </c>
      <c r="AT202" t="s">
        <v>173</v>
      </c>
      <c r="AV202" t="s">
        <v>1627</v>
      </c>
      <c r="AW202">
        <v>0</v>
      </c>
      <c r="AX202" s="1">
        <v>46134</v>
      </c>
      <c r="AY202" s="2">
        <v>0.50596064814814812</v>
      </c>
      <c r="AZ202">
        <v>199853</v>
      </c>
      <c r="BA202" s="1">
        <v>46119</v>
      </c>
      <c r="BC202" t="s">
        <v>176</v>
      </c>
      <c r="BD202" s="1">
        <v>46119</v>
      </c>
      <c r="BE202" t="s">
        <v>625</v>
      </c>
      <c r="BL202" s="4">
        <v>0</v>
      </c>
      <c r="BM202" s="1">
        <v>46416</v>
      </c>
      <c r="BO202">
        <v>0</v>
      </c>
      <c r="BP202">
        <v>30657</v>
      </c>
      <c r="BQ202" t="s">
        <v>156</v>
      </c>
      <c r="BR202">
        <v>0</v>
      </c>
      <c r="BS202">
        <v>0</v>
      </c>
      <c r="BT202">
        <v>0</v>
      </c>
      <c r="BU202">
        <v>0</v>
      </c>
      <c r="BV202" s="3">
        <v>264000.63</v>
      </c>
      <c r="BX202">
        <v>0</v>
      </c>
      <c r="BZ202">
        <v>0</v>
      </c>
      <c r="CA202">
        <v>0</v>
      </c>
      <c r="CB202">
        <v>0</v>
      </c>
      <c r="CC202" s="3">
        <v>264000.63</v>
      </c>
      <c r="CD202" s="5">
        <v>0</v>
      </c>
      <c r="CE202" t="s">
        <v>1170</v>
      </c>
      <c r="CF202" s="6">
        <v>46113</v>
      </c>
      <c r="CH202">
        <v>0</v>
      </c>
      <c r="CI202">
        <v>0</v>
      </c>
      <c r="CJ202">
        <v>0</v>
      </c>
      <c r="CK202">
        <v>0</v>
      </c>
      <c r="CL202">
        <v>0</v>
      </c>
      <c r="CM202">
        <v>0</v>
      </c>
      <c r="CN202">
        <v>0</v>
      </c>
      <c r="CO202">
        <v>0</v>
      </c>
      <c r="CP202">
        <v>0</v>
      </c>
      <c r="CQ202">
        <v>0</v>
      </c>
      <c r="CR202">
        <v>0</v>
      </c>
      <c r="CT202" t="s">
        <v>190</v>
      </c>
      <c r="CU202" t="s">
        <v>682</v>
      </c>
      <c r="CW202">
        <v>0</v>
      </c>
      <c r="CX202" t="s">
        <v>194</v>
      </c>
      <c r="CZ202" s="1">
        <v>46126</v>
      </c>
      <c r="DA202" t="s">
        <v>172</v>
      </c>
      <c r="DB202" t="s">
        <v>172</v>
      </c>
      <c r="DC202" t="s">
        <v>172</v>
      </c>
      <c r="DD202" t="s">
        <v>172</v>
      </c>
      <c r="DG202" s="1">
        <v>46126</v>
      </c>
      <c r="DH202">
        <v>0</v>
      </c>
      <c r="DI202">
        <v>0</v>
      </c>
      <c r="DL202" t="s">
        <v>1171</v>
      </c>
      <c r="DM202" t="s">
        <v>172</v>
      </c>
      <c r="DN202" t="s">
        <v>511</v>
      </c>
      <c r="DV202" s="3">
        <v>264000.63</v>
      </c>
      <c r="DW202">
        <v>0</v>
      </c>
      <c r="DX202" s="3">
        <v>264000.63</v>
      </c>
      <c r="DY202">
        <v>0</v>
      </c>
      <c r="EN202" t="s">
        <v>537</v>
      </c>
      <c r="EQ202" s="1">
        <v>46129</v>
      </c>
      <c r="ER202" s="1">
        <v>46129</v>
      </c>
      <c r="ES202" t="s">
        <v>1628</v>
      </c>
      <c r="EU202" s="1">
        <v>46128</v>
      </c>
      <c r="EV202" s="1">
        <v>46129</v>
      </c>
      <c r="EW202" s="1">
        <v>46126</v>
      </c>
    </row>
    <row r="203" spans="1:153" ht="159.5" x14ac:dyDescent="0.35">
      <c r="A203" t="str">
        <f>HYPERLINK("https://7lm.cvcrm.com.br/gestor/comercial/reservas/6957/administrar","6957")</f>
        <v>6957</v>
      </c>
      <c r="B203" t="s">
        <v>156</v>
      </c>
      <c r="C203" s="1">
        <v>46126</v>
      </c>
      <c r="D203" s="2">
        <v>0.64975694444444443</v>
      </c>
      <c r="E203" t="s">
        <v>157</v>
      </c>
      <c r="F203" t="s">
        <v>182</v>
      </c>
      <c r="G203" t="s">
        <v>159</v>
      </c>
      <c r="H203" t="s">
        <v>1371</v>
      </c>
      <c r="I203" t="s">
        <v>1629</v>
      </c>
      <c r="J203">
        <v>1</v>
      </c>
      <c r="L203">
        <v>30151</v>
      </c>
      <c r="M203" t="s">
        <v>1630</v>
      </c>
      <c r="N203" s="1">
        <v>46148</v>
      </c>
      <c r="O203" s="2">
        <v>0.57797453703703705</v>
      </c>
      <c r="R203" t="str">
        <f>HYPERLINK("https://7lm.cvcrm.com.br/gestor/relatorios/associado/html?q[1|r.idreserva]=6957","IASMYN NUNES BARBOSA")</f>
        <v>IASMYN NUNES BARBOSA</v>
      </c>
      <c r="S203">
        <v>9883293100</v>
      </c>
      <c r="T203">
        <v>5561991894124</v>
      </c>
      <c r="V203" t="s">
        <v>1631</v>
      </c>
      <c r="W203" t="s">
        <v>187</v>
      </c>
      <c r="X203" t="s">
        <v>376</v>
      </c>
      <c r="Y203" t="s">
        <v>189</v>
      </c>
      <c r="Z203" t="s">
        <v>190</v>
      </c>
      <c r="AA203" t="s">
        <v>1632</v>
      </c>
      <c r="AB203" t="s">
        <v>1633</v>
      </c>
      <c r="AC203" t="s">
        <v>641</v>
      </c>
      <c r="AF203" t="s">
        <v>194</v>
      </c>
      <c r="AG203" t="s">
        <v>195</v>
      </c>
      <c r="AH203" s="3">
        <v>243931.69</v>
      </c>
      <c r="AI203" s="3">
        <v>243931.69</v>
      </c>
      <c r="AJ203" s="1">
        <v>46156</v>
      </c>
      <c r="AN203" t="s">
        <v>172</v>
      </c>
      <c r="AR203" s="7" t="s">
        <v>709</v>
      </c>
      <c r="AT203" t="s">
        <v>196</v>
      </c>
      <c r="AU203" t="s">
        <v>292</v>
      </c>
      <c r="AW203">
        <v>0</v>
      </c>
      <c r="AX203" s="1">
        <v>46161</v>
      </c>
      <c r="AY203" s="2">
        <v>0.66310185185185189</v>
      </c>
      <c r="AZ203">
        <v>200811</v>
      </c>
      <c r="BA203" s="1">
        <v>46124</v>
      </c>
      <c r="BC203" t="s">
        <v>275</v>
      </c>
      <c r="BD203" s="1">
        <v>46125</v>
      </c>
      <c r="BE203" t="s">
        <v>615</v>
      </c>
      <c r="BL203" s="4">
        <v>0</v>
      </c>
      <c r="BM203" s="1">
        <v>46899</v>
      </c>
      <c r="BO203">
        <v>0</v>
      </c>
      <c r="BP203">
        <v>30900</v>
      </c>
      <c r="BQ203" t="s">
        <v>156</v>
      </c>
      <c r="BR203" s="3">
        <v>149355.87</v>
      </c>
      <c r="BS203" s="3">
        <v>17242</v>
      </c>
      <c r="BT203">
        <v>0</v>
      </c>
      <c r="BU203" s="3">
        <v>166597.87</v>
      </c>
      <c r="BV203" s="3">
        <v>243931.69</v>
      </c>
      <c r="BX203">
        <v>0</v>
      </c>
      <c r="BZ203">
        <v>0</v>
      </c>
      <c r="CA203">
        <v>0</v>
      </c>
      <c r="CB203">
        <v>0</v>
      </c>
      <c r="CC203" s="3">
        <v>243931.69</v>
      </c>
      <c r="CD203" s="5">
        <v>0</v>
      </c>
      <c r="CF203" s="6">
        <v>46143</v>
      </c>
      <c r="CH203">
        <v>0</v>
      </c>
      <c r="CI203">
        <v>0</v>
      </c>
      <c r="CJ203">
        <v>0</v>
      </c>
      <c r="CK203">
        <v>0</v>
      </c>
      <c r="CL203">
        <v>0</v>
      </c>
      <c r="CM203">
        <v>0</v>
      </c>
      <c r="CN203">
        <v>0</v>
      </c>
      <c r="CO203">
        <v>0</v>
      </c>
      <c r="CP203">
        <v>0</v>
      </c>
      <c r="CQ203">
        <v>0</v>
      </c>
      <c r="CR203">
        <v>0</v>
      </c>
      <c r="CS203" t="s">
        <v>360</v>
      </c>
      <c r="CT203" t="s">
        <v>190</v>
      </c>
      <c r="CU203" t="s">
        <v>1629</v>
      </c>
      <c r="CW203">
        <v>-51.522199999999998</v>
      </c>
      <c r="CZ203" s="1">
        <v>46126</v>
      </c>
      <c r="DA203" t="s">
        <v>172</v>
      </c>
      <c r="DB203" t="s">
        <v>172</v>
      </c>
      <c r="DC203" t="s">
        <v>172</v>
      </c>
      <c r="DD203" t="s">
        <v>172</v>
      </c>
      <c r="DG203" s="1">
        <v>46126</v>
      </c>
      <c r="DH203">
        <v>0</v>
      </c>
      <c r="DI203">
        <v>0</v>
      </c>
      <c r="DK203" t="s">
        <v>179</v>
      </c>
      <c r="DL203" t="s">
        <v>200</v>
      </c>
      <c r="DM203" t="s">
        <v>172</v>
      </c>
      <c r="DN203" t="s">
        <v>201</v>
      </c>
      <c r="DV203" s="3">
        <v>243931.69</v>
      </c>
      <c r="DW203">
        <v>0</v>
      </c>
      <c r="DX203" s="3">
        <v>243931.69</v>
      </c>
      <c r="DY203">
        <v>0</v>
      </c>
      <c r="EF203" s="1">
        <v>46148</v>
      </c>
      <c r="EG203" s="1">
        <v>46147</v>
      </c>
      <c r="EK203" s="1">
        <v>46148</v>
      </c>
      <c r="EL203" s="1">
        <v>46148</v>
      </c>
      <c r="EM203" s="1">
        <v>46163</v>
      </c>
      <c r="EN203" t="s">
        <v>172</v>
      </c>
      <c r="EP203" s="1">
        <v>46162</v>
      </c>
      <c r="ER203" s="1">
        <v>46157</v>
      </c>
      <c r="ES203" t="s">
        <v>1634</v>
      </c>
      <c r="ET203" t="s">
        <v>802</v>
      </c>
      <c r="EU203" s="1">
        <v>46127</v>
      </c>
      <c r="EW203" s="1">
        <v>46126</v>
      </c>
    </row>
    <row r="204" spans="1:153" ht="87" x14ac:dyDescent="0.35">
      <c r="A204" t="str">
        <f>HYPERLINK("https://7lm.cvcrm.com.br/gestor/comercial/reservas/6956/administrar","6956")</f>
        <v>6956</v>
      </c>
      <c r="B204" t="s">
        <v>156</v>
      </c>
      <c r="C204" s="1">
        <v>46126</v>
      </c>
      <c r="D204" s="2">
        <v>0.51543981481481482</v>
      </c>
      <c r="E204" t="s">
        <v>294</v>
      </c>
      <c r="F204" t="s">
        <v>158</v>
      </c>
      <c r="G204" t="s">
        <v>159</v>
      </c>
      <c r="H204" t="s">
        <v>160</v>
      </c>
      <c r="I204">
        <v>505</v>
      </c>
      <c r="J204">
        <v>1</v>
      </c>
      <c r="K204">
        <v>8373</v>
      </c>
      <c r="L204">
        <v>10001</v>
      </c>
      <c r="M204" t="s">
        <v>1635</v>
      </c>
      <c r="N204" s="1">
        <v>46140</v>
      </c>
      <c r="O204" s="2">
        <v>0.67171296296296301</v>
      </c>
      <c r="Q204">
        <v>9910</v>
      </c>
      <c r="R204" t="str">
        <f>HYPERLINK("https://7lm.cvcrm.com.br/gestor/relatorios/associado/html?q[1|r.idreserva]=6956","JEFFERSON DOS SANTOS DE CARVALHO ROSA")</f>
        <v>JEFFERSON DOS SANTOS DE CARVALHO ROSA</v>
      </c>
      <c r="S204">
        <v>1462927157</v>
      </c>
      <c r="T204">
        <v>5561992090792</v>
      </c>
      <c r="U204">
        <v>5561992090792</v>
      </c>
      <c r="V204" t="s">
        <v>1636</v>
      </c>
      <c r="W204" t="s">
        <v>163</v>
      </c>
      <c r="X204" t="s">
        <v>1116</v>
      </c>
      <c r="Y204" t="s">
        <v>165</v>
      </c>
      <c r="Z204" t="s">
        <v>257</v>
      </c>
      <c r="AA204" t="s">
        <v>324</v>
      </c>
      <c r="AB204" t="s">
        <v>1637</v>
      </c>
      <c r="AC204" t="s">
        <v>177</v>
      </c>
      <c r="AF204" t="s">
        <v>170</v>
      </c>
      <c r="AG204" t="s">
        <v>171</v>
      </c>
      <c r="AH204" s="3">
        <v>491975.2</v>
      </c>
      <c r="AI204" s="3">
        <v>491975.2</v>
      </c>
      <c r="AJ204" s="1">
        <v>46127</v>
      </c>
      <c r="AN204" t="s">
        <v>172</v>
      </c>
      <c r="AR204" s="7" t="s">
        <v>1149</v>
      </c>
      <c r="AT204" t="s">
        <v>196</v>
      </c>
      <c r="AU204" t="s">
        <v>197</v>
      </c>
      <c r="AW204">
        <v>0</v>
      </c>
      <c r="AX204" s="1">
        <v>46141</v>
      </c>
      <c r="AY204" s="2">
        <v>0.4715625</v>
      </c>
      <c r="AZ204">
        <v>16493</v>
      </c>
      <c r="BA204" s="1">
        <v>43929</v>
      </c>
      <c r="BB204" s="1">
        <v>46123</v>
      </c>
      <c r="BC204" t="s">
        <v>213</v>
      </c>
      <c r="BD204" s="1">
        <v>46123</v>
      </c>
      <c r="BE204" t="s">
        <v>317</v>
      </c>
      <c r="BL204" s="4">
        <v>0</v>
      </c>
      <c r="BM204" s="1">
        <v>46387</v>
      </c>
      <c r="BN204" s="1">
        <v>46141</v>
      </c>
      <c r="BO204">
        <v>0</v>
      </c>
      <c r="BP204">
        <v>30846</v>
      </c>
      <c r="BQ204" t="s">
        <v>156</v>
      </c>
      <c r="BR204" s="3">
        <v>535440</v>
      </c>
      <c r="BS204">
        <v>0</v>
      </c>
      <c r="BT204">
        <v>0</v>
      </c>
      <c r="BU204" s="3">
        <v>535440</v>
      </c>
      <c r="BV204" s="3">
        <v>491975.2</v>
      </c>
      <c r="BX204">
        <v>0</v>
      </c>
      <c r="BZ204">
        <v>0</v>
      </c>
      <c r="CA204">
        <v>0</v>
      </c>
      <c r="CB204">
        <v>0</v>
      </c>
      <c r="CC204" s="3">
        <v>491975.2</v>
      </c>
      <c r="CD204" s="5">
        <v>0</v>
      </c>
      <c r="CF204" s="6">
        <v>46113</v>
      </c>
      <c r="CH204">
        <v>0</v>
      </c>
      <c r="CI204">
        <v>0</v>
      </c>
      <c r="CJ204">
        <v>0</v>
      </c>
      <c r="CK204">
        <v>0</v>
      </c>
      <c r="CL204">
        <v>0</v>
      </c>
      <c r="CM204">
        <v>0</v>
      </c>
      <c r="CN204">
        <v>0</v>
      </c>
      <c r="CO204">
        <v>0</v>
      </c>
      <c r="CP204">
        <v>0</v>
      </c>
      <c r="CQ204">
        <v>0</v>
      </c>
      <c r="CR204">
        <v>0</v>
      </c>
      <c r="CS204" t="s">
        <v>649</v>
      </c>
      <c r="CT204" t="s">
        <v>178</v>
      </c>
      <c r="CU204">
        <v>505</v>
      </c>
      <c r="CW204">
        <v>-59.003999999999998</v>
      </c>
      <c r="CZ204" s="1">
        <v>46126</v>
      </c>
      <c r="DA204" t="s">
        <v>172</v>
      </c>
      <c r="DB204" t="s">
        <v>172</v>
      </c>
      <c r="DC204" t="s">
        <v>172</v>
      </c>
      <c r="DD204" t="s">
        <v>172</v>
      </c>
      <c r="DG204" s="1">
        <v>46126</v>
      </c>
      <c r="DH204">
        <v>0</v>
      </c>
      <c r="DI204">
        <v>0</v>
      </c>
      <c r="DJ204" s="1">
        <v>46140</v>
      </c>
      <c r="DK204" t="s">
        <v>179</v>
      </c>
      <c r="DM204" t="s">
        <v>172</v>
      </c>
      <c r="DN204" t="s">
        <v>180</v>
      </c>
      <c r="DU204" t="s">
        <v>734</v>
      </c>
      <c r="DV204" s="3">
        <v>721499.8</v>
      </c>
      <c r="DW204">
        <v>-59.46</v>
      </c>
      <c r="DX204" s="3">
        <v>721499.8</v>
      </c>
      <c r="DY204">
        <v>-59.46</v>
      </c>
    </row>
    <row r="205" spans="1:153" ht="409.5" x14ac:dyDescent="0.35">
      <c r="A205" t="str">
        <f>HYPERLINK("https://7lm.cvcrm.com.br/gestor/comercial/reservas/6955/administrar","6955")</f>
        <v>6955</v>
      </c>
      <c r="B205" t="s">
        <v>172</v>
      </c>
      <c r="C205" s="1">
        <v>46126</v>
      </c>
      <c r="D205" s="2">
        <v>0.48501157407407408</v>
      </c>
      <c r="E205" t="s">
        <v>527</v>
      </c>
      <c r="F205" t="s">
        <v>182</v>
      </c>
      <c r="G205" t="s">
        <v>159</v>
      </c>
      <c r="H205" t="s">
        <v>475</v>
      </c>
      <c r="I205" t="s">
        <v>476</v>
      </c>
      <c r="J205">
        <v>1</v>
      </c>
      <c r="L205">
        <v>30151</v>
      </c>
      <c r="M205" t="s">
        <v>477</v>
      </c>
      <c r="R205" t="str">
        <f>HYPERLINK("https://7lm.cvcrm.com.br/gestor/relatorios/associado/html?q[1|r.idreserva]=6955","WESLEY PEREIRA LIMA")</f>
        <v>WESLEY PEREIRA LIMA</v>
      </c>
      <c r="S205">
        <v>1817481185</v>
      </c>
      <c r="T205">
        <v>5561996061571</v>
      </c>
      <c r="V205" t="s">
        <v>1638</v>
      </c>
      <c r="W205" t="s">
        <v>163</v>
      </c>
      <c r="X205" t="s">
        <v>1639</v>
      </c>
      <c r="Y205" t="s">
        <v>189</v>
      </c>
      <c r="Z205" t="s">
        <v>1088</v>
      </c>
      <c r="AA205" t="s">
        <v>1640</v>
      </c>
      <c r="AB205" t="s">
        <v>1641</v>
      </c>
      <c r="AC205" t="s">
        <v>1642</v>
      </c>
      <c r="AD205" t="s">
        <v>1643</v>
      </c>
      <c r="AF205" t="s">
        <v>303</v>
      </c>
      <c r="AG205" t="s">
        <v>195</v>
      </c>
      <c r="AH205" s="3">
        <v>252400</v>
      </c>
      <c r="AI205" s="3">
        <v>252400</v>
      </c>
      <c r="AJ205" s="1">
        <v>46156</v>
      </c>
      <c r="AN205" t="s">
        <v>172</v>
      </c>
      <c r="AO205" t="s">
        <v>716</v>
      </c>
      <c r="AR205" s="7" t="s">
        <v>1644</v>
      </c>
      <c r="AT205" t="s">
        <v>196</v>
      </c>
      <c r="AU205" t="s">
        <v>292</v>
      </c>
      <c r="AW205">
        <v>0</v>
      </c>
      <c r="AX205" s="1">
        <v>46155</v>
      </c>
      <c r="AY205" s="2">
        <v>0.71689814814814812</v>
      </c>
      <c r="AZ205">
        <v>159202</v>
      </c>
      <c r="BA205" s="1">
        <v>45807</v>
      </c>
      <c r="BC205" t="s">
        <v>1645</v>
      </c>
      <c r="BD205" s="1">
        <v>45807</v>
      </c>
      <c r="BE205" t="s">
        <v>317</v>
      </c>
      <c r="BL205" s="4">
        <v>0</v>
      </c>
      <c r="BM205" s="1">
        <v>46899</v>
      </c>
      <c r="BO205">
        <v>0</v>
      </c>
      <c r="BP205">
        <v>30408</v>
      </c>
      <c r="BQ205" t="s">
        <v>156</v>
      </c>
      <c r="BR205" s="3">
        <v>180000</v>
      </c>
      <c r="BS205">
        <v>0</v>
      </c>
      <c r="BT205">
        <v>0</v>
      </c>
      <c r="BU205" s="3">
        <v>180000</v>
      </c>
      <c r="BV205" s="3">
        <v>252400</v>
      </c>
      <c r="BX205">
        <v>0</v>
      </c>
      <c r="BZ205">
        <v>0</v>
      </c>
      <c r="CA205">
        <v>0</v>
      </c>
      <c r="CB205">
        <v>0</v>
      </c>
      <c r="CC205" s="3">
        <v>252400</v>
      </c>
      <c r="CD205" s="5">
        <v>0</v>
      </c>
      <c r="CF205" s="6">
        <v>46143</v>
      </c>
      <c r="CH205">
        <v>0</v>
      </c>
      <c r="CI205">
        <v>0</v>
      </c>
      <c r="CJ205">
        <v>0</v>
      </c>
      <c r="CK205">
        <v>0</v>
      </c>
      <c r="CL205">
        <v>0</v>
      </c>
      <c r="CM205">
        <v>0</v>
      </c>
      <c r="CN205">
        <v>0</v>
      </c>
      <c r="CO205">
        <v>0</v>
      </c>
      <c r="CP205">
        <v>0</v>
      </c>
      <c r="CQ205">
        <v>0</v>
      </c>
      <c r="CR205">
        <v>0</v>
      </c>
      <c r="CT205" t="s">
        <v>190</v>
      </c>
      <c r="CU205" t="s">
        <v>476</v>
      </c>
      <c r="CW205">
        <v>0</v>
      </c>
      <c r="CZ205" s="1">
        <v>46126</v>
      </c>
      <c r="DA205" t="s">
        <v>172</v>
      </c>
      <c r="DB205" t="s">
        <v>172</v>
      </c>
      <c r="DC205" t="s">
        <v>172</v>
      </c>
      <c r="DD205" t="s">
        <v>172</v>
      </c>
      <c r="DG205" s="1">
        <v>46126</v>
      </c>
      <c r="DH205">
        <v>0</v>
      </c>
      <c r="DI205">
        <v>0</v>
      </c>
      <c r="DK205" t="s">
        <v>179</v>
      </c>
      <c r="DL205" t="s">
        <v>200</v>
      </c>
      <c r="DM205" t="s">
        <v>172</v>
      </c>
      <c r="DN205" t="s">
        <v>201</v>
      </c>
      <c r="DV205" s="3">
        <v>252400</v>
      </c>
      <c r="DW205">
        <v>0</v>
      </c>
      <c r="DX205" s="3">
        <v>252400</v>
      </c>
      <c r="DY205">
        <v>0</v>
      </c>
      <c r="EN205" t="s">
        <v>156</v>
      </c>
      <c r="EU205" s="1">
        <v>46133</v>
      </c>
      <c r="EW205" s="1">
        <v>46126</v>
      </c>
    </row>
    <row r="206" spans="1:153" ht="246.5" x14ac:dyDescent="0.35">
      <c r="A206" t="str">
        <f>HYPERLINK("https://7lm.cvcrm.com.br/gestor/comercial/reservas/6954/administrar","6954")</f>
        <v>6954</v>
      </c>
      <c r="B206" t="s">
        <v>156</v>
      </c>
      <c r="C206" s="1">
        <v>46126</v>
      </c>
      <c r="D206" s="2">
        <v>0.41125</v>
      </c>
      <c r="E206" t="s">
        <v>294</v>
      </c>
      <c r="F206" t="s">
        <v>957</v>
      </c>
      <c r="G206" t="s">
        <v>159</v>
      </c>
      <c r="H206" t="s">
        <v>538</v>
      </c>
      <c r="I206" t="s">
        <v>1448</v>
      </c>
      <c r="J206">
        <v>1</v>
      </c>
      <c r="L206">
        <v>30121</v>
      </c>
      <c r="M206" t="s">
        <v>1646</v>
      </c>
      <c r="N206" s="1">
        <v>46128</v>
      </c>
      <c r="O206" s="2">
        <v>0.48722222222222222</v>
      </c>
      <c r="R206" t="str">
        <f>HYPERLINK("https://7lm.cvcrm.com.br/gestor/relatorios/associado/html?q[1|r.idreserva]=6954","GUILHERME RUFINO FARIAS")</f>
        <v>GUILHERME RUFINO FARIAS</v>
      </c>
      <c r="S206">
        <v>4292737207</v>
      </c>
      <c r="T206">
        <v>5561999969485</v>
      </c>
      <c r="V206" t="s">
        <v>1647</v>
      </c>
      <c r="W206" t="s">
        <v>163</v>
      </c>
      <c r="X206" t="s">
        <v>1648</v>
      </c>
      <c r="Y206" t="s">
        <v>189</v>
      </c>
      <c r="Z206" t="s">
        <v>190</v>
      </c>
      <c r="AA206" t="s">
        <v>1649</v>
      </c>
      <c r="AB206" t="s">
        <v>1650</v>
      </c>
      <c r="AC206" t="s">
        <v>845</v>
      </c>
      <c r="AD206" t="s">
        <v>845</v>
      </c>
      <c r="AF206" t="s">
        <v>352</v>
      </c>
      <c r="AG206" t="s">
        <v>195</v>
      </c>
      <c r="AH206" s="3">
        <v>254000</v>
      </c>
      <c r="AI206" s="3">
        <v>254000</v>
      </c>
      <c r="AJ206" s="1">
        <v>46178</v>
      </c>
      <c r="AN206" t="s">
        <v>172</v>
      </c>
      <c r="AR206" s="7" t="s">
        <v>353</v>
      </c>
      <c r="AT206" t="s">
        <v>261</v>
      </c>
      <c r="AU206" t="s">
        <v>292</v>
      </c>
      <c r="AW206">
        <v>0</v>
      </c>
      <c r="AX206" s="1">
        <v>46132</v>
      </c>
      <c r="AY206" s="2">
        <v>0.59464120370370366</v>
      </c>
      <c r="AZ206">
        <v>200369</v>
      </c>
      <c r="BA206" s="1">
        <v>46122</v>
      </c>
      <c r="BC206" t="s">
        <v>0</v>
      </c>
      <c r="BD206" s="1">
        <v>46126</v>
      </c>
      <c r="BE206" t="s">
        <v>276</v>
      </c>
      <c r="BL206" s="4">
        <v>0</v>
      </c>
      <c r="BM206" s="1">
        <v>47031</v>
      </c>
      <c r="BN206" s="1">
        <v>46132</v>
      </c>
      <c r="BO206">
        <v>0</v>
      </c>
      <c r="BP206">
        <v>30808</v>
      </c>
      <c r="BQ206" t="s">
        <v>156</v>
      </c>
      <c r="BR206">
        <v>0</v>
      </c>
      <c r="BS206">
        <v>0</v>
      </c>
      <c r="BT206">
        <v>0</v>
      </c>
      <c r="BU206">
        <v>0</v>
      </c>
      <c r="BV206" s="3">
        <v>254000</v>
      </c>
      <c r="BX206">
        <v>0</v>
      </c>
      <c r="BZ206">
        <v>0</v>
      </c>
      <c r="CA206">
        <v>0</v>
      </c>
      <c r="CB206">
        <v>0</v>
      </c>
      <c r="CC206" s="3">
        <v>254000</v>
      </c>
      <c r="CD206" s="5">
        <v>0</v>
      </c>
      <c r="CF206" s="6">
        <v>46113</v>
      </c>
      <c r="CH206">
        <v>0</v>
      </c>
      <c r="CI206">
        <v>0</v>
      </c>
      <c r="CJ206">
        <v>0</v>
      </c>
      <c r="CK206">
        <v>0</v>
      </c>
      <c r="CL206">
        <v>0</v>
      </c>
      <c r="CM206">
        <v>0</v>
      </c>
      <c r="CN206">
        <v>0</v>
      </c>
      <c r="CO206">
        <v>0</v>
      </c>
      <c r="CP206">
        <v>0</v>
      </c>
      <c r="CQ206">
        <v>0</v>
      </c>
      <c r="CR206">
        <v>0</v>
      </c>
      <c r="CS206" t="s">
        <v>199</v>
      </c>
      <c r="CT206" t="s">
        <v>190</v>
      </c>
      <c r="CU206" t="s">
        <v>1448</v>
      </c>
      <c r="CW206">
        <v>-49.940899999999999</v>
      </c>
      <c r="CZ206" s="1">
        <v>46126</v>
      </c>
      <c r="DA206" t="s">
        <v>172</v>
      </c>
      <c r="DB206" t="s">
        <v>172</v>
      </c>
      <c r="DC206" t="s">
        <v>172</v>
      </c>
      <c r="DD206" t="s">
        <v>172</v>
      </c>
      <c r="DG206" s="1">
        <v>46126</v>
      </c>
      <c r="DH206">
        <v>0</v>
      </c>
      <c r="DI206">
        <v>0</v>
      </c>
      <c r="DL206" t="s">
        <v>963</v>
      </c>
      <c r="DM206" t="s">
        <v>172</v>
      </c>
      <c r="DN206" t="s">
        <v>201</v>
      </c>
      <c r="DU206" t="s">
        <v>1238</v>
      </c>
      <c r="DV206" s="3">
        <v>253400</v>
      </c>
      <c r="DW206">
        <v>-49.94</v>
      </c>
      <c r="DX206" s="3">
        <v>253400</v>
      </c>
      <c r="DY206">
        <v>-49.94</v>
      </c>
      <c r="EG206" s="1">
        <v>46128</v>
      </c>
      <c r="EH206" s="1">
        <v>46128</v>
      </c>
      <c r="EN206" t="s">
        <v>156</v>
      </c>
      <c r="EP206" s="1">
        <v>46128</v>
      </c>
      <c r="ER206" s="1">
        <v>46127</v>
      </c>
      <c r="ES206" t="s">
        <v>1651</v>
      </c>
      <c r="EU206" s="1">
        <v>46128</v>
      </c>
      <c r="EW206" s="1">
        <v>46126</v>
      </c>
    </row>
    <row r="207" spans="1:153" x14ac:dyDescent="0.35">
      <c r="A207" t="str">
        <f>HYPERLINK("https://7lm.cvcrm.com.br/gestor/comercial/reservas/6953/administrar","6953")</f>
        <v>6953</v>
      </c>
      <c r="B207" t="s">
        <v>172</v>
      </c>
      <c r="C207" s="1">
        <v>46126</v>
      </c>
      <c r="D207" s="2">
        <v>0.40491898148148148</v>
      </c>
      <c r="E207" t="s">
        <v>527</v>
      </c>
      <c r="F207" t="s">
        <v>182</v>
      </c>
      <c r="G207" t="s">
        <v>159</v>
      </c>
      <c r="H207" t="s">
        <v>538</v>
      </c>
      <c r="I207" t="s">
        <v>1448</v>
      </c>
      <c r="J207">
        <v>1</v>
      </c>
      <c r="L207">
        <v>30151</v>
      </c>
      <c r="M207" t="s">
        <v>1449</v>
      </c>
      <c r="R207" t="str">
        <f>HYPERLINK("https://7lm.cvcrm.com.br/gestor/relatorios/associado/html?q[1|r.idreserva]=6953","GUILHERME RUFINO FARIAS")</f>
        <v>GUILHERME RUFINO FARIAS</v>
      </c>
      <c r="S207">
        <v>4292737207</v>
      </c>
      <c r="T207">
        <v>5561999969485</v>
      </c>
      <c r="V207" t="s">
        <v>1647</v>
      </c>
      <c r="W207" t="s">
        <v>163</v>
      </c>
      <c r="X207" t="s">
        <v>1648</v>
      </c>
      <c r="Y207" t="s">
        <v>189</v>
      </c>
      <c r="Z207" t="s">
        <v>190</v>
      </c>
      <c r="AA207" t="s">
        <v>1649</v>
      </c>
      <c r="AB207" t="s">
        <v>1650</v>
      </c>
      <c r="AC207" t="s">
        <v>845</v>
      </c>
      <c r="AD207" t="s">
        <v>845</v>
      </c>
      <c r="AF207" t="s">
        <v>352</v>
      </c>
      <c r="AG207" t="s">
        <v>195</v>
      </c>
      <c r="AH207" s="3">
        <v>47400</v>
      </c>
      <c r="AI207" s="3">
        <v>47400</v>
      </c>
      <c r="AJ207" s="1">
        <v>46022</v>
      </c>
      <c r="AN207" t="s">
        <v>172</v>
      </c>
      <c r="AO207" t="s">
        <v>725</v>
      </c>
      <c r="AP207" t="s">
        <v>1652</v>
      </c>
      <c r="AT207" t="s">
        <v>261</v>
      </c>
      <c r="AU207" t="s">
        <v>292</v>
      </c>
      <c r="AW207">
        <v>0</v>
      </c>
      <c r="AX207" s="1">
        <v>46126</v>
      </c>
      <c r="AY207" s="2">
        <v>0.40752314814814816</v>
      </c>
      <c r="AZ207">
        <v>200369</v>
      </c>
      <c r="BA207" s="1">
        <v>46122</v>
      </c>
      <c r="BC207" t="s">
        <v>0</v>
      </c>
      <c r="BD207" s="1">
        <v>46126</v>
      </c>
      <c r="BE207" t="s">
        <v>276</v>
      </c>
      <c r="BL207" s="4">
        <v>0</v>
      </c>
      <c r="BM207" s="1">
        <v>46899</v>
      </c>
      <c r="BO207">
        <v>0</v>
      </c>
      <c r="BP207">
        <v>30808</v>
      </c>
      <c r="BQ207" t="s">
        <v>156</v>
      </c>
      <c r="BR207">
        <v>0</v>
      </c>
      <c r="BS207">
        <v>0</v>
      </c>
      <c r="BT207">
        <v>0</v>
      </c>
      <c r="BU207">
        <v>0</v>
      </c>
      <c r="BV207" s="3">
        <v>47400</v>
      </c>
      <c r="BX207">
        <v>0</v>
      </c>
      <c r="BZ207">
        <v>0</v>
      </c>
      <c r="CA207">
        <v>0</v>
      </c>
      <c r="CB207">
        <v>0</v>
      </c>
      <c r="CC207" s="3">
        <v>47400</v>
      </c>
      <c r="CD207" s="5">
        <v>0</v>
      </c>
      <c r="CF207" s="6">
        <v>46113</v>
      </c>
      <c r="CH207">
        <v>0</v>
      </c>
      <c r="CI207">
        <v>0</v>
      </c>
      <c r="CJ207">
        <v>0</v>
      </c>
      <c r="CK207">
        <v>0</v>
      </c>
      <c r="CL207">
        <v>0</v>
      </c>
      <c r="CM207">
        <v>0</v>
      </c>
      <c r="CN207">
        <v>0</v>
      </c>
      <c r="CO207">
        <v>0</v>
      </c>
      <c r="CP207">
        <v>0</v>
      </c>
      <c r="CQ207">
        <v>0</v>
      </c>
      <c r="CR207">
        <v>0</v>
      </c>
      <c r="CT207" t="s">
        <v>190</v>
      </c>
      <c r="CU207" t="s">
        <v>1448</v>
      </c>
      <c r="CW207">
        <v>0</v>
      </c>
      <c r="CZ207" s="1">
        <v>46126</v>
      </c>
      <c r="DA207" t="s">
        <v>172</v>
      </c>
      <c r="DB207" t="s">
        <v>172</v>
      </c>
      <c r="DC207" t="s">
        <v>172</v>
      </c>
      <c r="DD207" t="s">
        <v>172</v>
      </c>
      <c r="DG207" s="1">
        <v>46126</v>
      </c>
      <c r="DH207">
        <v>0</v>
      </c>
      <c r="DI207">
        <v>0</v>
      </c>
      <c r="DK207" t="s">
        <v>179</v>
      </c>
      <c r="DL207" t="s">
        <v>200</v>
      </c>
      <c r="DM207" t="s">
        <v>172</v>
      </c>
      <c r="DN207" t="s">
        <v>201</v>
      </c>
      <c r="DU207" t="s">
        <v>440</v>
      </c>
      <c r="DV207" s="3">
        <v>485000</v>
      </c>
      <c r="DW207">
        <v>-91.1</v>
      </c>
      <c r="DX207" s="3">
        <v>485000</v>
      </c>
      <c r="DY207">
        <v>-91.1</v>
      </c>
    </row>
    <row r="208" spans="1:153" ht="246.5" x14ac:dyDescent="0.35">
      <c r="A208" t="str">
        <f>HYPERLINK("https://7lm.cvcrm.com.br/gestor/comercial/reservas/6952/administrar","6952")</f>
        <v>6952</v>
      </c>
      <c r="B208" t="s">
        <v>156</v>
      </c>
      <c r="C208" s="1">
        <v>46125</v>
      </c>
      <c r="D208" s="2">
        <v>0.91166666666666663</v>
      </c>
      <c r="E208" t="s">
        <v>294</v>
      </c>
      <c r="F208" t="s">
        <v>216</v>
      </c>
      <c r="G208" t="s">
        <v>159</v>
      </c>
      <c r="H208" t="s">
        <v>513</v>
      </c>
      <c r="I208" t="s">
        <v>1577</v>
      </c>
      <c r="J208">
        <v>1</v>
      </c>
      <c r="K208">
        <v>8333</v>
      </c>
      <c r="L208">
        <v>20061</v>
      </c>
      <c r="M208" t="s">
        <v>1653</v>
      </c>
      <c r="N208" s="1">
        <v>46135</v>
      </c>
      <c r="O208" s="2">
        <v>0.30160879629629628</v>
      </c>
      <c r="R208" t="str">
        <f>HYPERLINK("https://7lm.cvcrm.com.br/gestor/relatorios/associado/html?q[1|r.idreserva]=6952","ERICO VINICIUS SILVA DOS SANTOS")</f>
        <v>ERICO VINICIUS SILVA DOS SANTOS</v>
      </c>
      <c r="S208">
        <v>5884902107</v>
      </c>
      <c r="T208">
        <v>556181589032</v>
      </c>
      <c r="U208">
        <v>5561994428646</v>
      </c>
      <c r="V208" t="s">
        <v>1654</v>
      </c>
      <c r="W208" t="s">
        <v>163</v>
      </c>
      <c r="X208" t="s">
        <v>521</v>
      </c>
      <c r="Y208" t="s">
        <v>165</v>
      </c>
      <c r="Z208" t="s">
        <v>238</v>
      </c>
      <c r="AA208" t="s">
        <v>1655</v>
      </c>
      <c r="AB208" t="s">
        <v>1656</v>
      </c>
      <c r="AC208" t="s">
        <v>613</v>
      </c>
      <c r="AF208" t="s">
        <v>399</v>
      </c>
      <c r="AG208" t="s">
        <v>195</v>
      </c>
      <c r="AH208" s="3">
        <v>236027.83</v>
      </c>
      <c r="AI208" s="3">
        <v>236027.83</v>
      </c>
      <c r="AJ208" s="1">
        <v>46188</v>
      </c>
      <c r="AN208" t="s">
        <v>172</v>
      </c>
      <c r="AR208" s="7" t="s">
        <v>353</v>
      </c>
      <c r="AT208" t="s">
        <v>196</v>
      </c>
      <c r="AU208" t="s">
        <v>316</v>
      </c>
      <c r="AW208">
        <v>0</v>
      </c>
      <c r="AX208" s="1">
        <v>46132</v>
      </c>
      <c r="AY208" s="2">
        <v>0.58098379629629626</v>
      </c>
      <c r="AZ208">
        <v>193657</v>
      </c>
      <c r="BA208" s="1">
        <v>46086</v>
      </c>
      <c r="BC208" t="s">
        <v>0</v>
      </c>
      <c r="BD208" s="1">
        <v>46125</v>
      </c>
      <c r="BE208" t="s">
        <v>198</v>
      </c>
      <c r="BL208" s="4">
        <v>0</v>
      </c>
      <c r="BM208" s="1">
        <v>46995</v>
      </c>
      <c r="BN208" s="1">
        <v>46132</v>
      </c>
      <c r="BO208">
        <v>0</v>
      </c>
      <c r="BP208">
        <v>30791</v>
      </c>
      <c r="BQ208" t="s">
        <v>156</v>
      </c>
      <c r="BR208" s="3">
        <v>131768.57</v>
      </c>
      <c r="BS208" s="3">
        <v>30800</v>
      </c>
      <c r="BT208">
        <v>0</v>
      </c>
      <c r="BU208" s="3">
        <v>162568.57</v>
      </c>
      <c r="BV208" s="3">
        <v>236027.83</v>
      </c>
      <c r="BX208">
        <v>0</v>
      </c>
      <c r="BZ208">
        <v>0</v>
      </c>
      <c r="CA208">
        <v>0</v>
      </c>
      <c r="CB208">
        <v>0</v>
      </c>
      <c r="CC208" s="3">
        <v>236027.83</v>
      </c>
      <c r="CD208" s="5">
        <v>0</v>
      </c>
      <c r="CF208" s="6">
        <v>46113</v>
      </c>
      <c r="CH208">
        <v>0</v>
      </c>
      <c r="CI208">
        <v>0</v>
      </c>
      <c r="CJ208">
        <v>0</v>
      </c>
      <c r="CK208">
        <v>0</v>
      </c>
      <c r="CL208">
        <v>0</v>
      </c>
      <c r="CM208">
        <v>0</v>
      </c>
      <c r="CN208">
        <v>0</v>
      </c>
      <c r="CO208">
        <v>0</v>
      </c>
      <c r="CP208">
        <v>0</v>
      </c>
      <c r="CQ208">
        <v>0</v>
      </c>
      <c r="CR208">
        <v>0</v>
      </c>
      <c r="CS208" t="s">
        <v>360</v>
      </c>
      <c r="CT208" t="s">
        <v>214</v>
      </c>
      <c r="CU208" t="s">
        <v>1577</v>
      </c>
      <c r="CW208">
        <v>-49.539400000000001</v>
      </c>
      <c r="CZ208" s="1">
        <v>46125</v>
      </c>
      <c r="DA208" t="s">
        <v>172</v>
      </c>
      <c r="DB208" t="s">
        <v>172</v>
      </c>
      <c r="DC208" t="s">
        <v>172</v>
      </c>
      <c r="DD208" t="s">
        <v>172</v>
      </c>
      <c r="DG208" s="1">
        <v>46125</v>
      </c>
      <c r="DH208">
        <v>0</v>
      </c>
      <c r="DI208">
        <v>0</v>
      </c>
      <c r="DK208" t="s">
        <v>179</v>
      </c>
      <c r="DL208" t="s">
        <v>215</v>
      </c>
      <c r="DM208" t="s">
        <v>172</v>
      </c>
      <c r="DN208" t="s">
        <v>511</v>
      </c>
      <c r="DV208" s="3">
        <v>236027.83</v>
      </c>
      <c r="DW208">
        <v>0</v>
      </c>
      <c r="DX208" s="3">
        <v>236027.83</v>
      </c>
      <c r="DY208">
        <v>0</v>
      </c>
      <c r="EF208" s="1">
        <v>46134</v>
      </c>
      <c r="EG208" s="1">
        <v>46129</v>
      </c>
      <c r="EK208" s="1">
        <v>46134</v>
      </c>
    </row>
    <row r="209" spans="1:153" ht="261" x14ac:dyDescent="0.35">
      <c r="A209" t="str">
        <f>HYPERLINK("https://7lm.cvcrm.com.br/gestor/comercial/reservas/6951/administrar","6951")</f>
        <v>6951</v>
      </c>
      <c r="B209" t="s">
        <v>172</v>
      </c>
      <c r="C209" s="1">
        <v>46125</v>
      </c>
      <c r="D209" s="2">
        <v>0.80849537037037034</v>
      </c>
      <c r="E209" t="s">
        <v>527</v>
      </c>
      <c r="F209" t="s">
        <v>202</v>
      </c>
      <c r="G209" t="s">
        <v>203</v>
      </c>
      <c r="H209" t="s">
        <v>319</v>
      </c>
      <c r="I209" t="s">
        <v>1188</v>
      </c>
      <c r="J209">
        <v>1</v>
      </c>
      <c r="L209">
        <v>20031</v>
      </c>
      <c r="M209" t="s">
        <v>1189</v>
      </c>
      <c r="R209" t="str">
        <f>HYPERLINK("https://7lm.cvcrm.com.br/gestor/relatorios/associado/html?q[1|r.idreserva]=6951","TATIANE MENDES DA COSTA")</f>
        <v>TATIANE MENDES DA COSTA</v>
      </c>
      <c r="S209">
        <v>3674850109</v>
      </c>
      <c r="T209">
        <v>5561995963071</v>
      </c>
      <c r="V209" t="s">
        <v>1657</v>
      </c>
      <c r="W209" t="s">
        <v>187</v>
      </c>
      <c r="Y209" t="s">
        <v>165</v>
      </c>
      <c r="Z209" t="s">
        <v>257</v>
      </c>
      <c r="AA209" t="s">
        <v>1658</v>
      </c>
      <c r="AB209" t="s">
        <v>1659</v>
      </c>
      <c r="AC209" t="s">
        <v>874</v>
      </c>
      <c r="AF209" t="s">
        <v>413</v>
      </c>
      <c r="AG209" t="s">
        <v>195</v>
      </c>
      <c r="AH209" s="3">
        <v>218518.16</v>
      </c>
      <c r="AI209" s="3">
        <v>218518.16</v>
      </c>
      <c r="AJ209" s="1">
        <v>46129</v>
      </c>
      <c r="AN209" t="s">
        <v>172</v>
      </c>
      <c r="AO209" t="s">
        <v>261</v>
      </c>
      <c r="AR209" s="7" t="s">
        <v>1660</v>
      </c>
      <c r="AT209" t="s">
        <v>1350</v>
      </c>
      <c r="AU209" t="s">
        <v>262</v>
      </c>
      <c r="AW209">
        <v>0</v>
      </c>
      <c r="AX209" s="1">
        <v>46142</v>
      </c>
      <c r="AY209" s="2">
        <v>0.32621527777777776</v>
      </c>
      <c r="AZ209">
        <v>200069</v>
      </c>
      <c r="BA209" s="1">
        <v>46120</v>
      </c>
      <c r="BC209" t="s">
        <v>275</v>
      </c>
      <c r="BD209" s="1">
        <v>46126</v>
      </c>
      <c r="BE209" t="s">
        <v>615</v>
      </c>
      <c r="BL209" s="4">
        <v>0</v>
      </c>
      <c r="BM209" s="1">
        <v>46808</v>
      </c>
      <c r="BO209">
        <v>0</v>
      </c>
      <c r="BP209">
        <v>30898</v>
      </c>
      <c r="BQ209" t="s">
        <v>156</v>
      </c>
      <c r="BR209" s="3">
        <v>103798.16</v>
      </c>
      <c r="BS209" s="3">
        <v>55000</v>
      </c>
      <c r="BT209">
        <v>0</v>
      </c>
      <c r="BU209" s="3">
        <v>158798.16</v>
      </c>
      <c r="BV209" s="3">
        <v>218518.16</v>
      </c>
      <c r="BX209">
        <v>0</v>
      </c>
      <c r="BZ209">
        <v>0</v>
      </c>
      <c r="CA209">
        <v>0</v>
      </c>
      <c r="CB209">
        <v>0</v>
      </c>
      <c r="CC209" s="3">
        <v>218518.16</v>
      </c>
      <c r="CD209" s="5">
        <v>0</v>
      </c>
      <c r="CF209" s="6">
        <v>46113</v>
      </c>
      <c r="CH209">
        <v>0</v>
      </c>
      <c r="CI209">
        <v>0</v>
      </c>
      <c r="CJ209">
        <v>0</v>
      </c>
      <c r="CK209">
        <v>0</v>
      </c>
      <c r="CL209">
        <v>0</v>
      </c>
      <c r="CM209">
        <v>0</v>
      </c>
      <c r="CN209">
        <v>0</v>
      </c>
      <c r="CO209">
        <v>0</v>
      </c>
      <c r="CP209">
        <v>0</v>
      </c>
      <c r="CQ209">
        <v>0</v>
      </c>
      <c r="CR209">
        <v>0</v>
      </c>
      <c r="CT209" t="s">
        <v>214</v>
      </c>
      <c r="CU209" t="s">
        <v>1188</v>
      </c>
      <c r="CW209">
        <v>0</v>
      </c>
      <c r="CZ209" s="1">
        <v>46125</v>
      </c>
      <c r="DA209" t="s">
        <v>172</v>
      </c>
      <c r="DB209" t="s">
        <v>172</v>
      </c>
      <c r="DC209" t="s">
        <v>172</v>
      </c>
      <c r="DD209" t="s">
        <v>172</v>
      </c>
      <c r="DG209" s="1">
        <v>46125</v>
      </c>
      <c r="DH209">
        <v>0</v>
      </c>
      <c r="DI209">
        <v>0</v>
      </c>
      <c r="DL209" t="s">
        <v>224</v>
      </c>
      <c r="DM209" t="s">
        <v>172</v>
      </c>
      <c r="DN209" t="s">
        <v>225</v>
      </c>
      <c r="DV209" s="3">
        <v>218518.16</v>
      </c>
      <c r="DW209">
        <v>0</v>
      </c>
      <c r="DX209" s="3">
        <v>218518.16</v>
      </c>
      <c r="DY209">
        <v>0</v>
      </c>
      <c r="EN209" t="s">
        <v>172</v>
      </c>
      <c r="ET209" t="s">
        <v>1661</v>
      </c>
      <c r="EW209" s="1">
        <v>46125</v>
      </c>
    </row>
    <row r="210" spans="1:153" ht="246.5" x14ac:dyDescent="0.35">
      <c r="A210" t="str">
        <f>HYPERLINK("https://7lm.cvcrm.com.br/gestor/comercial/reservas/6950/administrar","6950")</f>
        <v>6950</v>
      </c>
      <c r="B210" t="s">
        <v>156</v>
      </c>
      <c r="C210" s="1">
        <v>46125</v>
      </c>
      <c r="D210" s="2">
        <v>0.77770833333333333</v>
      </c>
      <c r="E210" t="s">
        <v>294</v>
      </c>
      <c r="F210" t="s">
        <v>202</v>
      </c>
      <c r="G210" t="s">
        <v>203</v>
      </c>
      <c r="H210" t="s">
        <v>404</v>
      </c>
      <c r="I210" t="s">
        <v>1662</v>
      </c>
      <c r="J210">
        <v>1</v>
      </c>
      <c r="L210">
        <v>20031</v>
      </c>
      <c r="M210" t="s">
        <v>1663</v>
      </c>
      <c r="N210" s="1">
        <v>46135</v>
      </c>
      <c r="O210" s="2">
        <v>0.30645833333333333</v>
      </c>
      <c r="R210" t="str">
        <f>HYPERLINK("https://7lm.cvcrm.com.br/gestor/relatorios/associado/html?q[1|r.idreserva]=6950","DENIS AUGUSTO DA SILVA PEREIRA JUNIOR")</f>
        <v>DENIS AUGUSTO DA SILVA PEREIRA JUNIOR</v>
      </c>
      <c r="S210">
        <v>7979906314</v>
      </c>
      <c r="T210">
        <v>5561993661508</v>
      </c>
      <c r="U210">
        <v>5561991178675</v>
      </c>
      <c r="V210" t="s">
        <v>1664</v>
      </c>
      <c r="W210" t="s">
        <v>163</v>
      </c>
      <c r="X210" t="s">
        <v>299</v>
      </c>
      <c r="Y210" t="s">
        <v>189</v>
      </c>
      <c r="Z210" t="s">
        <v>214</v>
      </c>
      <c r="AA210" t="s">
        <v>1665</v>
      </c>
      <c r="AB210" t="s">
        <v>1666</v>
      </c>
      <c r="AC210" t="s">
        <v>1327</v>
      </c>
      <c r="AD210" t="s">
        <v>1328</v>
      </c>
      <c r="AF210" t="s">
        <v>634</v>
      </c>
      <c r="AG210" t="s">
        <v>195</v>
      </c>
      <c r="AH210" s="3">
        <v>220376.66</v>
      </c>
      <c r="AI210" s="3">
        <v>220376.66</v>
      </c>
      <c r="AJ210" s="1">
        <v>46125</v>
      </c>
      <c r="AN210" t="s">
        <v>172</v>
      </c>
      <c r="AR210" s="7" t="s">
        <v>353</v>
      </c>
      <c r="AT210" t="s">
        <v>1350</v>
      </c>
      <c r="AU210" t="s">
        <v>197</v>
      </c>
      <c r="AW210">
        <v>0</v>
      </c>
      <c r="AX210" s="1">
        <v>46134</v>
      </c>
      <c r="AY210" s="2">
        <v>0.78651620370370368</v>
      </c>
      <c r="AZ210">
        <v>201014</v>
      </c>
      <c r="BA210" s="1">
        <v>46125</v>
      </c>
      <c r="BC210" t="s">
        <v>0</v>
      </c>
      <c r="BD210" s="1">
        <v>46125</v>
      </c>
      <c r="BE210" t="s">
        <v>213</v>
      </c>
      <c r="BL210" s="4">
        <v>0</v>
      </c>
      <c r="BM210" s="1">
        <v>46808</v>
      </c>
      <c r="BN210" s="1">
        <v>46134</v>
      </c>
      <c r="BO210">
        <v>0</v>
      </c>
      <c r="BP210">
        <v>30862</v>
      </c>
      <c r="BQ210" t="s">
        <v>156</v>
      </c>
      <c r="BR210" s="3">
        <v>126341.6</v>
      </c>
      <c r="BS210" s="3">
        <v>10704</v>
      </c>
      <c r="BT210">
        <v>0</v>
      </c>
      <c r="BU210" s="3">
        <v>137045.6</v>
      </c>
      <c r="BV210" s="3">
        <v>220376.66</v>
      </c>
      <c r="BX210">
        <v>0</v>
      </c>
      <c r="BZ210">
        <v>0</v>
      </c>
      <c r="CA210">
        <v>0</v>
      </c>
      <c r="CB210">
        <v>0</v>
      </c>
      <c r="CC210" s="3">
        <v>220376.66</v>
      </c>
      <c r="CD210" s="5">
        <v>0</v>
      </c>
      <c r="CF210" s="6">
        <v>46113</v>
      </c>
      <c r="CH210">
        <v>0</v>
      </c>
      <c r="CI210">
        <v>0</v>
      </c>
      <c r="CJ210">
        <v>0</v>
      </c>
      <c r="CK210">
        <v>0</v>
      </c>
      <c r="CL210">
        <v>0</v>
      </c>
      <c r="CM210">
        <v>0</v>
      </c>
      <c r="CN210">
        <v>0</v>
      </c>
      <c r="CO210">
        <v>0</v>
      </c>
      <c r="CP210">
        <v>0</v>
      </c>
      <c r="CQ210">
        <v>0</v>
      </c>
      <c r="CR210">
        <v>0</v>
      </c>
      <c r="CS210" t="s">
        <v>360</v>
      </c>
      <c r="CT210" t="s">
        <v>214</v>
      </c>
      <c r="CU210" t="s">
        <v>1662</v>
      </c>
      <c r="CW210">
        <v>-52.4285</v>
      </c>
      <c r="CZ210" s="1">
        <v>46125</v>
      </c>
      <c r="DA210" t="s">
        <v>172</v>
      </c>
      <c r="DB210" t="s">
        <v>172</v>
      </c>
      <c r="DC210" t="s">
        <v>172</v>
      </c>
      <c r="DD210" t="s">
        <v>172</v>
      </c>
      <c r="DG210" s="1">
        <v>46125</v>
      </c>
      <c r="DH210">
        <v>0</v>
      </c>
      <c r="DI210">
        <v>0</v>
      </c>
      <c r="DL210" t="s">
        <v>215</v>
      </c>
      <c r="DM210" t="s">
        <v>172</v>
      </c>
      <c r="DN210" t="s">
        <v>201</v>
      </c>
      <c r="DV210" s="3">
        <v>220376.66</v>
      </c>
      <c r="DW210">
        <v>0</v>
      </c>
      <c r="DX210" s="3">
        <v>220376.66</v>
      </c>
      <c r="DY210">
        <v>0</v>
      </c>
      <c r="EF210" s="1">
        <v>46134</v>
      </c>
      <c r="EG210" s="1">
        <v>46134</v>
      </c>
      <c r="EK210" s="1">
        <v>46128</v>
      </c>
      <c r="EN210" t="s">
        <v>156</v>
      </c>
      <c r="EP210" s="1">
        <v>46129</v>
      </c>
      <c r="EW210" s="1">
        <v>46125</v>
      </c>
    </row>
    <row r="211" spans="1:153" ht="246.5" x14ac:dyDescent="0.35">
      <c r="A211" t="str">
        <f>HYPERLINK("https://7lm.cvcrm.com.br/gestor/comercial/reservas/6949/administrar","6949")</f>
        <v>6949</v>
      </c>
      <c r="B211" t="s">
        <v>156</v>
      </c>
      <c r="C211" s="1">
        <v>46125</v>
      </c>
      <c r="D211" s="2">
        <v>0.73923611111111109</v>
      </c>
      <c r="E211" t="s">
        <v>294</v>
      </c>
      <c r="F211" t="s">
        <v>216</v>
      </c>
      <c r="G211" t="s">
        <v>159</v>
      </c>
      <c r="H211" t="s">
        <v>404</v>
      </c>
      <c r="I211" t="s">
        <v>601</v>
      </c>
      <c r="J211">
        <v>1</v>
      </c>
      <c r="L211">
        <v>20061</v>
      </c>
      <c r="M211" t="s">
        <v>1667</v>
      </c>
      <c r="N211" s="1">
        <v>46127</v>
      </c>
      <c r="O211" s="2">
        <v>0.69696759259259256</v>
      </c>
      <c r="R211" t="str">
        <f>HYPERLINK("https://7lm.cvcrm.com.br/gestor/relatorios/associado/html?q[1|r.idreserva]=6949","ANTONIO MATEUS BARBOSA DE FREITAS")</f>
        <v>ANTONIO MATEUS BARBOSA DE FREITAS</v>
      </c>
      <c r="S211">
        <v>8665607340</v>
      </c>
      <c r="T211">
        <v>5561983258695</v>
      </c>
      <c r="U211">
        <v>551983576747</v>
      </c>
      <c r="V211" t="s">
        <v>1668</v>
      </c>
      <c r="W211" t="s">
        <v>163</v>
      </c>
      <c r="X211" t="s">
        <v>1669</v>
      </c>
      <c r="Y211" t="s">
        <v>165</v>
      </c>
      <c r="Z211" t="s">
        <v>1670</v>
      </c>
      <c r="AA211" t="s">
        <v>1671</v>
      </c>
      <c r="AB211" t="s">
        <v>1672</v>
      </c>
      <c r="AC211" t="s">
        <v>388</v>
      </c>
      <c r="AF211" t="s">
        <v>389</v>
      </c>
      <c r="AG211" t="s">
        <v>195</v>
      </c>
      <c r="AH211" s="3">
        <v>223001.03</v>
      </c>
      <c r="AI211" s="3">
        <v>223001.03</v>
      </c>
      <c r="AJ211" s="1">
        <v>46259</v>
      </c>
      <c r="AN211" t="s">
        <v>172</v>
      </c>
      <c r="AR211" s="7" t="s">
        <v>353</v>
      </c>
      <c r="AT211" t="s">
        <v>196</v>
      </c>
      <c r="AU211" t="s">
        <v>292</v>
      </c>
      <c r="AW211">
        <v>0</v>
      </c>
      <c r="AX211" s="1">
        <v>46128</v>
      </c>
      <c r="AY211" s="2">
        <v>0.48821759259259262</v>
      </c>
      <c r="AZ211">
        <v>200440</v>
      </c>
      <c r="BA211" s="1">
        <v>46122</v>
      </c>
      <c r="BC211" t="s">
        <v>0</v>
      </c>
      <c r="BD211" s="1">
        <v>46125</v>
      </c>
      <c r="BE211" t="s">
        <v>615</v>
      </c>
      <c r="BL211" s="4">
        <v>0</v>
      </c>
      <c r="BM211" s="1">
        <v>46995</v>
      </c>
      <c r="BN211" s="1">
        <v>46128</v>
      </c>
      <c r="BO211">
        <v>0</v>
      </c>
      <c r="BP211">
        <v>30829</v>
      </c>
      <c r="BQ211" t="s">
        <v>156</v>
      </c>
      <c r="BR211" s="3">
        <v>184000</v>
      </c>
      <c r="BS211">
        <v>0</v>
      </c>
      <c r="BT211">
        <v>0</v>
      </c>
      <c r="BU211" s="3">
        <v>184000</v>
      </c>
      <c r="BV211" s="3">
        <v>223001.03</v>
      </c>
      <c r="BX211">
        <v>0</v>
      </c>
      <c r="BZ211">
        <v>0</v>
      </c>
      <c r="CA211">
        <v>0</v>
      </c>
      <c r="CB211">
        <v>0</v>
      </c>
      <c r="CC211" s="3">
        <v>223001.03</v>
      </c>
      <c r="CD211" s="5">
        <v>0</v>
      </c>
      <c r="CF211" s="6">
        <v>46113</v>
      </c>
      <c r="CH211">
        <v>0</v>
      </c>
      <c r="CI211">
        <v>0</v>
      </c>
      <c r="CJ211">
        <v>0</v>
      </c>
      <c r="CK211">
        <v>0</v>
      </c>
      <c r="CL211">
        <v>0</v>
      </c>
      <c r="CM211">
        <v>0</v>
      </c>
      <c r="CN211">
        <v>0</v>
      </c>
      <c r="CO211">
        <v>0</v>
      </c>
      <c r="CP211">
        <v>0</v>
      </c>
      <c r="CQ211">
        <v>0</v>
      </c>
      <c r="CR211">
        <v>0</v>
      </c>
      <c r="CS211" t="s">
        <v>428</v>
      </c>
      <c r="CT211" t="s">
        <v>214</v>
      </c>
      <c r="CU211" t="s">
        <v>601</v>
      </c>
      <c r="CW211">
        <v>-54.985700000000001</v>
      </c>
      <c r="CZ211" s="1">
        <v>46125</v>
      </c>
      <c r="DA211" t="s">
        <v>172</v>
      </c>
      <c r="DB211" t="s">
        <v>172</v>
      </c>
      <c r="DC211" t="s">
        <v>172</v>
      </c>
      <c r="DD211" t="s">
        <v>172</v>
      </c>
      <c r="DG211" s="1">
        <v>46125</v>
      </c>
      <c r="DH211">
        <v>0</v>
      </c>
      <c r="DI211">
        <v>0</v>
      </c>
      <c r="DK211" t="s">
        <v>179</v>
      </c>
      <c r="DL211" t="s">
        <v>224</v>
      </c>
      <c r="DM211" t="s">
        <v>172</v>
      </c>
      <c r="DN211" t="s">
        <v>511</v>
      </c>
      <c r="DV211" s="3">
        <v>223001.03</v>
      </c>
      <c r="DW211">
        <v>0</v>
      </c>
      <c r="DX211" s="3">
        <v>223001.03</v>
      </c>
      <c r="DY211">
        <v>0</v>
      </c>
      <c r="EF211" s="1">
        <v>46129</v>
      </c>
      <c r="EG211" s="1">
        <v>46126</v>
      </c>
      <c r="EK211" s="1">
        <v>46129</v>
      </c>
      <c r="EP211" s="1">
        <v>46127</v>
      </c>
    </row>
    <row r="212" spans="1:153" ht="246.5" x14ac:dyDescent="0.35">
      <c r="A212" t="str">
        <f>HYPERLINK("https://7lm.cvcrm.com.br/gestor/comercial/reservas/6948/administrar","6948")</f>
        <v>6948</v>
      </c>
      <c r="B212" t="s">
        <v>156</v>
      </c>
      <c r="C212" s="1">
        <v>46125</v>
      </c>
      <c r="D212" s="2">
        <v>0.52394675925925926</v>
      </c>
      <c r="E212" t="s">
        <v>294</v>
      </c>
      <c r="F212" t="s">
        <v>216</v>
      </c>
      <c r="G212" t="s">
        <v>159</v>
      </c>
      <c r="H212" t="s">
        <v>204</v>
      </c>
      <c r="I212" t="s">
        <v>788</v>
      </c>
      <c r="J212">
        <v>1</v>
      </c>
      <c r="K212">
        <v>8352</v>
      </c>
      <c r="L212">
        <v>20061</v>
      </c>
      <c r="M212" t="s">
        <v>1673</v>
      </c>
      <c r="N212" s="1">
        <v>46139</v>
      </c>
      <c r="O212" s="2">
        <v>0.61370370370370375</v>
      </c>
      <c r="Q212">
        <v>9892</v>
      </c>
      <c r="R212" t="str">
        <f>HYPERLINK("https://7lm.cvcrm.com.br/gestor/relatorios/associado/html?q[1|r.idreserva]=6948","DEBORA GUIMARAES TRINDADE")</f>
        <v>DEBORA GUIMARAES TRINDADE</v>
      </c>
      <c r="S212">
        <v>61886901376</v>
      </c>
      <c r="T212">
        <v>5561982522514</v>
      </c>
      <c r="U212">
        <v>556194639621</v>
      </c>
      <c r="V212" t="s">
        <v>1674</v>
      </c>
      <c r="W212" t="s">
        <v>187</v>
      </c>
      <c r="X212" t="s">
        <v>1675</v>
      </c>
      <c r="Y212" t="s">
        <v>165</v>
      </c>
      <c r="Z212" t="s">
        <v>238</v>
      </c>
      <c r="AA212" t="s">
        <v>1655</v>
      </c>
      <c r="AB212" t="s">
        <v>1676</v>
      </c>
      <c r="AC212" t="s">
        <v>455</v>
      </c>
      <c r="AF212" t="s">
        <v>389</v>
      </c>
      <c r="AG212" t="s">
        <v>195</v>
      </c>
      <c r="AH212" s="3">
        <v>220558.15</v>
      </c>
      <c r="AI212" s="3">
        <v>220558.15</v>
      </c>
      <c r="AJ212" s="1">
        <v>46125</v>
      </c>
      <c r="AN212" t="s">
        <v>172</v>
      </c>
      <c r="AR212" s="7" t="s">
        <v>353</v>
      </c>
      <c r="AT212" t="s">
        <v>196</v>
      </c>
      <c r="AU212" t="s">
        <v>262</v>
      </c>
      <c r="AW212">
        <v>0</v>
      </c>
      <c r="AX212" s="1">
        <v>46136</v>
      </c>
      <c r="AY212" s="2">
        <v>0.63039351851851855</v>
      </c>
      <c r="AZ212">
        <v>192883</v>
      </c>
      <c r="BA212" s="1">
        <v>46083</v>
      </c>
      <c r="BC212" t="s">
        <v>0</v>
      </c>
      <c r="BD212" s="1">
        <v>46125</v>
      </c>
      <c r="BE212" t="s">
        <v>889</v>
      </c>
      <c r="BL212" s="4">
        <v>0</v>
      </c>
      <c r="BM212" s="1">
        <v>46995</v>
      </c>
      <c r="BN212" s="1">
        <v>46136</v>
      </c>
      <c r="BO212">
        <v>0</v>
      </c>
      <c r="BP212">
        <v>29076</v>
      </c>
      <c r="BQ212" t="s">
        <v>156</v>
      </c>
      <c r="BR212" s="3">
        <v>131445.1</v>
      </c>
      <c r="BS212" s="3">
        <v>31565</v>
      </c>
      <c r="BT212">
        <v>0</v>
      </c>
      <c r="BU212" s="3">
        <v>163010.1</v>
      </c>
      <c r="BV212" s="3">
        <v>220558.15</v>
      </c>
      <c r="BX212">
        <v>0</v>
      </c>
      <c r="BZ212">
        <v>0</v>
      </c>
      <c r="CA212">
        <v>0</v>
      </c>
      <c r="CB212">
        <v>0</v>
      </c>
      <c r="CC212" s="3">
        <v>220558.15</v>
      </c>
      <c r="CD212" s="5">
        <v>0</v>
      </c>
      <c r="CF212" s="6">
        <v>46113</v>
      </c>
      <c r="CH212">
        <v>0</v>
      </c>
      <c r="CI212">
        <v>0</v>
      </c>
      <c r="CJ212">
        <v>0</v>
      </c>
      <c r="CK212">
        <v>0</v>
      </c>
      <c r="CL212">
        <v>0</v>
      </c>
      <c r="CM212">
        <v>0</v>
      </c>
      <c r="CN212">
        <v>0</v>
      </c>
      <c r="CO212">
        <v>0</v>
      </c>
      <c r="CP212">
        <v>0</v>
      </c>
      <c r="CQ212">
        <v>0</v>
      </c>
      <c r="CR212">
        <v>0</v>
      </c>
      <c r="CS212" t="s">
        <v>360</v>
      </c>
      <c r="CT212" t="s">
        <v>214</v>
      </c>
      <c r="CU212" t="s">
        <v>788</v>
      </c>
      <c r="CW212">
        <v>-52.752499999999998</v>
      </c>
      <c r="CZ212" s="1">
        <v>46125</v>
      </c>
      <c r="DA212" t="s">
        <v>172</v>
      </c>
      <c r="DB212" t="s">
        <v>172</v>
      </c>
      <c r="DC212" t="s">
        <v>172</v>
      </c>
      <c r="DD212" t="s">
        <v>172</v>
      </c>
      <c r="DG212" s="1">
        <v>46125</v>
      </c>
      <c r="DH212">
        <v>0</v>
      </c>
      <c r="DI212">
        <v>0</v>
      </c>
      <c r="DJ212" s="1">
        <v>46136</v>
      </c>
      <c r="DK212" t="s">
        <v>179</v>
      </c>
      <c r="DL212" t="s">
        <v>224</v>
      </c>
      <c r="DM212" t="s">
        <v>172</v>
      </c>
      <c r="DN212" t="s">
        <v>201</v>
      </c>
      <c r="DV212" s="3">
        <v>220558.15</v>
      </c>
      <c r="DW212">
        <v>0</v>
      </c>
      <c r="DX212" s="3">
        <v>220558.15</v>
      </c>
      <c r="DY212">
        <v>0</v>
      </c>
      <c r="EG212" s="1">
        <v>46134</v>
      </c>
      <c r="EN212" t="s">
        <v>156</v>
      </c>
      <c r="EP212" s="1">
        <v>46135</v>
      </c>
    </row>
    <row r="213" spans="1:153" ht="246.5" x14ac:dyDescent="0.35">
      <c r="A213" t="str">
        <f>HYPERLINK("https://7lm.cvcrm.com.br/gestor/comercial/reservas/6947/administrar","6947")</f>
        <v>6947</v>
      </c>
      <c r="B213" t="s">
        <v>156</v>
      </c>
      <c r="C213" s="1">
        <v>46125</v>
      </c>
      <c r="D213" s="2">
        <v>0.48247685185185185</v>
      </c>
      <c r="E213" t="s">
        <v>294</v>
      </c>
      <c r="F213" t="s">
        <v>957</v>
      </c>
      <c r="G213" t="s">
        <v>159</v>
      </c>
      <c r="H213" t="s">
        <v>345</v>
      </c>
      <c r="I213" t="s">
        <v>1677</v>
      </c>
      <c r="J213">
        <v>1</v>
      </c>
      <c r="L213">
        <v>30121</v>
      </c>
      <c r="M213" t="s">
        <v>1678</v>
      </c>
      <c r="N213" s="1">
        <v>46127</v>
      </c>
      <c r="O213" s="2">
        <v>0.43209490740740741</v>
      </c>
      <c r="R213" t="str">
        <f>HYPERLINK("https://7lm.cvcrm.com.br/gestor/relatorios/associado/html?q[1|r.idreserva]=6947","RAILSON VALDINAR DE SOUSA")</f>
        <v>RAILSON VALDINAR DE SOUSA</v>
      </c>
      <c r="S213">
        <v>5768120130</v>
      </c>
      <c r="T213">
        <v>5561996756202</v>
      </c>
      <c r="U213">
        <v>5561996642261</v>
      </c>
      <c r="V213" t="s">
        <v>1679</v>
      </c>
      <c r="W213" t="s">
        <v>163</v>
      </c>
      <c r="X213" t="s">
        <v>1680</v>
      </c>
      <c r="Y213" t="s">
        <v>189</v>
      </c>
      <c r="Z213" t="s">
        <v>190</v>
      </c>
      <c r="AA213" t="s">
        <v>1681</v>
      </c>
      <c r="AB213" t="s">
        <v>1682</v>
      </c>
      <c r="AC213" t="s">
        <v>534</v>
      </c>
      <c r="AF213" t="s">
        <v>303</v>
      </c>
      <c r="AG213" t="s">
        <v>195</v>
      </c>
      <c r="AH213" s="3">
        <v>260000</v>
      </c>
      <c r="AI213" s="3">
        <v>260000</v>
      </c>
      <c r="AJ213" s="1">
        <v>46167</v>
      </c>
      <c r="AN213" t="s">
        <v>172</v>
      </c>
      <c r="AR213" s="7" t="s">
        <v>353</v>
      </c>
      <c r="AT213" t="s">
        <v>261</v>
      </c>
      <c r="AU213" t="s">
        <v>292</v>
      </c>
      <c r="AW213">
        <v>0</v>
      </c>
      <c r="AX213" s="1">
        <v>46132</v>
      </c>
      <c r="AY213" s="2">
        <v>0.59865740740740736</v>
      </c>
      <c r="AZ213">
        <v>153863</v>
      </c>
      <c r="BA213" s="1">
        <v>45742</v>
      </c>
      <c r="BC213" t="s">
        <v>176</v>
      </c>
      <c r="BD213" s="1">
        <v>45742</v>
      </c>
      <c r="BE213" t="s">
        <v>466</v>
      </c>
      <c r="BL213" s="4">
        <v>0</v>
      </c>
      <c r="BM213" s="1">
        <v>47031</v>
      </c>
      <c r="BN213" s="1">
        <v>46132</v>
      </c>
      <c r="BO213">
        <v>0</v>
      </c>
      <c r="BP213">
        <v>30724</v>
      </c>
      <c r="BQ213" t="s">
        <v>156</v>
      </c>
      <c r="BR213" s="3">
        <v>175469.13</v>
      </c>
      <c r="BS213" s="3">
        <v>3366</v>
      </c>
      <c r="BT213">
        <v>0</v>
      </c>
      <c r="BU213" s="3">
        <v>178835.13</v>
      </c>
      <c r="BV213" s="3">
        <v>260000</v>
      </c>
      <c r="BX213">
        <v>0</v>
      </c>
      <c r="BZ213">
        <v>0</v>
      </c>
      <c r="CA213">
        <v>0</v>
      </c>
      <c r="CB213">
        <v>0</v>
      </c>
      <c r="CC213" s="3">
        <v>260000</v>
      </c>
      <c r="CD213" s="5">
        <v>0</v>
      </c>
      <c r="CF213" s="6">
        <v>46113</v>
      </c>
      <c r="CH213">
        <v>0</v>
      </c>
      <c r="CI213">
        <v>0</v>
      </c>
      <c r="CJ213">
        <v>0</v>
      </c>
      <c r="CK213">
        <v>0</v>
      </c>
      <c r="CL213">
        <v>0</v>
      </c>
      <c r="CM213">
        <v>0</v>
      </c>
      <c r="CN213">
        <v>0</v>
      </c>
      <c r="CO213">
        <v>0</v>
      </c>
      <c r="CP213">
        <v>0</v>
      </c>
      <c r="CQ213">
        <v>0</v>
      </c>
      <c r="CR213">
        <v>0</v>
      </c>
      <c r="CS213" t="s">
        <v>305</v>
      </c>
      <c r="CT213" t="s">
        <v>190</v>
      </c>
      <c r="CU213" t="s">
        <v>1677</v>
      </c>
      <c r="CW213">
        <v>-48.758400000000002</v>
      </c>
      <c r="CZ213" s="1">
        <v>46125</v>
      </c>
      <c r="DA213" t="s">
        <v>172</v>
      </c>
      <c r="DB213" t="s">
        <v>172</v>
      </c>
      <c r="DC213" t="s">
        <v>172</v>
      </c>
      <c r="DD213" t="s">
        <v>172</v>
      </c>
      <c r="DG213" s="1">
        <v>46125</v>
      </c>
      <c r="DH213">
        <v>0</v>
      </c>
      <c r="DI213">
        <v>0</v>
      </c>
      <c r="DL213" t="s">
        <v>963</v>
      </c>
      <c r="DM213" t="s">
        <v>172</v>
      </c>
      <c r="DN213" t="s">
        <v>201</v>
      </c>
      <c r="DP213" s="4">
        <v>1.2E-2</v>
      </c>
      <c r="DV213" s="3">
        <v>260000</v>
      </c>
      <c r="DW213">
        <v>0</v>
      </c>
      <c r="DX213" s="3">
        <v>260000</v>
      </c>
      <c r="DY213">
        <v>0</v>
      </c>
      <c r="EG213" s="1">
        <v>46127</v>
      </c>
      <c r="EL213" s="1">
        <v>46128</v>
      </c>
      <c r="EM213" s="1">
        <v>46128</v>
      </c>
      <c r="EN213" t="s">
        <v>156</v>
      </c>
      <c r="EP213" s="1">
        <v>46127</v>
      </c>
      <c r="EU213" s="1">
        <v>46127</v>
      </c>
      <c r="EW213" s="1">
        <v>46126</v>
      </c>
    </row>
    <row r="214" spans="1:153" ht="87" x14ac:dyDescent="0.35">
      <c r="A214" t="str">
        <f>HYPERLINK("https://7lm.cvcrm.com.br/gestor/comercial/reservas/6946/administrar","6946")</f>
        <v>6946</v>
      </c>
      <c r="B214" t="s">
        <v>156</v>
      </c>
      <c r="C214" s="1">
        <v>46125</v>
      </c>
      <c r="D214" s="2">
        <v>0.3566435185185185</v>
      </c>
      <c r="E214" t="s">
        <v>294</v>
      </c>
      <c r="F214" t="s">
        <v>226</v>
      </c>
      <c r="G214" t="s">
        <v>159</v>
      </c>
      <c r="H214" t="s">
        <v>252</v>
      </c>
      <c r="I214" t="s">
        <v>1683</v>
      </c>
      <c r="J214">
        <v>1</v>
      </c>
      <c r="K214">
        <v>8378</v>
      </c>
      <c r="L214">
        <v>10031</v>
      </c>
      <c r="M214" t="s">
        <v>1684</v>
      </c>
      <c r="N214" s="1">
        <v>46129</v>
      </c>
      <c r="O214" s="2">
        <v>0.42510416666666667</v>
      </c>
      <c r="Q214">
        <v>9911</v>
      </c>
      <c r="R214" t="str">
        <f>HYPERLINK("https://7lm.cvcrm.com.br/gestor/relatorios/associado/html?q[1|r.idreserva]=6946","ANGELINE RESENDE PINTO")</f>
        <v>ANGELINE RESENDE PINTO</v>
      </c>
      <c r="S214">
        <v>74159828191</v>
      </c>
      <c r="T214">
        <v>5561981023266</v>
      </c>
      <c r="U214">
        <v>5561981023266</v>
      </c>
      <c r="V214" t="s">
        <v>1685</v>
      </c>
      <c r="W214" t="s">
        <v>187</v>
      </c>
      <c r="X214" t="s">
        <v>1116</v>
      </c>
      <c r="Y214" t="s">
        <v>165</v>
      </c>
      <c r="Z214" t="s">
        <v>257</v>
      </c>
      <c r="AA214" t="s">
        <v>1281</v>
      </c>
      <c r="AB214" t="s">
        <v>1686</v>
      </c>
      <c r="AC214" t="s">
        <v>260</v>
      </c>
      <c r="AE214" t="s">
        <v>169</v>
      </c>
      <c r="AF214" t="s">
        <v>170</v>
      </c>
      <c r="AG214" t="s">
        <v>171</v>
      </c>
      <c r="AH214" s="3">
        <v>351190</v>
      </c>
      <c r="AI214" s="3">
        <v>351190</v>
      </c>
      <c r="AJ214" s="1">
        <v>46129</v>
      </c>
      <c r="AN214" t="s">
        <v>172</v>
      </c>
      <c r="AR214" s="7" t="s">
        <v>1687</v>
      </c>
      <c r="AT214" t="s">
        <v>261</v>
      </c>
      <c r="AV214" t="s">
        <v>1688</v>
      </c>
      <c r="AW214">
        <v>0</v>
      </c>
      <c r="AX214" s="1">
        <v>46141</v>
      </c>
      <c r="AY214" s="2">
        <v>0.47387731481481482</v>
      </c>
      <c r="AZ214">
        <v>41013</v>
      </c>
      <c r="BA214" s="1">
        <v>44138</v>
      </c>
      <c r="BC214" t="s">
        <v>1689</v>
      </c>
      <c r="BD214" s="1">
        <v>44138</v>
      </c>
      <c r="BE214" t="s">
        <v>401</v>
      </c>
      <c r="BL214" s="4">
        <v>0</v>
      </c>
      <c r="BM214" s="1">
        <v>46698</v>
      </c>
      <c r="BN214" s="1">
        <v>46141</v>
      </c>
      <c r="BO214">
        <v>0</v>
      </c>
      <c r="BP214">
        <v>30794</v>
      </c>
      <c r="BQ214" t="s">
        <v>156</v>
      </c>
      <c r="BR214" s="3">
        <v>250034.69</v>
      </c>
      <c r="BS214">
        <v>0</v>
      </c>
      <c r="BT214">
        <v>0</v>
      </c>
      <c r="BU214" s="3">
        <v>250034.69</v>
      </c>
      <c r="BV214" s="3">
        <v>351190</v>
      </c>
      <c r="BX214">
        <v>0</v>
      </c>
      <c r="BZ214">
        <v>0</v>
      </c>
      <c r="CA214">
        <v>0</v>
      </c>
      <c r="CB214">
        <v>0</v>
      </c>
      <c r="CC214" s="3">
        <v>351190</v>
      </c>
      <c r="CD214" s="5">
        <v>0</v>
      </c>
      <c r="CF214" s="6">
        <v>46113</v>
      </c>
      <c r="CH214">
        <v>0</v>
      </c>
      <c r="CI214">
        <v>0</v>
      </c>
      <c r="CJ214">
        <v>0</v>
      </c>
      <c r="CK214">
        <v>0</v>
      </c>
      <c r="CL214">
        <v>0</v>
      </c>
      <c r="CM214">
        <v>0</v>
      </c>
      <c r="CN214">
        <v>0</v>
      </c>
      <c r="CO214">
        <v>0</v>
      </c>
      <c r="CP214">
        <v>0</v>
      </c>
      <c r="CQ214">
        <v>0</v>
      </c>
      <c r="CR214">
        <v>0</v>
      </c>
      <c r="CS214" t="s">
        <v>177</v>
      </c>
      <c r="CT214" t="s">
        <v>238</v>
      </c>
      <c r="CU214" t="s">
        <v>1683</v>
      </c>
      <c r="CW214">
        <v>-59.164000000000001</v>
      </c>
      <c r="CX214" t="s">
        <v>170</v>
      </c>
      <c r="CZ214" s="1">
        <v>46125</v>
      </c>
      <c r="DA214" t="s">
        <v>172</v>
      </c>
      <c r="DB214" t="s">
        <v>172</v>
      </c>
      <c r="DC214" t="s">
        <v>172</v>
      </c>
      <c r="DD214" t="s">
        <v>172</v>
      </c>
      <c r="DG214" s="1">
        <v>46125</v>
      </c>
      <c r="DH214">
        <v>0</v>
      </c>
      <c r="DI214">
        <v>0</v>
      </c>
      <c r="DJ214" s="1">
        <v>46141</v>
      </c>
      <c r="DL214" t="s">
        <v>263</v>
      </c>
      <c r="DM214" t="s">
        <v>172</v>
      </c>
      <c r="DN214" t="s">
        <v>264</v>
      </c>
      <c r="DV214" s="3">
        <v>351190</v>
      </c>
      <c r="DW214">
        <v>0</v>
      </c>
      <c r="DX214" s="3">
        <v>351190</v>
      </c>
      <c r="DY214">
        <v>0</v>
      </c>
    </row>
    <row r="215" spans="1:153" ht="246.5" x14ac:dyDescent="0.35">
      <c r="A215" t="str">
        <f>HYPERLINK("https://7lm.cvcrm.com.br/gestor/comercial/reservas/6945/administrar","6945")</f>
        <v>6945</v>
      </c>
      <c r="B215" t="s">
        <v>156</v>
      </c>
      <c r="C215" s="1">
        <v>46123</v>
      </c>
      <c r="D215" s="2">
        <v>0.69761574074074073</v>
      </c>
      <c r="E215" t="s">
        <v>294</v>
      </c>
      <c r="F215" t="s">
        <v>202</v>
      </c>
      <c r="G215" t="s">
        <v>203</v>
      </c>
      <c r="H215" t="s">
        <v>404</v>
      </c>
      <c r="I215" t="s">
        <v>1020</v>
      </c>
      <c r="J215">
        <v>1</v>
      </c>
      <c r="L215">
        <v>20031</v>
      </c>
      <c r="M215" t="s">
        <v>1690</v>
      </c>
      <c r="N215" s="1">
        <v>46129</v>
      </c>
      <c r="O215" s="2">
        <v>0.46458333333333335</v>
      </c>
      <c r="R215" t="str">
        <f>HYPERLINK("https://7lm.cvcrm.com.br/gestor/relatorios/associado/html?q[1|r.idreserva]=6945","VINICIUS CORIOLANO DE PAIVA")</f>
        <v>VINICIUS CORIOLANO DE PAIVA</v>
      </c>
      <c r="S215">
        <v>9175909103</v>
      </c>
      <c r="T215">
        <v>5561991450980</v>
      </c>
      <c r="U215">
        <v>5561984645213</v>
      </c>
      <c r="V215" t="s">
        <v>1691</v>
      </c>
      <c r="W215" t="s">
        <v>163</v>
      </c>
      <c r="X215" t="s">
        <v>299</v>
      </c>
      <c r="Y215" t="s">
        <v>189</v>
      </c>
      <c r="Z215" t="s">
        <v>214</v>
      </c>
      <c r="AA215" t="s">
        <v>1692</v>
      </c>
      <c r="AB215" t="s">
        <v>1693</v>
      </c>
      <c r="AC215" t="s">
        <v>388</v>
      </c>
      <c r="AF215" t="s">
        <v>389</v>
      </c>
      <c r="AG215" t="s">
        <v>195</v>
      </c>
      <c r="AH215" s="3">
        <v>217005.23</v>
      </c>
      <c r="AI215" s="3">
        <v>217005.23</v>
      </c>
      <c r="AJ215" s="1">
        <v>46198</v>
      </c>
      <c r="AN215" t="s">
        <v>172</v>
      </c>
      <c r="AR215" s="7" t="s">
        <v>353</v>
      </c>
      <c r="AT215" t="s">
        <v>196</v>
      </c>
      <c r="AU215" t="s">
        <v>262</v>
      </c>
      <c r="AW215">
        <v>0</v>
      </c>
      <c r="AX215" s="1">
        <v>46134</v>
      </c>
      <c r="AY215" s="2">
        <v>0.79001157407407407</v>
      </c>
      <c r="AZ215">
        <v>141415</v>
      </c>
      <c r="BA215" s="1">
        <v>45632</v>
      </c>
      <c r="BB215" s="1">
        <v>46048</v>
      </c>
      <c r="BC215" t="s">
        <v>0</v>
      </c>
      <c r="BD215" s="1">
        <v>46123</v>
      </c>
      <c r="BE215" t="s">
        <v>317</v>
      </c>
      <c r="BL215" s="4">
        <v>0</v>
      </c>
      <c r="BM215" s="1">
        <v>46808</v>
      </c>
      <c r="BN215" s="1">
        <v>46134</v>
      </c>
      <c r="BO215">
        <v>0</v>
      </c>
      <c r="BP215">
        <v>27947</v>
      </c>
      <c r="BQ215" t="s">
        <v>156</v>
      </c>
      <c r="BR215" s="3">
        <v>100414.15</v>
      </c>
      <c r="BS215" s="3">
        <v>55000</v>
      </c>
      <c r="BT215">
        <v>0</v>
      </c>
      <c r="BU215" s="3">
        <v>155414.15</v>
      </c>
      <c r="BV215" s="3">
        <v>217005.23</v>
      </c>
      <c r="BX215">
        <v>0</v>
      </c>
      <c r="BZ215">
        <v>0</v>
      </c>
      <c r="CA215">
        <v>0</v>
      </c>
      <c r="CB215">
        <v>0</v>
      </c>
      <c r="CC215" s="3">
        <v>217005.23</v>
      </c>
      <c r="CD215" s="5">
        <v>0</v>
      </c>
      <c r="CF215" s="6">
        <v>46113</v>
      </c>
      <c r="CH215">
        <v>0</v>
      </c>
      <c r="CI215">
        <v>0</v>
      </c>
      <c r="CJ215">
        <v>0</v>
      </c>
      <c r="CK215">
        <v>0</v>
      </c>
      <c r="CL215">
        <v>0</v>
      </c>
      <c r="CM215">
        <v>0</v>
      </c>
      <c r="CN215">
        <v>0</v>
      </c>
      <c r="CO215">
        <v>0</v>
      </c>
      <c r="CP215">
        <v>0</v>
      </c>
      <c r="CQ215">
        <v>0</v>
      </c>
      <c r="CR215">
        <v>0</v>
      </c>
      <c r="CS215" t="s">
        <v>360</v>
      </c>
      <c r="CT215" t="s">
        <v>214</v>
      </c>
      <c r="CU215" t="s">
        <v>1020</v>
      </c>
      <c r="CW215">
        <v>-52.7849</v>
      </c>
      <c r="CZ215" s="1">
        <v>46123</v>
      </c>
      <c r="DA215" t="s">
        <v>172</v>
      </c>
      <c r="DB215" t="s">
        <v>172</v>
      </c>
      <c r="DC215" t="s">
        <v>172</v>
      </c>
      <c r="DD215" t="s">
        <v>172</v>
      </c>
      <c r="DG215" s="1">
        <v>46123</v>
      </c>
      <c r="DH215">
        <v>0</v>
      </c>
      <c r="DI215">
        <v>0</v>
      </c>
      <c r="DL215" t="s">
        <v>215</v>
      </c>
      <c r="DM215" t="s">
        <v>172</v>
      </c>
      <c r="DN215" t="s">
        <v>201</v>
      </c>
      <c r="DV215" s="3">
        <v>217005.23</v>
      </c>
      <c r="DW215">
        <v>0</v>
      </c>
      <c r="DX215" s="3">
        <v>217005.23</v>
      </c>
      <c r="DY215">
        <v>0</v>
      </c>
      <c r="EF215" s="1">
        <v>46129</v>
      </c>
      <c r="EG215" s="1">
        <v>46126</v>
      </c>
      <c r="EK215" s="1">
        <v>46129</v>
      </c>
      <c r="EL215" s="1">
        <v>46129</v>
      </c>
      <c r="EP215" s="1">
        <v>46127</v>
      </c>
    </row>
    <row r="216" spans="1:153" ht="391.5" x14ac:dyDescent="0.35">
      <c r="A216" t="str">
        <f>HYPERLINK("https://7lm.cvcrm.com.br/gestor/comercial/reservas/6944/administrar","6944")</f>
        <v>6944</v>
      </c>
      <c r="B216" t="s">
        <v>172</v>
      </c>
      <c r="C216" s="1">
        <v>46123</v>
      </c>
      <c r="D216" s="2">
        <v>0.69208333333333338</v>
      </c>
      <c r="E216" t="s">
        <v>527</v>
      </c>
      <c r="F216" t="s">
        <v>202</v>
      </c>
      <c r="G216" t="s">
        <v>203</v>
      </c>
      <c r="H216" t="s">
        <v>404</v>
      </c>
      <c r="I216" t="s">
        <v>593</v>
      </c>
      <c r="J216">
        <v>1</v>
      </c>
      <c r="L216">
        <v>20031</v>
      </c>
      <c r="M216" t="s">
        <v>883</v>
      </c>
      <c r="R216" t="str">
        <f>HYPERLINK("https://7lm.cvcrm.com.br/gestor/relatorios/associado/html?q[1|r.idreserva]=6944","VINICIUS CORIOLANO DE PAIVA")</f>
        <v>VINICIUS CORIOLANO DE PAIVA</v>
      </c>
      <c r="S216">
        <v>9175909103</v>
      </c>
      <c r="T216">
        <v>5561991450980</v>
      </c>
      <c r="U216">
        <v>5561984645213</v>
      </c>
      <c r="V216" t="s">
        <v>1691</v>
      </c>
      <c r="W216" t="s">
        <v>163</v>
      </c>
      <c r="X216" t="s">
        <v>299</v>
      </c>
      <c r="Y216" t="s">
        <v>189</v>
      </c>
      <c r="Z216" t="s">
        <v>214</v>
      </c>
      <c r="AA216" t="s">
        <v>1692</v>
      </c>
      <c r="AB216" t="s">
        <v>1693</v>
      </c>
      <c r="AC216" t="s">
        <v>388</v>
      </c>
      <c r="AF216" t="s">
        <v>389</v>
      </c>
      <c r="AG216" t="s">
        <v>195</v>
      </c>
      <c r="AH216">
        <v>0</v>
      </c>
      <c r="AI216">
        <v>0</v>
      </c>
      <c r="AN216" t="s">
        <v>172</v>
      </c>
      <c r="AO216" t="s">
        <v>725</v>
      </c>
      <c r="AP216" t="s">
        <v>1425</v>
      </c>
      <c r="AR216" s="7" t="s">
        <v>1694</v>
      </c>
      <c r="AT216" t="s">
        <v>196</v>
      </c>
      <c r="AU216" t="s">
        <v>262</v>
      </c>
      <c r="AW216">
        <v>0</v>
      </c>
      <c r="AX216" s="1">
        <v>46127</v>
      </c>
      <c r="AY216" s="2">
        <v>0.7543981481481481</v>
      </c>
      <c r="AZ216">
        <v>141415</v>
      </c>
      <c r="BA216" s="1">
        <v>45632</v>
      </c>
      <c r="BB216" s="1">
        <v>46048</v>
      </c>
      <c r="BC216" t="s">
        <v>0</v>
      </c>
      <c r="BD216" s="1">
        <v>46123</v>
      </c>
      <c r="BE216" t="s">
        <v>317</v>
      </c>
      <c r="BL216" s="4">
        <v>0</v>
      </c>
      <c r="BM216" s="1">
        <v>46808</v>
      </c>
      <c r="BO216">
        <v>0</v>
      </c>
      <c r="BP216">
        <v>27947</v>
      </c>
      <c r="BQ216" t="s">
        <v>156</v>
      </c>
      <c r="BR216" s="3">
        <v>100414.15</v>
      </c>
      <c r="BS216" s="3">
        <v>55000</v>
      </c>
      <c r="BT216">
        <v>0</v>
      </c>
      <c r="BU216" s="3">
        <v>155414.15</v>
      </c>
      <c r="BV216">
        <v>0</v>
      </c>
      <c r="BX216">
        <v>0</v>
      </c>
      <c r="BZ216">
        <v>0</v>
      </c>
      <c r="CA216">
        <v>0</v>
      </c>
      <c r="CB216">
        <v>0</v>
      </c>
      <c r="CC216">
        <v>0</v>
      </c>
      <c r="CD216" s="5">
        <v>0</v>
      </c>
      <c r="CF216" s="6">
        <v>46113</v>
      </c>
      <c r="CH216">
        <v>0</v>
      </c>
      <c r="CI216">
        <v>0</v>
      </c>
      <c r="CJ216">
        <v>0</v>
      </c>
      <c r="CK216">
        <v>0</v>
      </c>
      <c r="CL216">
        <v>0</v>
      </c>
      <c r="CM216">
        <v>0</v>
      </c>
      <c r="CN216">
        <v>0</v>
      </c>
      <c r="CO216">
        <v>0</v>
      </c>
      <c r="CP216">
        <v>0</v>
      </c>
      <c r="CQ216">
        <v>0</v>
      </c>
      <c r="CR216">
        <v>0</v>
      </c>
      <c r="CT216" t="s">
        <v>214</v>
      </c>
      <c r="CU216" t="s">
        <v>593</v>
      </c>
      <c r="CW216">
        <v>0</v>
      </c>
      <c r="CZ216" s="1">
        <v>46123</v>
      </c>
      <c r="DA216" t="s">
        <v>172</v>
      </c>
      <c r="DB216" t="s">
        <v>172</v>
      </c>
      <c r="DC216" t="s">
        <v>172</v>
      </c>
      <c r="DD216" t="s">
        <v>172</v>
      </c>
      <c r="DG216" s="1">
        <v>46123</v>
      </c>
      <c r="DH216">
        <v>0</v>
      </c>
      <c r="DI216">
        <v>0</v>
      </c>
      <c r="DL216" t="s">
        <v>215</v>
      </c>
      <c r="DM216" t="s">
        <v>172</v>
      </c>
      <c r="DN216" t="s">
        <v>525</v>
      </c>
      <c r="DV216">
        <v>0</v>
      </c>
      <c r="DW216">
        <v>0</v>
      </c>
      <c r="DX216">
        <v>0</v>
      </c>
      <c r="DY216">
        <v>0</v>
      </c>
      <c r="EN216" t="s">
        <v>537</v>
      </c>
    </row>
    <row r="217" spans="1:153" ht="246.5" x14ac:dyDescent="0.35">
      <c r="A217" t="str">
        <f>HYPERLINK("https://7lm.cvcrm.com.br/gestor/comercial/reservas/6943/administrar","6943")</f>
        <v>6943</v>
      </c>
      <c r="B217" t="s">
        <v>156</v>
      </c>
      <c r="C217" s="1">
        <v>46123</v>
      </c>
      <c r="D217" s="2">
        <v>0.52989583333333334</v>
      </c>
      <c r="E217" t="s">
        <v>294</v>
      </c>
      <c r="F217" t="s">
        <v>458</v>
      </c>
      <c r="G217" t="s">
        <v>203</v>
      </c>
      <c r="H217" t="s">
        <v>391</v>
      </c>
      <c r="I217" t="s">
        <v>1394</v>
      </c>
      <c r="J217">
        <v>1</v>
      </c>
      <c r="K217">
        <v>8330</v>
      </c>
      <c r="L217">
        <v>20001</v>
      </c>
      <c r="M217" t="s">
        <v>1695</v>
      </c>
      <c r="N217" s="1">
        <v>46129</v>
      </c>
      <c r="O217" s="2">
        <v>0.5999768518518519</v>
      </c>
      <c r="R217" t="str">
        <f>HYPERLINK("https://7lm.cvcrm.com.br/gestor/relatorios/associado/html?q[1|r.idreserva]=6943","GISELLE ANDRADE DOS SANTOS")</f>
        <v>GISELLE ANDRADE DOS SANTOS</v>
      </c>
      <c r="S217">
        <v>4144905179</v>
      </c>
      <c r="T217">
        <v>5561999053551</v>
      </c>
      <c r="U217">
        <v>5561992347275</v>
      </c>
      <c r="V217" t="s">
        <v>1696</v>
      </c>
      <c r="W217" t="s">
        <v>187</v>
      </c>
      <c r="X217" t="s">
        <v>299</v>
      </c>
      <c r="Y217" t="s">
        <v>189</v>
      </c>
      <c r="Z217" t="s">
        <v>214</v>
      </c>
      <c r="AA217" t="s">
        <v>1697</v>
      </c>
      <c r="AB217" t="s">
        <v>1698</v>
      </c>
      <c r="AC217" t="s">
        <v>785</v>
      </c>
      <c r="AD217" t="s">
        <v>785</v>
      </c>
      <c r="AF217" t="s">
        <v>634</v>
      </c>
      <c r="AG217" t="s">
        <v>195</v>
      </c>
      <c r="AH217" s="3">
        <v>230349</v>
      </c>
      <c r="AI217" s="3">
        <v>230349</v>
      </c>
      <c r="AJ217" s="1">
        <v>46188</v>
      </c>
      <c r="AN217" t="s">
        <v>172</v>
      </c>
      <c r="AR217" s="7" t="s">
        <v>353</v>
      </c>
      <c r="AT217" t="s">
        <v>196</v>
      </c>
      <c r="AU217" t="s">
        <v>316</v>
      </c>
      <c r="AW217">
        <v>0</v>
      </c>
      <c r="AX217" s="1">
        <v>46132</v>
      </c>
      <c r="AY217" s="2">
        <v>0.57212962962962965</v>
      </c>
      <c r="AZ217">
        <v>200553</v>
      </c>
      <c r="BA217" s="1">
        <v>46123</v>
      </c>
      <c r="BC217" t="s">
        <v>0</v>
      </c>
      <c r="BD217" s="1">
        <v>46123</v>
      </c>
      <c r="BE217" t="s">
        <v>213</v>
      </c>
      <c r="BL217" s="4">
        <v>0</v>
      </c>
      <c r="BM217" s="1">
        <v>46572</v>
      </c>
      <c r="BN217" s="1">
        <v>46132</v>
      </c>
      <c r="BO217">
        <v>0</v>
      </c>
      <c r="BP217">
        <v>30677</v>
      </c>
      <c r="BQ217" t="s">
        <v>156</v>
      </c>
      <c r="BR217" s="3">
        <v>158190.04</v>
      </c>
      <c r="BS217" s="3">
        <v>8823</v>
      </c>
      <c r="BT217">
        <v>0</v>
      </c>
      <c r="BU217" s="3">
        <v>167013.04</v>
      </c>
      <c r="BV217" s="3">
        <v>230349</v>
      </c>
      <c r="BX217">
        <v>0</v>
      </c>
      <c r="BZ217">
        <v>0</v>
      </c>
      <c r="CA217">
        <v>0</v>
      </c>
      <c r="CB217">
        <v>0</v>
      </c>
      <c r="CC217" s="3">
        <v>230349</v>
      </c>
      <c r="CD217" s="5">
        <v>0</v>
      </c>
      <c r="CE217" t="s">
        <v>467</v>
      </c>
      <c r="CF217" s="6">
        <v>46113</v>
      </c>
      <c r="CH217">
        <v>0</v>
      </c>
      <c r="CI217">
        <v>0</v>
      </c>
      <c r="CJ217">
        <v>0</v>
      </c>
      <c r="CK217">
        <v>0</v>
      </c>
      <c r="CL217">
        <v>0</v>
      </c>
      <c r="CM217">
        <v>0</v>
      </c>
      <c r="CN217">
        <v>0</v>
      </c>
      <c r="CO217">
        <v>0</v>
      </c>
      <c r="CP217">
        <v>0</v>
      </c>
      <c r="CQ217">
        <v>0</v>
      </c>
      <c r="CR217">
        <v>0</v>
      </c>
      <c r="CS217" t="s">
        <v>360</v>
      </c>
      <c r="CT217" t="s">
        <v>214</v>
      </c>
      <c r="CU217" t="s">
        <v>1394</v>
      </c>
      <c r="CW217">
        <v>-59.697400000000002</v>
      </c>
      <c r="CZ217" s="1">
        <v>46123</v>
      </c>
      <c r="DA217" t="s">
        <v>172</v>
      </c>
      <c r="DB217" t="s">
        <v>172</v>
      </c>
      <c r="DC217" t="s">
        <v>172</v>
      </c>
      <c r="DD217" t="s">
        <v>172</v>
      </c>
      <c r="DG217" s="1">
        <v>46123</v>
      </c>
      <c r="DH217">
        <v>0</v>
      </c>
      <c r="DI217">
        <v>0</v>
      </c>
      <c r="DJ217" s="1">
        <v>46128</v>
      </c>
      <c r="DL217" t="s">
        <v>200</v>
      </c>
      <c r="DM217" t="s">
        <v>172</v>
      </c>
      <c r="DN217" t="s">
        <v>525</v>
      </c>
      <c r="DV217" s="3">
        <v>230349</v>
      </c>
      <c r="DW217">
        <v>0</v>
      </c>
      <c r="DX217" s="3">
        <v>230349</v>
      </c>
      <c r="DY217">
        <v>0</v>
      </c>
      <c r="EF217" s="1">
        <v>46129</v>
      </c>
      <c r="EG217" s="1">
        <v>46126</v>
      </c>
      <c r="EK217" s="1">
        <v>46129</v>
      </c>
      <c r="EN217" t="s">
        <v>156</v>
      </c>
      <c r="EP217" s="1">
        <v>46126</v>
      </c>
      <c r="ET217" t="s">
        <v>1699</v>
      </c>
      <c r="EU217" s="1">
        <v>46125</v>
      </c>
      <c r="EW217" s="1">
        <v>46123</v>
      </c>
    </row>
    <row r="218" spans="1:153" ht="246.5" x14ac:dyDescent="0.35">
      <c r="A218" t="str">
        <f>HYPERLINK("https://7lm.cvcrm.com.br/gestor/comercial/reservas/6942/administrar","6942")</f>
        <v>6942</v>
      </c>
      <c r="B218" t="s">
        <v>156</v>
      </c>
      <c r="C218" s="1">
        <v>46122</v>
      </c>
      <c r="D218" s="2">
        <v>0.75877314814814811</v>
      </c>
      <c r="E218" t="s">
        <v>294</v>
      </c>
      <c r="F218" t="s">
        <v>182</v>
      </c>
      <c r="G218" t="s">
        <v>159</v>
      </c>
      <c r="H218" t="s">
        <v>362</v>
      </c>
      <c r="I218" t="s">
        <v>562</v>
      </c>
      <c r="J218">
        <v>1</v>
      </c>
      <c r="L218">
        <v>30151</v>
      </c>
      <c r="M218" t="s">
        <v>1700</v>
      </c>
      <c r="N218" s="1">
        <v>46136</v>
      </c>
      <c r="O218" s="2">
        <v>0.69767361111111115</v>
      </c>
      <c r="R218" t="str">
        <f>HYPERLINK("https://7lm.cvcrm.com.br/gestor/relatorios/associado/html?q[1|r.idreserva]=6942","LORRANY ROCHA DOS SANTOS")</f>
        <v>LORRANY ROCHA DOS SANTOS</v>
      </c>
      <c r="S218">
        <v>8377063190</v>
      </c>
      <c r="T218">
        <v>5562996711394</v>
      </c>
      <c r="U218">
        <v>5562999952128</v>
      </c>
      <c r="V218" t="s">
        <v>1701</v>
      </c>
      <c r="W218" t="s">
        <v>187</v>
      </c>
      <c r="X218" t="s">
        <v>376</v>
      </c>
      <c r="Y218" t="s">
        <v>189</v>
      </c>
      <c r="Z218" t="s">
        <v>190</v>
      </c>
      <c r="AA218" t="s">
        <v>500</v>
      </c>
      <c r="AB218" t="s">
        <v>1702</v>
      </c>
      <c r="AC218" t="s">
        <v>881</v>
      </c>
      <c r="AD218" t="s">
        <v>881</v>
      </c>
      <c r="AF218" t="s">
        <v>303</v>
      </c>
      <c r="AG218" t="s">
        <v>251</v>
      </c>
      <c r="AH218" s="3">
        <v>240657.52</v>
      </c>
      <c r="AI218" s="3">
        <v>240657.52</v>
      </c>
      <c r="AJ218" s="1">
        <v>46142</v>
      </c>
      <c r="AN218" t="s">
        <v>172</v>
      </c>
      <c r="AR218" s="7" t="s">
        <v>353</v>
      </c>
      <c r="AT218" t="s">
        <v>196</v>
      </c>
      <c r="AU218" t="s">
        <v>292</v>
      </c>
      <c r="AW218">
        <v>0</v>
      </c>
      <c r="AX218" s="1">
        <v>46132</v>
      </c>
      <c r="AY218" s="2">
        <v>0.60326388888888893</v>
      </c>
      <c r="AZ218">
        <v>199518</v>
      </c>
      <c r="BA218" s="1">
        <v>46118</v>
      </c>
      <c r="BC218" t="s">
        <v>176</v>
      </c>
      <c r="BD218" s="1">
        <v>46118</v>
      </c>
      <c r="BE218" t="s">
        <v>466</v>
      </c>
      <c r="BL218" s="4">
        <v>0</v>
      </c>
      <c r="BM218" s="1">
        <v>46899</v>
      </c>
      <c r="BN218" s="1">
        <v>46132</v>
      </c>
      <c r="BO218">
        <v>0</v>
      </c>
      <c r="BP218">
        <v>30531</v>
      </c>
      <c r="BQ218" t="s">
        <v>156</v>
      </c>
      <c r="BR218" s="3">
        <v>136096.22</v>
      </c>
      <c r="BS218" s="3">
        <v>19010</v>
      </c>
      <c r="BT218">
        <v>0</v>
      </c>
      <c r="BU218" s="3">
        <v>155106.22</v>
      </c>
      <c r="BV218" s="3">
        <v>240657.52</v>
      </c>
      <c r="BX218">
        <v>0</v>
      </c>
      <c r="BZ218">
        <v>0</v>
      </c>
      <c r="CA218">
        <v>0</v>
      </c>
      <c r="CB218">
        <v>0</v>
      </c>
      <c r="CC218" s="3">
        <v>240657.52</v>
      </c>
      <c r="CD218" s="5">
        <v>0</v>
      </c>
      <c r="CF218" s="6">
        <v>46113</v>
      </c>
      <c r="CH218">
        <v>0</v>
      </c>
      <c r="CI218">
        <v>0</v>
      </c>
      <c r="CJ218">
        <v>0</v>
      </c>
      <c r="CK218">
        <v>0</v>
      </c>
      <c r="CL218">
        <v>0</v>
      </c>
      <c r="CM218">
        <v>0</v>
      </c>
      <c r="CN218">
        <v>0</v>
      </c>
      <c r="CO218">
        <v>0</v>
      </c>
      <c r="CP218">
        <v>0</v>
      </c>
      <c r="CQ218">
        <v>0</v>
      </c>
      <c r="CR218">
        <v>0</v>
      </c>
      <c r="CS218" t="s">
        <v>360</v>
      </c>
      <c r="CT218" t="s">
        <v>190</v>
      </c>
      <c r="CU218" t="s">
        <v>562</v>
      </c>
      <c r="CW218">
        <v>-51.209400000000002</v>
      </c>
      <c r="CZ218" s="1">
        <v>46122</v>
      </c>
      <c r="DA218" t="s">
        <v>172</v>
      </c>
      <c r="DB218" t="s">
        <v>172</v>
      </c>
      <c r="DC218" t="s">
        <v>172</v>
      </c>
      <c r="DD218" t="s">
        <v>172</v>
      </c>
      <c r="DG218" s="1">
        <v>46122</v>
      </c>
      <c r="DH218">
        <v>0</v>
      </c>
      <c r="DI218">
        <v>0</v>
      </c>
      <c r="DK218" t="s">
        <v>179</v>
      </c>
      <c r="DL218" t="s">
        <v>200</v>
      </c>
      <c r="DM218" t="s">
        <v>172</v>
      </c>
      <c r="DN218" t="s">
        <v>201</v>
      </c>
      <c r="DV218" s="3">
        <v>240657.52</v>
      </c>
      <c r="DW218">
        <v>0</v>
      </c>
      <c r="DX218" s="3">
        <v>240657.52</v>
      </c>
      <c r="DY218">
        <v>0</v>
      </c>
      <c r="EG218" s="1">
        <v>46127</v>
      </c>
      <c r="EN218" t="s">
        <v>156</v>
      </c>
      <c r="EP218" s="1">
        <v>46129</v>
      </c>
      <c r="EQ218" s="1">
        <v>46128</v>
      </c>
      <c r="ER218" s="1">
        <v>46128</v>
      </c>
      <c r="ES218" t="s">
        <v>1703</v>
      </c>
      <c r="ET218" t="s">
        <v>1704</v>
      </c>
      <c r="EU218" s="1">
        <v>46129</v>
      </c>
      <c r="EV218" s="1">
        <v>46128</v>
      </c>
      <c r="EW218" s="1">
        <v>46124</v>
      </c>
    </row>
    <row r="219" spans="1:153" ht="246.5" x14ac:dyDescent="0.35">
      <c r="A219" t="str">
        <f>HYPERLINK("https://7lm.cvcrm.com.br/gestor/comercial/reservas/6941/administrar","6941")</f>
        <v>6941</v>
      </c>
      <c r="B219" t="s">
        <v>156</v>
      </c>
      <c r="C219" s="1">
        <v>46122</v>
      </c>
      <c r="D219" s="2">
        <v>0.51559027777777777</v>
      </c>
      <c r="E219" t="s">
        <v>294</v>
      </c>
      <c r="F219" t="s">
        <v>182</v>
      </c>
      <c r="G219" t="s">
        <v>159</v>
      </c>
      <c r="H219" t="s">
        <v>975</v>
      </c>
      <c r="I219" t="s">
        <v>666</v>
      </c>
      <c r="J219">
        <v>1</v>
      </c>
      <c r="L219">
        <v>30151</v>
      </c>
      <c r="M219" t="s">
        <v>1705</v>
      </c>
      <c r="N219" s="1">
        <v>46128</v>
      </c>
      <c r="O219" s="2">
        <v>0.53260416666666666</v>
      </c>
      <c r="R219" t="str">
        <f>HYPERLINK("https://7lm.cvcrm.com.br/gestor/relatorios/associado/html?q[1|r.idreserva]=6941","FELIPE OLIVEIRA BRITO")</f>
        <v>FELIPE OLIVEIRA BRITO</v>
      </c>
      <c r="S219">
        <v>3877369138</v>
      </c>
      <c r="T219">
        <v>5561999717451</v>
      </c>
      <c r="U219">
        <v>5561999746143</v>
      </c>
      <c r="V219" t="s">
        <v>1706</v>
      </c>
      <c r="W219" t="s">
        <v>163</v>
      </c>
      <c r="X219" t="s">
        <v>1707</v>
      </c>
      <c r="Y219" t="s">
        <v>189</v>
      </c>
      <c r="Z219" t="s">
        <v>190</v>
      </c>
      <c r="AA219" t="s">
        <v>1491</v>
      </c>
      <c r="AB219" t="s">
        <v>1708</v>
      </c>
      <c r="AC219" t="s">
        <v>896</v>
      </c>
      <c r="AF219" t="s">
        <v>194</v>
      </c>
      <c r="AG219" t="s">
        <v>251</v>
      </c>
      <c r="AH219" s="3">
        <v>241000.24</v>
      </c>
      <c r="AI219" s="3">
        <v>241000.24</v>
      </c>
      <c r="AJ219" s="1">
        <v>46183</v>
      </c>
      <c r="AN219" t="s">
        <v>172</v>
      </c>
      <c r="AR219" s="7" t="s">
        <v>353</v>
      </c>
      <c r="AT219" t="s">
        <v>196</v>
      </c>
      <c r="AU219" t="s">
        <v>292</v>
      </c>
      <c r="AW219">
        <v>0</v>
      </c>
      <c r="AX219" s="1">
        <v>46134</v>
      </c>
      <c r="AY219" s="2">
        <v>0.77597222222222217</v>
      </c>
      <c r="AZ219">
        <v>82825</v>
      </c>
      <c r="BA219" s="1">
        <v>44948</v>
      </c>
      <c r="BB219" s="1">
        <v>46072</v>
      </c>
      <c r="BC219" t="s">
        <v>0</v>
      </c>
      <c r="BD219" s="1">
        <v>46122</v>
      </c>
      <c r="BE219" t="s">
        <v>317</v>
      </c>
      <c r="BL219" s="4">
        <v>0</v>
      </c>
      <c r="BM219" s="1">
        <v>46899</v>
      </c>
      <c r="BN219" s="1">
        <v>46134</v>
      </c>
      <c r="BO219">
        <v>0</v>
      </c>
      <c r="BP219">
        <v>28741</v>
      </c>
      <c r="BQ219" t="s">
        <v>156</v>
      </c>
      <c r="BR219" s="3">
        <v>180000</v>
      </c>
      <c r="BS219" s="3">
        <v>1810</v>
      </c>
      <c r="BT219">
        <v>0</v>
      </c>
      <c r="BU219" s="3">
        <v>181810</v>
      </c>
      <c r="BV219" s="3">
        <v>241000.24</v>
      </c>
      <c r="BX219">
        <v>0</v>
      </c>
      <c r="BZ219">
        <v>0</v>
      </c>
      <c r="CA219">
        <v>0</v>
      </c>
      <c r="CB219">
        <v>0</v>
      </c>
      <c r="CC219" s="3">
        <v>241000.24</v>
      </c>
      <c r="CD219" s="5">
        <v>0</v>
      </c>
      <c r="CF219" s="6">
        <v>46113</v>
      </c>
      <c r="CH219">
        <v>0</v>
      </c>
      <c r="CI219">
        <v>0</v>
      </c>
      <c r="CJ219">
        <v>0</v>
      </c>
      <c r="CK219">
        <v>0</v>
      </c>
      <c r="CL219">
        <v>0</v>
      </c>
      <c r="CM219">
        <v>0</v>
      </c>
      <c r="CN219">
        <v>0</v>
      </c>
      <c r="CO219">
        <v>0</v>
      </c>
      <c r="CP219">
        <v>0</v>
      </c>
      <c r="CQ219">
        <v>0</v>
      </c>
      <c r="CR219">
        <v>0</v>
      </c>
      <c r="CS219" t="s">
        <v>199</v>
      </c>
      <c r="CT219" t="s">
        <v>190</v>
      </c>
      <c r="CU219" t="s">
        <v>666</v>
      </c>
      <c r="CW219">
        <v>-54.733199999999997</v>
      </c>
      <c r="CZ219" s="1">
        <v>46122</v>
      </c>
      <c r="DA219" t="s">
        <v>172</v>
      </c>
      <c r="DB219" t="s">
        <v>172</v>
      </c>
      <c r="DC219" t="s">
        <v>172</v>
      </c>
      <c r="DD219" t="s">
        <v>172</v>
      </c>
      <c r="DG219" s="1">
        <v>46122</v>
      </c>
      <c r="DH219">
        <v>0</v>
      </c>
      <c r="DI219">
        <v>0</v>
      </c>
      <c r="DK219" t="s">
        <v>179</v>
      </c>
      <c r="DL219" t="s">
        <v>200</v>
      </c>
      <c r="DM219" t="s">
        <v>172</v>
      </c>
      <c r="DN219" t="s">
        <v>201</v>
      </c>
      <c r="DV219" s="3">
        <v>241000.24</v>
      </c>
      <c r="DW219">
        <v>0</v>
      </c>
      <c r="DX219" s="3">
        <v>241000.24</v>
      </c>
      <c r="DY219">
        <v>0</v>
      </c>
      <c r="EG219" s="1">
        <v>46128</v>
      </c>
      <c r="EM219" s="1">
        <v>46127</v>
      </c>
      <c r="EN219" t="s">
        <v>156</v>
      </c>
      <c r="EP219" s="1">
        <v>46126</v>
      </c>
      <c r="ER219" s="1">
        <v>46126</v>
      </c>
      <c r="ES219" t="s">
        <v>1709</v>
      </c>
      <c r="EU219" s="1">
        <v>46127</v>
      </c>
      <c r="EW219" s="1">
        <v>46122</v>
      </c>
    </row>
    <row r="220" spans="1:153" x14ac:dyDescent="0.35">
      <c r="A220" t="str">
        <f>HYPERLINK("https://7lm.cvcrm.com.br/gestor/comercial/reservas/6940/administrar","6940")</f>
        <v>6940</v>
      </c>
      <c r="B220" t="s">
        <v>156</v>
      </c>
      <c r="C220" s="1">
        <v>46122</v>
      </c>
      <c r="D220" s="2">
        <v>0.47810185185185183</v>
      </c>
      <c r="E220" t="s">
        <v>294</v>
      </c>
      <c r="F220" t="s">
        <v>957</v>
      </c>
      <c r="G220" t="s">
        <v>159</v>
      </c>
      <c r="H220" t="s">
        <v>1371</v>
      </c>
      <c r="I220" t="s">
        <v>1710</v>
      </c>
      <c r="J220">
        <v>1</v>
      </c>
      <c r="L220">
        <v>30121</v>
      </c>
      <c r="M220" t="s">
        <v>1711</v>
      </c>
      <c r="N220" s="1">
        <v>46123</v>
      </c>
      <c r="O220" s="2">
        <v>0.45064814814814813</v>
      </c>
      <c r="R220" t="str">
        <f>HYPERLINK("https://7lm.cvcrm.com.br/gestor/relatorios/associado/html?q[1|r.idreserva]=6940","JOÃO VITOR DE OLIVEIRA MENEZES")</f>
        <v>JOÃO VITOR DE OLIVEIRA MENEZES</v>
      </c>
      <c r="S220">
        <v>85994282502</v>
      </c>
      <c r="T220">
        <v>5561991170617</v>
      </c>
      <c r="U220">
        <v>555599652564</v>
      </c>
      <c r="V220" t="s">
        <v>1712</v>
      </c>
      <c r="W220" t="s">
        <v>163</v>
      </c>
      <c r="X220" t="s">
        <v>1713</v>
      </c>
      <c r="Y220" t="s">
        <v>189</v>
      </c>
      <c r="Z220" t="s">
        <v>190</v>
      </c>
      <c r="AA220" t="s">
        <v>1604</v>
      </c>
      <c r="AB220" t="s">
        <v>1714</v>
      </c>
      <c r="AC220" t="s">
        <v>589</v>
      </c>
      <c r="AF220" t="s">
        <v>194</v>
      </c>
      <c r="AG220" t="s">
        <v>195</v>
      </c>
      <c r="AH220" s="3">
        <v>265800</v>
      </c>
      <c r="AI220" s="3">
        <v>265800</v>
      </c>
      <c r="AJ220" s="1">
        <v>46198</v>
      </c>
      <c r="AN220" t="s">
        <v>172</v>
      </c>
      <c r="AR220" t="s">
        <v>1715</v>
      </c>
      <c r="AT220" t="s">
        <v>196</v>
      </c>
      <c r="AU220" t="s">
        <v>1509</v>
      </c>
      <c r="AW220">
        <v>0</v>
      </c>
      <c r="AX220" s="1">
        <v>46127</v>
      </c>
      <c r="AY220" s="2">
        <v>0.50013888888888891</v>
      </c>
      <c r="AZ220">
        <v>146464</v>
      </c>
      <c r="BA220" s="1">
        <v>45681</v>
      </c>
      <c r="BC220" t="s">
        <v>0</v>
      </c>
      <c r="BD220" s="1">
        <v>46122</v>
      </c>
      <c r="BE220" t="s">
        <v>317</v>
      </c>
      <c r="BL220" s="4">
        <v>0</v>
      </c>
      <c r="BM220" s="1">
        <v>47031</v>
      </c>
      <c r="BN220" s="1">
        <v>46127</v>
      </c>
      <c r="BO220">
        <v>0</v>
      </c>
      <c r="BP220">
        <v>30482</v>
      </c>
      <c r="BQ220" t="s">
        <v>156</v>
      </c>
      <c r="BR220" s="3">
        <v>180000</v>
      </c>
      <c r="BS220">
        <v>0</v>
      </c>
      <c r="BT220">
        <v>0</v>
      </c>
      <c r="BU220" s="3">
        <v>180000</v>
      </c>
      <c r="BV220" s="3">
        <v>265800</v>
      </c>
      <c r="BX220">
        <v>0</v>
      </c>
      <c r="BZ220">
        <v>0</v>
      </c>
      <c r="CA220">
        <v>0</v>
      </c>
      <c r="CB220">
        <v>0</v>
      </c>
      <c r="CC220" s="3">
        <v>265800</v>
      </c>
      <c r="CD220" s="5">
        <v>0</v>
      </c>
      <c r="CF220" s="6">
        <v>46113</v>
      </c>
      <c r="CH220">
        <v>0</v>
      </c>
      <c r="CI220">
        <v>0</v>
      </c>
      <c r="CJ220">
        <v>0</v>
      </c>
      <c r="CK220">
        <v>0</v>
      </c>
      <c r="CL220">
        <v>0</v>
      </c>
      <c r="CM220">
        <v>0</v>
      </c>
      <c r="CN220">
        <v>0</v>
      </c>
      <c r="CO220">
        <v>0</v>
      </c>
      <c r="CP220">
        <v>0</v>
      </c>
      <c r="CQ220">
        <v>0</v>
      </c>
      <c r="CR220">
        <v>0</v>
      </c>
      <c r="CS220" t="s">
        <v>199</v>
      </c>
      <c r="CT220" t="s">
        <v>190</v>
      </c>
      <c r="CU220" t="s">
        <v>1710</v>
      </c>
      <c r="CW220">
        <v>-50.5396</v>
      </c>
      <c r="CZ220" s="1">
        <v>46122</v>
      </c>
      <c r="DA220" t="s">
        <v>172</v>
      </c>
      <c r="DB220" t="s">
        <v>172</v>
      </c>
      <c r="DC220" t="s">
        <v>172</v>
      </c>
      <c r="DD220" t="s">
        <v>172</v>
      </c>
      <c r="DG220" s="1">
        <v>46122</v>
      </c>
      <c r="DH220">
        <v>0</v>
      </c>
      <c r="DI220">
        <v>0</v>
      </c>
      <c r="DL220" t="s">
        <v>963</v>
      </c>
      <c r="DM220" t="s">
        <v>172</v>
      </c>
      <c r="DN220" t="s">
        <v>511</v>
      </c>
      <c r="DV220" s="3">
        <v>265800</v>
      </c>
      <c r="DW220">
        <v>0</v>
      </c>
      <c r="DX220" s="3">
        <v>265800</v>
      </c>
      <c r="DY220">
        <v>0</v>
      </c>
      <c r="EG220" s="1">
        <v>46122</v>
      </c>
      <c r="EP220" s="1">
        <v>46126</v>
      </c>
      <c r="ER220" s="1">
        <v>46125</v>
      </c>
      <c r="ES220" t="s">
        <v>1716</v>
      </c>
    </row>
    <row r="221" spans="1:153" ht="87" x14ac:dyDescent="0.35">
      <c r="A221" t="str">
        <f>HYPERLINK("https://7lm.cvcrm.com.br/gestor/comercial/reservas/6939/administrar","6939")</f>
        <v>6939</v>
      </c>
      <c r="B221" t="s">
        <v>156</v>
      </c>
      <c r="C221" s="1">
        <v>46122</v>
      </c>
      <c r="D221" s="2">
        <v>0.47530092592592593</v>
      </c>
      <c r="E221" t="s">
        <v>294</v>
      </c>
      <c r="F221" t="s">
        <v>158</v>
      </c>
      <c r="G221" t="s">
        <v>159</v>
      </c>
      <c r="H221" t="s">
        <v>160</v>
      </c>
      <c r="I221">
        <v>1103</v>
      </c>
      <c r="J221">
        <v>1</v>
      </c>
      <c r="K221">
        <v>8416</v>
      </c>
      <c r="L221">
        <v>10001</v>
      </c>
      <c r="M221" t="s">
        <v>1717</v>
      </c>
      <c r="N221" s="1">
        <v>46150</v>
      </c>
      <c r="O221" s="2">
        <v>0.7049305555555555</v>
      </c>
      <c r="Q221">
        <v>9935</v>
      </c>
      <c r="R221" t="str">
        <f>HYPERLINK("https://7lm.cvcrm.com.br/gestor/relatorios/associado/html?q[1|r.idreserva]=6939","DANIEL LUCAS NUNES BRITO")</f>
        <v>DANIEL LUCAS NUNES BRITO</v>
      </c>
      <c r="S221">
        <v>5851555181</v>
      </c>
      <c r="T221">
        <v>5561999640962</v>
      </c>
      <c r="U221">
        <v>5561999640962</v>
      </c>
      <c r="V221" t="s">
        <v>1718</v>
      </c>
      <c r="W221" t="s">
        <v>163</v>
      </c>
      <c r="X221" t="s">
        <v>1719</v>
      </c>
      <c r="Y221" t="s">
        <v>165</v>
      </c>
      <c r="Z221" t="s">
        <v>385</v>
      </c>
      <c r="AA221" t="s">
        <v>386</v>
      </c>
      <c r="AB221" t="s">
        <v>1720</v>
      </c>
      <c r="AC221" t="s">
        <v>260</v>
      </c>
      <c r="AE221" t="s">
        <v>169</v>
      </c>
      <c r="AF221" t="s">
        <v>170</v>
      </c>
      <c r="AG221" t="s">
        <v>171</v>
      </c>
      <c r="AH221" s="3">
        <v>447440</v>
      </c>
      <c r="AI221" s="3">
        <v>447440</v>
      </c>
      <c r="AJ221" s="1">
        <v>46132</v>
      </c>
      <c r="AN221" t="s">
        <v>172</v>
      </c>
      <c r="AR221" s="7" t="s">
        <v>1149</v>
      </c>
      <c r="AT221" t="s">
        <v>261</v>
      </c>
      <c r="AU221" t="s">
        <v>262</v>
      </c>
      <c r="AW221">
        <v>0</v>
      </c>
      <c r="AX221" s="1">
        <v>46150</v>
      </c>
      <c r="AY221" s="2">
        <v>0.70747685185185183</v>
      </c>
      <c r="AZ221">
        <v>199143</v>
      </c>
      <c r="BA221" s="1">
        <v>46116</v>
      </c>
      <c r="BC221" t="s">
        <v>176</v>
      </c>
      <c r="BD221" s="1">
        <v>46116</v>
      </c>
      <c r="BE221" t="s">
        <v>262</v>
      </c>
      <c r="BL221" s="4">
        <v>0</v>
      </c>
      <c r="BM221" s="1">
        <v>46387</v>
      </c>
      <c r="BN221" s="1">
        <v>46150</v>
      </c>
      <c r="BO221">
        <v>0</v>
      </c>
      <c r="BP221">
        <v>30510</v>
      </c>
      <c r="BQ221" t="s">
        <v>156</v>
      </c>
      <c r="BR221" s="3">
        <v>375189.82</v>
      </c>
      <c r="BS221">
        <v>0</v>
      </c>
      <c r="BT221">
        <v>0</v>
      </c>
      <c r="BU221" s="3">
        <v>375189.82</v>
      </c>
      <c r="BV221" s="3">
        <v>447440</v>
      </c>
      <c r="BX221">
        <v>0</v>
      </c>
      <c r="BZ221">
        <v>0</v>
      </c>
      <c r="CA221">
        <v>0</v>
      </c>
      <c r="CB221">
        <v>0</v>
      </c>
      <c r="CC221" s="3">
        <v>447440</v>
      </c>
      <c r="CD221" s="5">
        <v>0</v>
      </c>
      <c r="CF221" s="6">
        <v>46143</v>
      </c>
      <c r="CH221">
        <v>0</v>
      </c>
      <c r="CI221">
        <v>0</v>
      </c>
      <c r="CJ221">
        <v>0</v>
      </c>
      <c r="CK221">
        <v>0</v>
      </c>
      <c r="CL221">
        <v>0</v>
      </c>
      <c r="CM221">
        <v>0</v>
      </c>
      <c r="CN221">
        <v>0</v>
      </c>
      <c r="CO221">
        <v>0</v>
      </c>
      <c r="CP221">
        <v>0</v>
      </c>
      <c r="CQ221">
        <v>0</v>
      </c>
      <c r="CR221">
        <v>0</v>
      </c>
      <c r="CS221" t="s">
        <v>649</v>
      </c>
      <c r="CT221" t="s">
        <v>178</v>
      </c>
      <c r="CU221">
        <v>1103</v>
      </c>
      <c r="CW221">
        <v>-56.2256</v>
      </c>
      <c r="CZ221" s="1">
        <v>46122</v>
      </c>
      <c r="DA221" t="s">
        <v>172</v>
      </c>
      <c r="DB221" t="s">
        <v>172</v>
      </c>
      <c r="DC221" t="s">
        <v>172</v>
      </c>
      <c r="DD221" t="s">
        <v>172</v>
      </c>
      <c r="DG221" s="1">
        <v>46122</v>
      </c>
      <c r="DH221">
        <v>0</v>
      </c>
      <c r="DI221">
        <v>0</v>
      </c>
      <c r="DJ221" s="1">
        <v>46150</v>
      </c>
      <c r="DK221" t="s">
        <v>179</v>
      </c>
      <c r="DM221" t="s">
        <v>172</v>
      </c>
      <c r="DN221" t="s">
        <v>553</v>
      </c>
      <c r="DU221" t="s">
        <v>734</v>
      </c>
      <c r="DV221" s="3">
        <v>595500</v>
      </c>
      <c r="DW221">
        <v>-57.1</v>
      </c>
      <c r="DX221" s="3">
        <v>595500</v>
      </c>
      <c r="DY221">
        <v>-57.1</v>
      </c>
    </row>
    <row r="222" spans="1:153" x14ac:dyDescent="0.35">
      <c r="A222" t="str">
        <f>HYPERLINK("https://7lm.cvcrm.com.br/gestor/comercial/reservas/6938/administrar","6938")</f>
        <v>6938</v>
      </c>
      <c r="B222" t="s">
        <v>172</v>
      </c>
      <c r="C222" s="1">
        <v>46121</v>
      </c>
      <c r="D222" s="2">
        <v>0.79667824074074078</v>
      </c>
      <c r="E222" t="s">
        <v>157</v>
      </c>
      <c r="F222" t="s">
        <v>182</v>
      </c>
      <c r="G222" t="s">
        <v>159</v>
      </c>
      <c r="H222" t="s">
        <v>636</v>
      </c>
      <c r="I222" t="s">
        <v>1721</v>
      </c>
      <c r="J222">
        <v>1</v>
      </c>
      <c r="L222">
        <v>30151</v>
      </c>
      <c r="M222" t="s">
        <v>1722</v>
      </c>
      <c r="R222" t="str">
        <f>HYPERLINK("https://7lm.cvcrm.com.br/gestor/relatorios/associado/html?q[1|r.idreserva]=6938","EMILLY FERNANDES TORRES")</f>
        <v>EMILLY FERNANDES TORRES</v>
      </c>
      <c r="S222">
        <v>11702780198</v>
      </c>
      <c r="T222">
        <v>5561998657589</v>
      </c>
      <c r="V222" t="s">
        <v>1723</v>
      </c>
      <c r="W222" t="s">
        <v>187</v>
      </c>
      <c r="X222" t="s">
        <v>376</v>
      </c>
      <c r="Y222" t="s">
        <v>189</v>
      </c>
      <c r="Z222" t="s">
        <v>190</v>
      </c>
      <c r="AA222" t="s">
        <v>1096</v>
      </c>
      <c r="AB222" t="s">
        <v>1724</v>
      </c>
      <c r="AC222" t="s">
        <v>589</v>
      </c>
      <c r="AF222" t="s">
        <v>194</v>
      </c>
      <c r="AG222" t="s">
        <v>195</v>
      </c>
      <c r="AH222" s="3">
        <v>241000.61</v>
      </c>
      <c r="AI222" s="3">
        <v>241000.61</v>
      </c>
      <c r="AJ222" s="1">
        <v>46182</v>
      </c>
      <c r="AN222" t="s">
        <v>172</v>
      </c>
      <c r="AT222" t="s">
        <v>261</v>
      </c>
      <c r="AU222" t="s">
        <v>292</v>
      </c>
      <c r="AW222">
        <v>0</v>
      </c>
      <c r="AX222" s="1">
        <v>46121</v>
      </c>
      <c r="AY222" s="2">
        <v>0.79667824074074078</v>
      </c>
      <c r="AZ222">
        <v>158571</v>
      </c>
      <c r="BA222" s="1">
        <v>45798</v>
      </c>
      <c r="BC222" t="s">
        <v>1725</v>
      </c>
      <c r="BD222" s="1">
        <v>45798</v>
      </c>
      <c r="BE222" t="s">
        <v>317</v>
      </c>
      <c r="BL222" s="4">
        <v>0</v>
      </c>
      <c r="BM222" s="1">
        <v>46899</v>
      </c>
      <c r="BO222">
        <v>0</v>
      </c>
      <c r="BP222">
        <v>30696</v>
      </c>
      <c r="BQ222" t="s">
        <v>156</v>
      </c>
      <c r="BR222" s="3">
        <v>122913.21</v>
      </c>
      <c r="BS222" s="3">
        <v>37185</v>
      </c>
      <c r="BT222">
        <v>0</v>
      </c>
      <c r="BU222" s="3">
        <v>160098.21</v>
      </c>
      <c r="BV222" s="3">
        <v>241000.61</v>
      </c>
      <c r="BX222">
        <v>0</v>
      </c>
      <c r="BZ222">
        <v>0</v>
      </c>
      <c r="CA222">
        <v>0</v>
      </c>
      <c r="CB222">
        <v>0</v>
      </c>
      <c r="CC222" s="3">
        <v>241000.61</v>
      </c>
      <c r="CD222" s="5">
        <v>0</v>
      </c>
      <c r="CF222" s="6">
        <v>46143</v>
      </c>
      <c r="CH222">
        <v>0</v>
      </c>
      <c r="CI222">
        <v>0</v>
      </c>
      <c r="CJ222">
        <v>0</v>
      </c>
      <c r="CK222">
        <v>0</v>
      </c>
      <c r="CL222">
        <v>0</v>
      </c>
      <c r="CM222">
        <v>0</v>
      </c>
      <c r="CN222">
        <v>0</v>
      </c>
      <c r="CO222">
        <v>0</v>
      </c>
      <c r="CP222">
        <v>0</v>
      </c>
      <c r="CQ222">
        <v>0</v>
      </c>
      <c r="CR222">
        <v>0</v>
      </c>
      <c r="CT222" t="s">
        <v>190</v>
      </c>
      <c r="CU222" t="s">
        <v>1721</v>
      </c>
      <c r="CW222">
        <v>0</v>
      </c>
      <c r="CZ222" s="1">
        <v>46121</v>
      </c>
      <c r="DA222" t="s">
        <v>172</v>
      </c>
      <c r="DB222" t="s">
        <v>172</v>
      </c>
      <c r="DC222" t="s">
        <v>172</v>
      </c>
      <c r="DD222" t="s">
        <v>172</v>
      </c>
      <c r="DG222" s="1">
        <v>46121</v>
      </c>
      <c r="DH222">
        <v>0</v>
      </c>
      <c r="DI222">
        <v>0</v>
      </c>
      <c r="DK222" t="s">
        <v>179</v>
      </c>
      <c r="DL222" t="s">
        <v>200</v>
      </c>
      <c r="DM222" t="s">
        <v>172</v>
      </c>
      <c r="DN222" t="s">
        <v>201</v>
      </c>
      <c r="DU222" t="s">
        <v>440</v>
      </c>
      <c r="DV222" s="3">
        <v>291399.39</v>
      </c>
      <c r="DW222">
        <v>-54.73</v>
      </c>
      <c r="DX222" s="3">
        <v>291399.39</v>
      </c>
      <c r="DY222">
        <v>-54.73</v>
      </c>
      <c r="EN222" t="s">
        <v>172</v>
      </c>
      <c r="ET222" t="s">
        <v>802</v>
      </c>
      <c r="EU222" s="1">
        <v>46129</v>
      </c>
      <c r="EW222" s="1">
        <v>46121</v>
      </c>
    </row>
    <row r="223" spans="1:153" ht="246.5" x14ac:dyDescent="0.35">
      <c r="A223" t="str">
        <f>HYPERLINK("https://7lm.cvcrm.com.br/gestor/comercial/reservas/6937/administrar","6937")</f>
        <v>6937</v>
      </c>
      <c r="B223" t="s">
        <v>156</v>
      </c>
      <c r="C223" s="1">
        <v>46121</v>
      </c>
      <c r="D223" s="2">
        <v>0.71699074074074076</v>
      </c>
      <c r="E223" t="s">
        <v>294</v>
      </c>
      <c r="F223" t="s">
        <v>182</v>
      </c>
      <c r="G223" t="s">
        <v>159</v>
      </c>
      <c r="H223" t="s">
        <v>592</v>
      </c>
      <c r="I223" t="s">
        <v>942</v>
      </c>
      <c r="J223">
        <v>1</v>
      </c>
      <c r="K223">
        <v>8344</v>
      </c>
      <c r="L223">
        <v>30151</v>
      </c>
      <c r="M223" t="s">
        <v>1726</v>
      </c>
      <c r="N223" s="1">
        <v>46136</v>
      </c>
      <c r="O223" s="2">
        <v>0.62070601851851848</v>
      </c>
      <c r="R223" t="str">
        <f>HYPERLINK("https://7lm.cvcrm.com.br/gestor/relatorios/associado/html?q[1|r.idreserva]=6937","MARIA EDUARDA NOGUEIRA DA COSTA")</f>
        <v>MARIA EDUARDA NOGUEIRA DA COSTA</v>
      </c>
      <c r="S223">
        <v>10590565184</v>
      </c>
      <c r="T223">
        <v>556196155883</v>
      </c>
      <c r="U223">
        <v>5561996154918</v>
      </c>
      <c r="V223" t="s">
        <v>1727</v>
      </c>
      <c r="W223" t="s">
        <v>187</v>
      </c>
      <c r="X223" t="s">
        <v>366</v>
      </c>
      <c r="Y223" t="s">
        <v>189</v>
      </c>
      <c r="Z223" t="s">
        <v>190</v>
      </c>
      <c r="AA223" t="s">
        <v>423</v>
      </c>
      <c r="AB223" t="s">
        <v>1728</v>
      </c>
      <c r="AC223" t="s">
        <v>1251</v>
      </c>
      <c r="AD223" t="s">
        <v>1251</v>
      </c>
      <c r="AF223" t="s">
        <v>250</v>
      </c>
      <c r="AG223" t="s">
        <v>195</v>
      </c>
      <c r="AH223" s="3">
        <v>240657.61</v>
      </c>
      <c r="AI223" s="3">
        <v>240657.61</v>
      </c>
      <c r="AJ223" s="1">
        <v>46151</v>
      </c>
      <c r="AN223" t="s">
        <v>172</v>
      </c>
      <c r="AR223" s="7" t="s">
        <v>353</v>
      </c>
      <c r="AT223" t="s">
        <v>261</v>
      </c>
      <c r="AU223" t="s">
        <v>175</v>
      </c>
      <c r="AW223">
        <v>0</v>
      </c>
      <c r="AX223" s="1">
        <v>46134</v>
      </c>
      <c r="AY223" s="2">
        <v>0.77954861111111107</v>
      </c>
      <c r="AZ223">
        <v>192195</v>
      </c>
      <c r="BA223" s="1">
        <v>46079</v>
      </c>
      <c r="BC223" t="s">
        <v>0</v>
      </c>
      <c r="BD223" s="1">
        <v>46121</v>
      </c>
      <c r="BE223" t="s">
        <v>198</v>
      </c>
      <c r="BL223" s="4">
        <v>0</v>
      </c>
      <c r="BM223" s="1">
        <v>46899</v>
      </c>
      <c r="BN223" s="1">
        <v>46134</v>
      </c>
      <c r="BO223">
        <v>0</v>
      </c>
      <c r="BP223">
        <v>29540</v>
      </c>
      <c r="BQ223" t="s">
        <v>156</v>
      </c>
      <c r="BR223" s="3">
        <v>140190.69</v>
      </c>
      <c r="BS223" s="3">
        <v>22390</v>
      </c>
      <c r="BT223">
        <v>0</v>
      </c>
      <c r="BU223" s="3">
        <v>162580.69</v>
      </c>
      <c r="BV223" s="3">
        <v>240657.61</v>
      </c>
      <c r="BX223">
        <v>0</v>
      </c>
      <c r="BZ223">
        <v>0</v>
      </c>
      <c r="CA223">
        <v>0</v>
      </c>
      <c r="CB223">
        <v>0</v>
      </c>
      <c r="CC223" s="3">
        <v>240657.61</v>
      </c>
      <c r="CD223" s="5">
        <v>0</v>
      </c>
      <c r="CF223" s="6">
        <v>46113</v>
      </c>
      <c r="CH223">
        <v>0</v>
      </c>
      <c r="CI223">
        <v>0</v>
      </c>
      <c r="CJ223">
        <v>0</v>
      </c>
      <c r="CK223">
        <v>0</v>
      </c>
      <c r="CL223">
        <v>0</v>
      </c>
      <c r="CM223">
        <v>0</v>
      </c>
      <c r="CN223">
        <v>0</v>
      </c>
      <c r="CO223">
        <v>0</v>
      </c>
      <c r="CP223">
        <v>0</v>
      </c>
      <c r="CQ223">
        <v>0</v>
      </c>
      <c r="CR223">
        <v>0</v>
      </c>
      <c r="CS223" t="s">
        <v>360</v>
      </c>
      <c r="CT223" t="s">
        <v>190</v>
      </c>
      <c r="CU223" t="s">
        <v>942</v>
      </c>
      <c r="CW223">
        <v>-52.1188</v>
      </c>
      <c r="CZ223" s="1">
        <v>46121</v>
      </c>
      <c r="DA223" t="s">
        <v>172</v>
      </c>
      <c r="DB223" t="s">
        <v>172</v>
      </c>
      <c r="DC223" t="s">
        <v>172</v>
      </c>
      <c r="DD223" t="s">
        <v>172</v>
      </c>
      <c r="DG223" s="1">
        <v>46121</v>
      </c>
      <c r="DH223">
        <v>0</v>
      </c>
      <c r="DI223">
        <v>0</v>
      </c>
      <c r="DK223" t="s">
        <v>179</v>
      </c>
      <c r="DL223" t="s">
        <v>200</v>
      </c>
      <c r="DM223" t="s">
        <v>172</v>
      </c>
      <c r="DN223" t="s">
        <v>201</v>
      </c>
      <c r="DV223" s="3">
        <v>240657.61</v>
      </c>
      <c r="DW223">
        <v>0</v>
      </c>
      <c r="DX223" s="3">
        <v>240657.61</v>
      </c>
      <c r="DY223">
        <v>0</v>
      </c>
      <c r="EG223" s="1">
        <v>46132</v>
      </c>
      <c r="EN223" t="s">
        <v>156</v>
      </c>
      <c r="EP223" s="1">
        <v>46129</v>
      </c>
      <c r="ER223" s="1">
        <v>46127</v>
      </c>
      <c r="ES223" t="s">
        <v>1729</v>
      </c>
      <c r="ET223" t="s">
        <v>1730</v>
      </c>
      <c r="EU223" s="1">
        <v>46127</v>
      </c>
      <c r="EW223" s="1">
        <v>46121</v>
      </c>
    </row>
    <row r="224" spans="1:153" ht="246.5" x14ac:dyDescent="0.35">
      <c r="A224" t="str">
        <f>HYPERLINK("https://7lm.cvcrm.com.br/gestor/comercial/reservas/6936/administrar","6936")</f>
        <v>6936</v>
      </c>
      <c r="B224" t="s">
        <v>156</v>
      </c>
      <c r="C224" s="1">
        <v>46121</v>
      </c>
      <c r="D224" s="2">
        <v>0.69145833333333329</v>
      </c>
      <c r="E224" t="s">
        <v>294</v>
      </c>
      <c r="F224" t="s">
        <v>216</v>
      </c>
      <c r="G224" t="s">
        <v>159</v>
      </c>
      <c r="H224" t="s">
        <v>306</v>
      </c>
      <c r="I224" t="s">
        <v>307</v>
      </c>
      <c r="J224">
        <v>1</v>
      </c>
      <c r="K224">
        <v>8324</v>
      </c>
      <c r="L224">
        <v>20061</v>
      </c>
      <c r="M224" t="s">
        <v>1731</v>
      </c>
      <c r="N224" s="1">
        <v>46129</v>
      </c>
      <c r="O224" s="2">
        <v>0.45921296296296299</v>
      </c>
      <c r="R224" t="str">
        <f>HYPERLINK("https://7lm.cvcrm.com.br/gestor/relatorios/associado/html?q[1|r.idreserva]=6936","CARLOS EDUARDO LOPES CONCEIÇÃO")</f>
        <v>CARLOS EDUARDO LOPES CONCEIÇÃO</v>
      </c>
      <c r="S224">
        <v>8795679103</v>
      </c>
      <c r="T224">
        <v>5561996917998</v>
      </c>
      <c r="V224" t="s">
        <v>1732</v>
      </c>
      <c r="W224" t="s">
        <v>163</v>
      </c>
      <c r="X224" t="s">
        <v>299</v>
      </c>
      <c r="Y224" t="s">
        <v>189</v>
      </c>
      <c r="Z224" t="s">
        <v>1733</v>
      </c>
      <c r="AA224" t="s">
        <v>1734</v>
      </c>
      <c r="AB224" t="s">
        <v>1735</v>
      </c>
      <c r="AC224" t="s">
        <v>1056</v>
      </c>
      <c r="AF224" t="s">
        <v>399</v>
      </c>
      <c r="AG224" t="s">
        <v>195</v>
      </c>
      <c r="AH224" s="3">
        <v>218529.97</v>
      </c>
      <c r="AI224" s="3">
        <v>218529.97</v>
      </c>
      <c r="AJ224" s="1">
        <v>46121</v>
      </c>
      <c r="AN224" t="s">
        <v>172</v>
      </c>
      <c r="AR224" s="7" t="s">
        <v>353</v>
      </c>
      <c r="AT224" t="s">
        <v>196</v>
      </c>
      <c r="AU224" t="s">
        <v>292</v>
      </c>
      <c r="AW224">
        <v>0</v>
      </c>
      <c r="AX224" s="1">
        <v>46127</v>
      </c>
      <c r="AY224" s="2">
        <v>0.6504050925925926</v>
      </c>
      <c r="AZ224">
        <v>198400</v>
      </c>
      <c r="BA224" s="1">
        <v>46112</v>
      </c>
      <c r="BC224" t="s">
        <v>0</v>
      </c>
      <c r="BD224" s="1">
        <v>46121</v>
      </c>
      <c r="BE224" t="s">
        <v>176</v>
      </c>
      <c r="BL224" s="4">
        <v>0</v>
      </c>
      <c r="BM224" s="1">
        <v>46995</v>
      </c>
      <c r="BN224" s="1">
        <v>46127</v>
      </c>
      <c r="BO224">
        <v>0</v>
      </c>
      <c r="BP224">
        <v>30650</v>
      </c>
      <c r="BQ224" t="s">
        <v>156</v>
      </c>
      <c r="BR224" s="3">
        <v>101126.95</v>
      </c>
      <c r="BS224" s="3">
        <v>55000</v>
      </c>
      <c r="BT224">
        <v>0</v>
      </c>
      <c r="BU224" s="3">
        <v>156126.95000000001</v>
      </c>
      <c r="BV224" s="3">
        <v>218529.97</v>
      </c>
      <c r="BX224">
        <v>0</v>
      </c>
      <c r="BZ224">
        <v>0</v>
      </c>
      <c r="CA224">
        <v>0</v>
      </c>
      <c r="CB224">
        <v>0</v>
      </c>
      <c r="CC224" s="3">
        <v>218529.97</v>
      </c>
      <c r="CD224" s="5">
        <v>0</v>
      </c>
      <c r="CF224" s="6">
        <v>46113</v>
      </c>
      <c r="CH224">
        <v>0</v>
      </c>
      <c r="CI224">
        <v>0</v>
      </c>
      <c r="CJ224">
        <v>0</v>
      </c>
      <c r="CK224">
        <v>0</v>
      </c>
      <c r="CL224">
        <v>0</v>
      </c>
      <c r="CM224">
        <v>0</v>
      </c>
      <c r="CN224">
        <v>0</v>
      </c>
      <c r="CO224">
        <v>0</v>
      </c>
      <c r="CP224">
        <v>0</v>
      </c>
      <c r="CQ224">
        <v>0</v>
      </c>
      <c r="CR224">
        <v>0</v>
      </c>
      <c r="CS224" t="s">
        <v>360</v>
      </c>
      <c r="CT224" t="s">
        <v>214</v>
      </c>
      <c r="CU224" t="s">
        <v>307</v>
      </c>
      <c r="CW224">
        <v>-52.969499999999996</v>
      </c>
      <c r="CZ224" s="1">
        <v>46121</v>
      </c>
      <c r="DA224" t="s">
        <v>172</v>
      </c>
      <c r="DB224" t="s">
        <v>172</v>
      </c>
      <c r="DC224" t="s">
        <v>172</v>
      </c>
      <c r="DD224" t="s">
        <v>172</v>
      </c>
      <c r="DG224" s="1">
        <v>46121</v>
      </c>
      <c r="DH224">
        <v>0</v>
      </c>
      <c r="DI224">
        <v>0</v>
      </c>
      <c r="DK224" t="s">
        <v>179</v>
      </c>
      <c r="DL224" t="s">
        <v>224</v>
      </c>
      <c r="DM224" t="s">
        <v>172</v>
      </c>
      <c r="DN224" t="s">
        <v>201</v>
      </c>
      <c r="DV224" s="3">
        <v>218529.97</v>
      </c>
      <c r="DW224">
        <v>0</v>
      </c>
      <c r="DX224" s="3">
        <v>218529.97</v>
      </c>
      <c r="DY224">
        <v>0</v>
      </c>
      <c r="EF224" s="1">
        <v>46129</v>
      </c>
      <c r="EG224" s="1">
        <v>46126</v>
      </c>
      <c r="EK224" s="1">
        <v>46129</v>
      </c>
      <c r="EP224" s="1">
        <v>46125</v>
      </c>
    </row>
    <row r="225" spans="1:153" ht="101.5" x14ac:dyDescent="0.35">
      <c r="A225" t="str">
        <f>HYPERLINK("https://7lm.cvcrm.com.br/gestor/comercial/reservas/6935/administrar","6935")</f>
        <v>6935</v>
      </c>
      <c r="B225" t="s">
        <v>156</v>
      </c>
      <c r="C225" s="1">
        <v>46120</v>
      </c>
      <c r="D225" s="2">
        <v>0.77936342592592589</v>
      </c>
      <c r="E225" t="s">
        <v>294</v>
      </c>
      <c r="F225" t="s">
        <v>182</v>
      </c>
      <c r="G225" t="s">
        <v>159</v>
      </c>
      <c r="H225" t="s">
        <v>362</v>
      </c>
      <c r="I225" t="s">
        <v>1736</v>
      </c>
      <c r="J225">
        <v>1</v>
      </c>
      <c r="L225">
        <v>30151</v>
      </c>
      <c r="M225" t="s">
        <v>1737</v>
      </c>
      <c r="N225" s="1">
        <v>46129</v>
      </c>
      <c r="O225" s="2">
        <v>0.60650462962962959</v>
      </c>
      <c r="R225" t="str">
        <f>HYPERLINK("https://7lm.cvcrm.com.br/gestor/relatorios/associado/html?q[1|r.idreserva]=6935","MAYCO HENRIQUE DE SOUSA MOURA")</f>
        <v>MAYCO HENRIQUE DE SOUSA MOURA</v>
      </c>
      <c r="S225">
        <v>6397376176</v>
      </c>
      <c r="T225">
        <v>5561999526311</v>
      </c>
      <c r="U225">
        <v>556199530586</v>
      </c>
      <c r="V225" t="s">
        <v>1738</v>
      </c>
      <c r="W225" t="s">
        <v>163</v>
      </c>
      <c r="X225" t="s">
        <v>288</v>
      </c>
      <c r="Y225" t="s">
        <v>189</v>
      </c>
      <c r="Z225" t="s">
        <v>190</v>
      </c>
      <c r="AA225" t="s">
        <v>1739</v>
      </c>
      <c r="AB225" t="s">
        <v>1740</v>
      </c>
      <c r="AC225" t="s">
        <v>1741</v>
      </c>
      <c r="AF225" t="s">
        <v>194</v>
      </c>
      <c r="AG225" t="s">
        <v>195</v>
      </c>
      <c r="AH225" s="3">
        <v>240655.63</v>
      </c>
      <c r="AI225" s="3">
        <v>240655.63</v>
      </c>
      <c r="AJ225" s="1">
        <v>46198</v>
      </c>
      <c r="AN225" t="s">
        <v>172</v>
      </c>
      <c r="AR225" s="7" t="s">
        <v>1742</v>
      </c>
      <c r="AT225" t="s">
        <v>196</v>
      </c>
      <c r="AU225" t="s">
        <v>590</v>
      </c>
      <c r="AW225">
        <v>0</v>
      </c>
      <c r="AX225" s="1">
        <v>46134</v>
      </c>
      <c r="AY225" s="2">
        <v>0.78289351851851852</v>
      </c>
      <c r="AZ225">
        <v>84705</v>
      </c>
      <c r="BA225" s="1">
        <v>45002</v>
      </c>
      <c r="BC225" t="s">
        <v>0</v>
      </c>
      <c r="BD225" s="1">
        <v>46120</v>
      </c>
      <c r="BE225" t="s">
        <v>317</v>
      </c>
      <c r="BL225" s="4">
        <v>0</v>
      </c>
      <c r="BM225" s="1">
        <v>46899</v>
      </c>
      <c r="BN225" s="1">
        <v>46134</v>
      </c>
      <c r="BO225">
        <v>0</v>
      </c>
      <c r="BP225">
        <v>30592</v>
      </c>
      <c r="BQ225" t="s">
        <v>156</v>
      </c>
      <c r="BR225" s="3">
        <v>142290.4</v>
      </c>
      <c r="BS225" s="3">
        <v>21089</v>
      </c>
      <c r="BT225">
        <v>0</v>
      </c>
      <c r="BU225" s="3">
        <v>163379.4</v>
      </c>
      <c r="BV225" s="3">
        <v>240655.63</v>
      </c>
      <c r="BX225">
        <v>0</v>
      </c>
      <c r="BZ225">
        <v>0</v>
      </c>
      <c r="CA225">
        <v>0</v>
      </c>
      <c r="CB225">
        <v>0</v>
      </c>
      <c r="CC225" s="3">
        <v>240655.63</v>
      </c>
      <c r="CD225" s="5">
        <v>0</v>
      </c>
      <c r="CF225" s="6">
        <v>46113</v>
      </c>
      <c r="CH225">
        <v>0</v>
      </c>
      <c r="CI225">
        <v>0</v>
      </c>
      <c r="CJ225">
        <v>0</v>
      </c>
      <c r="CK225">
        <v>0</v>
      </c>
      <c r="CL225">
        <v>0</v>
      </c>
      <c r="CM225">
        <v>0</v>
      </c>
      <c r="CN225">
        <v>0</v>
      </c>
      <c r="CO225">
        <v>0</v>
      </c>
      <c r="CP225">
        <v>0</v>
      </c>
      <c r="CQ225">
        <v>0</v>
      </c>
      <c r="CR225">
        <v>0</v>
      </c>
      <c r="CS225" t="s">
        <v>360</v>
      </c>
      <c r="CT225" t="s">
        <v>190</v>
      </c>
      <c r="CU225" t="s">
        <v>1736</v>
      </c>
      <c r="CW225">
        <v>-51.296900000000001</v>
      </c>
      <c r="CZ225" s="1">
        <v>46120</v>
      </c>
      <c r="DA225" t="s">
        <v>172</v>
      </c>
      <c r="DB225" t="s">
        <v>172</v>
      </c>
      <c r="DC225" t="s">
        <v>172</v>
      </c>
      <c r="DD225" t="s">
        <v>172</v>
      </c>
      <c r="DG225" s="1">
        <v>46120</v>
      </c>
      <c r="DH225">
        <v>0</v>
      </c>
      <c r="DI225">
        <v>0</v>
      </c>
      <c r="DK225" t="s">
        <v>179</v>
      </c>
      <c r="DL225" t="s">
        <v>200</v>
      </c>
      <c r="DM225" t="s">
        <v>172</v>
      </c>
      <c r="DN225" t="s">
        <v>201</v>
      </c>
      <c r="DV225" s="3">
        <v>240655.63</v>
      </c>
      <c r="DW225">
        <v>0</v>
      </c>
      <c r="DX225" s="3">
        <v>240655.63</v>
      </c>
      <c r="DY225">
        <v>0</v>
      </c>
      <c r="EF225" s="1">
        <v>46129</v>
      </c>
      <c r="EG225" s="1">
        <v>46126</v>
      </c>
      <c r="EK225" s="1">
        <v>46129</v>
      </c>
      <c r="EL225" s="1">
        <v>46129</v>
      </c>
      <c r="EN225" t="s">
        <v>156</v>
      </c>
      <c r="EP225" s="1">
        <v>46127</v>
      </c>
      <c r="ER225" s="1">
        <v>46127</v>
      </c>
      <c r="ES225" t="s">
        <v>1743</v>
      </c>
      <c r="ET225" t="s">
        <v>1744</v>
      </c>
      <c r="EW225" s="1">
        <v>46126</v>
      </c>
    </row>
    <row r="226" spans="1:153" ht="87" x14ac:dyDescent="0.35">
      <c r="A226" t="str">
        <f>HYPERLINK("https://7lm.cvcrm.com.br/gestor/comercial/reservas/6934/administrar","6934")</f>
        <v>6934</v>
      </c>
      <c r="B226" t="s">
        <v>156</v>
      </c>
      <c r="C226" s="1">
        <v>46120</v>
      </c>
      <c r="D226" s="2">
        <v>0.73289351851851847</v>
      </c>
      <c r="E226" t="s">
        <v>294</v>
      </c>
      <c r="F226" t="s">
        <v>158</v>
      </c>
      <c r="G226" t="s">
        <v>159</v>
      </c>
      <c r="H226" t="s">
        <v>160</v>
      </c>
      <c r="I226">
        <v>108</v>
      </c>
      <c r="J226">
        <v>1</v>
      </c>
      <c r="L226">
        <v>10001</v>
      </c>
      <c r="M226" t="s">
        <v>1745</v>
      </c>
      <c r="N226" s="1">
        <v>46140</v>
      </c>
      <c r="O226" s="2">
        <v>0.67291666666666672</v>
      </c>
      <c r="R226" t="str">
        <f>HYPERLINK("https://7lm.cvcrm.com.br/gestor/relatorios/associado/html?q[1|r.idreserva]=6934","DHANIEL DA CRUZ BARROS")</f>
        <v>DHANIEL DA CRUZ BARROS</v>
      </c>
      <c r="S226">
        <v>4419257156</v>
      </c>
      <c r="T226">
        <v>5561995168176</v>
      </c>
      <c r="U226">
        <v>5561995168176</v>
      </c>
      <c r="V226" t="s">
        <v>1746</v>
      </c>
      <c r="W226" t="s">
        <v>163</v>
      </c>
      <c r="X226" t="s">
        <v>1147</v>
      </c>
      <c r="Y226" t="s">
        <v>165</v>
      </c>
      <c r="Z226" t="s">
        <v>257</v>
      </c>
      <c r="AA226" t="s">
        <v>1747</v>
      </c>
      <c r="AB226" t="s">
        <v>1748</v>
      </c>
      <c r="AC226" t="s">
        <v>1155</v>
      </c>
      <c r="AE226" t="s">
        <v>169</v>
      </c>
      <c r="AF226" t="s">
        <v>170</v>
      </c>
      <c r="AG226" t="s">
        <v>552</v>
      </c>
      <c r="AH226" s="3">
        <v>419393</v>
      </c>
      <c r="AI226" s="3">
        <v>419393</v>
      </c>
      <c r="AJ226" s="1">
        <v>46157</v>
      </c>
      <c r="AN226" t="s">
        <v>172</v>
      </c>
      <c r="AR226" s="7" t="s">
        <v>1149</v>
      </c>
      <c r="AT226" t="s">
        <v>261</v>
      </c>
      <c r="AU226" t="s">
        <v>292</v>
      </c>
      <c r="AW226">
        <v>0</v>
      </c>
      <c r="AX226" s="1">
        <v>46122</v>
      </c>
      <c r="AY226" s="2">
        <v>0.68083333333333329</v>
      </c>
      <c r="AZ226">
        <v>199725</v>
      </c>
      <c r="BA226" s="1">
        <v>46119</v>
      </c>
      <c r="BC226" t="s">
        <v>213</v>
      </c>
      <c r="BD226" s="1">
        <v>46119</v>
      </c>
      <c r="BE226" t="s">
        <v>176</v>
      </c>
      <c r="BL226" s="4">
        <v>0</v>
      </c>
      <c r="BM226" s="1">
        <v>46387</v>
      </c>
      <c r="BN226" s="1">
        <v>46122</v>
      </c>
      <c r="BO226">
        <v>0</v>
      </c>
      <c r="BP226">
        <v>30589</v>
      </c>
      <c r="BQ226" t="s">
        <v>156</v>
      </c>
      <c r="BR226" s="3">
        <v>400000</v>
      </c>
      <c r="BS226">
        <v>0</v>
      </c>
      <c r="BT226" s="3">
        <v>3952.03</v>
      </c>
      <c r="BU226" s="3">
        <v>403952.03</v>
      </c>
      <c r="BV226" s="3">
        <v>419393</v>
      </c>
      <c r="BX226">
        <v>0</v>
      </c>
      <c r="BZ226">
        <v>0</v>
      </c>
      <c r="CA226">
        <v>0</v>
      </c>
      <c r="CB226">
        <v>0</v>
      </c>
      <c r="CC226" s="3">
        <v>419393</v>
      </c>
      <c r="CD226" s="5">
        <v>0</v>
      </c>
      <c r="CF226" s="6">
        <v>46113</v>
      </c>
      <c r="CH226">
        <v>0</v>
      </c>
      <c r="CI226">
        <v>0</v>
      </c>
      <c r="CJ226">
        <v>0</v>
      </c>
      <c r="CK226">
        <v>0</v>
      </c>
      <c r="CL226">
        <v>0</v>
      </c>
      <c r="CM226">
        <v>0</v>
      </c>
      <c r="CN226">
        <v>0</v>
      </c>
      <c r="CO226">
        <v>0</v>
      </c>
      <c r="CP226">
        <v>0</v>
      </c>
      <c r="CQ226">
        <v>0</v>
      </c>
      <c r="CR226">
        <v>0</v>
      </c>
      <c r="CS226" t="s">
        <v>360</v>
      </c>
      <c r="CT226" t="s">
        <v>178</v>
      </c>
      <c r="CU226">
        <v>108</v>
      </c>
      <c r="CW226">
        <v>-60.204700000000003</v>
      </c>
      <c r="CZ226" s="1">
        <v>46120</v>
      </c>
      <c r="DA226" t="s">
        <v>172</v>
      </c>
      <c r="DB226" t="s">
        <v>172</v>
      </c>
      <c r="DC226" t="s">
        <v>172</v>
      </c>
      <c r="DD226" t="s">
        <v>172</v>
      </c>
      <c r="DG226" s="1">
        <v>46120</v>
      </c>
      <c r="DH226">
        <v>0</v>
      </c>
      <c r="DI226">
        <v>0</v>
      </c>
      <c r="DK226" t="s">
        <v>179</v>
      </c>
      <c r="DM226" t="s">
        <v>172</v>
      </c>
      <c r="DN226" t="s">
        <v>553</v>
      </c>
      <c r="DV226" s="3">
        <v>419393</v>
      </c>
      <c r="DW226">
        <v>0</v>
      </c>
      <c r="DX226" s="3">
        <v>419393</v>
      </c>
      <c r="DY226">
        <v>0</v>
      </c>
    </row>
    <row r="227" spans="1:153" x14ac:dyDescent="0.35">
      <c r="A227" t="str">
        <f>HYPERLINK("https://7lm.cvcrm.com.br/gestor/comercial/reservas/6933/administrar","6933")</f>
        <v>6933</v>
      </c>
      <c r="B227" t="s">
        <v>172</v>
      </c>
      <c r="C227" s="1">
        <v>46120</v>
      </c>
      <c r="D227" s="2">
        <v>0.71247685185185183</v>
      </c>
      <c r="E227" t="s">
        <v>527</v>
      </c>
      <c r="F227" t="s">
        <v>182</v>
      </c>
      <c r="G227" t="s">
        <v>159</v>
      </c>
      <c r="H227" t="s">
        <v>345</v>
      </c>
      <c r="I227" t="s">
        <v>346</v>
      </c>
      <c r="J227">
        <v>1</v>
      </c>
      <c r="L227">
        <v>30151</v>
      </c>
      <c r="M227" t="s">
        <v>347</v>
      </c>
      <c r="R227" t="str">
        <f>HYPERLINK("https://7lm.cvcrm.com.br/gestor/relatorios/associado/html?q[1|r.idreserva]=6933","THATIELLE FERREIRA NEVES")</f>
        <v>THATIELLE FERREIRA NEVES</v>
      </c>
      <c r="S227">
        <v>5710037109</v>
      </c>
      <c r="T227">
        <v>5561999862869</v>
      </c>
      <c r="V227" t="s">
        <v>1749</v>
      </c>
      <c r="W227" t="s">
        <v>187</v>
      </c>
      <c r="X227" t="s">
        <v>376</v>
      </c>
      <c r="Y227" t="s">
        <v>1750</v>
      </c>
      <c r="Z227" t="s">
        <v>1751</v>
      </c>
      <c r="AA227" t="s">
        <v>1752</v>
      </c>
      <c r="AB227" t="s">
        <v>1753</v>
      </c>
      <c r="AC227" t="s">
        <v>1741</v>
      </c>
      <c r="AF227" t="s">
        <v>194</v>
      </c>
      <c r="AG227" t="s">
        <v>195</v>
      </c>
      <c r="AH227" s="3">
        <v>241000</v>
      </c>
      <c r="AI227" s="3">
        <v>241000</v>
      </c>
      <c r="AJ227" s="1">
        <v>46181</v>
      </c>
      <c r="AN227" t="s">
        <v>172</v>
      </c>
      <c r="AO227" t="s">
        <v>966</v>
      </c>
      <c r="AR227" t="s">
        <v>1754</v>
      </c>
      <c r="AT227" t="s">
        <v>196</v>
      </c>
      <c r="AU227" t="s">
        <v>1755</v>
      </c>
      <c r="AW227">
        <v>0</v>
      </c>
      <c r="AX227" s="1">
        <v>46134</v>
      </c>
      <c r="AY227" s="2">
        <v>0.50241898148148145</v>
      </c>
      <c r="AZ227">
        <v>199878</v>
      </c>
      <c r="BA227" s="1">
        <v>46119</v>
      </c>
      <c r="BC227" t="s">
        <v>0</v>
      </c>
      <c r="BD227" s="1">
        <v>46120</v>
      </c>
      <c r="BE227" t="s">
        <v>176</v>
      </c>
      <c r="BL227" s="4">
        <v>0</v>
      </c>
      <c r="BM227" s="1">
        <v>46899</v>
      </c>
      <c r="BO227">
        <v>0</v>
      </c>
      <c r="BP227">
        <v>30640</v>
      </c>
      <c r="BQ227" t="s">
        <v>156</v>
      </c>
      <c r="BR227" s="3">
        <v>180000</v>
      </c>
      <c r="BS227">
        <v>0</v>
      </c>
      <c r="BT227">
        <v>0</v>
      </c>
      <c r="BU227" s="3">
        <v>180000</v>
      </c>
      <c r="BV227" s="3">
        <v>241000</v>
      </c>
      <c r="BX227">
        <v>0</v>
      </c>
      <c r="BZ227">
        <v>0</v>
      </c>
      <c r="CA227">
        <v>0</v>
      </c>
      <c r="CB227">
        <v>0</v>
      </c>
      <c r="CC227" s="3">
        <v>241000</v>
      </c>
      <c r="CD227" s="5">
        <v>0</v>
      </c>
      <c r="CF227" s="6">
        <v>46113</v>
      </c>
      <c r="CH227">
        <v>0</v>
      </c>
      <c r="CI227">
        <v>0</v>
      </c>
      <c r="CJ227">
        <v>0</v>
      </c>
      <c r="CK227">
        <v>0</v>
      </c>
      <c r="CL227">
        <v>0</v>
      </c>
      <c r="CM227">
        <v>0</v>
      </c>
      <c r="CN227">
        <v>0</v>
      </c>
      <c r="CO227">
        <v>0</v>
      </c>
      <c r="CP227">
        <v>0</v>
      </c>
      <c r="CQ227">
        <v>0</v>
      </c>
      <c r="CR227">
        <v>0</v>
      </c>
      <c r="CT227" t="s">
        <v>190</v>
      </c>
      <c r="CU227" t="s">
        <v>346</v>
      </c>
      <c r="CW227">
        <v>0</v>
      </c>
      <c r="CZ227" s="1">
        <v>46120</v>
      </c>
      <c r="DA227" t="s">
        <v>172</v>
      </c>
      <c r="DB227" t="s">
        <v>172</v>
      </c>
      <c r="DC227" t="s">
        <v>172</v>
      </c>
      <c r="DD227" t="s">
        <v>172</v>
      </c>
      <c r="DG227" s="1">
        <v>46120</v>
      </c>
      <c r="DH227">
        <v>0</v>
      </c>
      <c r="DI227">
        <v>0</v>
      </c>
      <c r="DK227" t="s">
        <v>179</v>
      </c>
      <c r="DL227" t="s">
        <v>200</v>
      </c>
      <c r="DM227" t="s">
        <v>172</v>
      </c>
      <c r="DN227" t="s">
        <v>201</v>
      </c>
      <c r="DV227" s="3">
        <v>241000</v>
      </c>
      <c r="DW227">
        <v>0</v>
      </c>
      <c r="DX227" s="3">
        <v>241000</v>
      </c>
      <c r="DY227">
        <v>0</v>
      </c>
      <c r="EN227" t="s">
        <v>537</v>
      </c>
      <c r="ET227" t="s">
        <v>1756</v>
      </c>
    </row>
    <row r="228" spans="1:153" ht="87" x14ac:dyDescent="0.35">
      <c r="A228" t="str">
        <f>HYPERLINK("https://7lm.cvcrm.com.br/gestor/comercial/reservas/6932/administrar","6932")</f>
        <v>6932</v>
      </c>
      <c r="B228" t="s">
        <v>156</v>
      </c>
      <c r="C228" s="1">
        <v>46120</v>
      </c>
      <c r="D228" s="2">
        <v>0.64049768518518524</v>
      </c>
      <c r="E228" t="s">
        <v>294</v>
      </c>
      <c r="F228" t="s">
        <v>226</v>
      </c>
      <c r="G228" t="s">
        <v>159</v>
      </c>
      <c r="H228" t="s">
        <v>1143</v>
      </c>
      <c r="I228" t="s">
        <v>1757</v>
      </c>
      <c r="J228">
        <v>1</v>
      </c>
      <c r="K228">
        <v>8442</v>
      </c>
      <c r="L228">
        <v>10031</v>
      </c>
      <c r="M228" t="s">
        <v>1758</v>
      </c>
      <c r="N228" s="1">
        <v>46142</v>
      </c>
      <c r="O228" s="2">
        <v>0.4621527777777778</v>
      </c>
      <c r="R228" t="str">
        <f>HYPERLINK("https://7lm.cvcrm.com.br/gestor/relatorios/associado/html?q[1|r.idreserva]=6932","LEONARDO RODRIGUES DE DEUS")</f>
        <v>LEONARDO RODRIGUES DE DEUS</v>
      </c>
      <c r="S228">
        <v>1258614600</v>
      </c>
      <c r="T228">
        <v>5561985351435</v>
      </c>
      <c r="U228">
        <v>5561985351435</v>
      </c>
      <c r="V228" t="s">
        <v>1759</v>
      </c>
      <c r="W228" t="s">
        <v>163</v>
      </c>
      <c r="X228" t="s">
        <v>1760</v>
      </c>
      <c r="Y228" t="s">
        <v>165</v>
      </c>
      <c r="Z228" t="s">
        <v>178</v>
      </c>
      <c r="AA228" t="s">
        <v>930</v>
      </c>
      <c r="AB228" t="s">
        <v>1761</v>
      </c>
      <c r="AC228" t="s">
        <v>177</v>
      </c>
      <c r="AF228" t="s">
        <v>170</v>
      </c>
      <c r="AG228" t="s">
        <v>171</v>
      </c>
      <c r="AH228" s="3">
        <v>401360</v>
      </c>
      <c r="AI228" s="3">
        <v>401360</v>
      </c>
      <c r="AJ228" s="1">
        <v>46173</v>
      </c>
      <c r="AN228" t="s">
        <v>172</v>
      </c>
      <c r="AR228" s="7" t="s">
        <v>1762</v>
      </c>
      <c r="AT228" t="s">
        <v>196</v>
      </c>
      <c r="AU228" t="s">
        <v>197</v>
      </c>
      <c r="AW228">
        <v>0</v>
      </c>
      <c r="AX228" s="1">
        <v>46157</v>
      </c>
      <c r="AY228" s="2">
        <v>0.37504629629629632</v>
      </c>
      <c r="AZ228">
        <v>198342</v>
      </c>
      <c r="BA228" s="1">
        <v>46112</v>
      </c>
      <c r="BC228" t="s">
        <v>213</v>
      </c>
      <c r="BD228" s="1">
        <v>46112</v>
      </c>
      <c r="BE228" t="s">
        <v>176</v>
      </c>
      <c r="BL228" s="4">
        <v>0</v>
      </c>
      <c r="BM228" s="1">
        <v>46698</v>
      </c>
      <c r="BN228" s="1">
        <v>46157</v>
      </c>
      <c r="BO228">
        <v>0</v>
      </c>
      <c r="BP228">
        <v>30363</v>
      </c>
      <c r="BQ228" t="s">
        <v>156</v>
      </c>
      <c r="BR228">
        <v>0</v>
      </c>
      <c r="BS228">
        <v>0</v>
      </c>
      <c r="BT228">
        <v>0</v>
      </c>
      <c r="BU228">
        <v>0</v>
      </c>
      <c r="BV228" s="3">
        <v>401360</v>
      </c>
      <c r="BX228">
        <v>0</v>
      </c>
      <c r="BZ228">
        <v>0</v>
      </c>
      <c r="CA228">
        <v>0</v>
      </c>
      <c r="CB228">
        <v>0</v>
      </c>
      <c r="CC228" s="3">
        <v>401360</v>
      </c>
      <c r="CD228" s="5">
        <v>0</v>
      </c>
      <c r="CF228" s="6">
        <v>46143</v>
      </c>
      <c r="CH228">
        <v>0</v>
      </c>
      <c r="CI228">
        <v>0</v>
      </c>
      <c r="CJ228">
        <v>0</v>
      </c>
      <c r="CK228">
        <v>0</v>
      </c>
      <c r="CL228">
        <v>0</v>
      </c>
      <c r="CM228">
        <v>0</v>
      </c>
      <c r="CN228">
        <v>0</v>
      </c>
      <c r="CO228">
        <v>0</v>
      </c>
      <c r="CP228">
        <v>0</v>
      </c>
      <c r="CQ228">
        <v>0</v>
      </c>
      <c r="CR228">
        <v>0</v>
      </c>
      <c r="CS228" t="s">
        <v>177</v>
      </c>
      <c r="CT228" t="s">
        <v>238</v>
      </c>
      <c r="CU228" t="s">
        <v>1757</v>
      </c>
      <c r="CW228">
        <v>-57.302100000000003</v>
      </c>
      <c r="CX228" t="s">
        <v>170</v>
      </c>
      <c r="CZ228" s="1">
        <v>46120</v>
      </c>
      <c r="DA228" t="s">
        <v>172</v>
      </c>
      <c r="DB228" t="s">
        <v>172</v>
      </c>
      <c r="DC228" t="s">
        <v>172</v>
      </c>
      <c r="DD228" t="s">
        <v>172</v>
      </c>
      <c r="DG228" s="1">
        <v>46120</v>
      </c>
      <c r="DH228">
        <v>0</v>
      </c>
      <c r="DI228">
        <v>0</v>
      </c>
      <c r="DJ228" s="1">
        <v>46156</v>
      </c>
      <c r="DL228" t="s">
        <v>263</v>
      </c>
      <c r="DM228" t="s">
        <v>172</v>
      </c>
      <c r="DN228" t="s">
        <v>264</v>
      </c>
      <c r="DU228" t="s">
        <v>1120</v>
      </c>
      <c r="DV228" s="3">
        <v>538640</v>
      </c>
      <c r="DW228">
        <v>-57.3</v>
      </c>
      <c r="DX228" s="3">
        <v>538640</v>
      </c>
      <c r="DY228">
        <v>-57.3</v>
      </c>
    </row>
    <row r="229" spans="1:153" x14ac:dyDescent="0.35">
      <c r="A229" t="str">
        <f>HYPERLINK("https://7lm.cvcrm.com.br/gestor/comercial/reservas/6931/administrar","6931")</f>
        <v>6931</v>
      </c>
      <c r="B229" t="s">
        <v>156</v>
      </c>
      <c r="C229" s="1">
        <v>46120</v>
      </c>
      <c r="D229" s="2">
        <v>0.51265046296296302</v>
      </c>
      <c r="E229" t="s">
        <v>294</v>
      </c>
      <c r="F229" t="s">
        <v>158</v>
      </c>
      <c r="G229" t="s">
        <v>159</v>
      </c>
      <c r="H229" t="s">
        <v>160</v>
      </c>
      <c r="I229">
        <v>1007</v>
      </c>
      <c r="J229">
        <v>1</v>
      </c>
      <c r="L229">
        <v>10001</v>
      </c>
      <c r="M229" t="s">
        <v>1763</v>
      </c>
      <c r="N229" s="1">
        <v>46127</v>
      </c>
      <c r="O229" s="2">
        <v>0.6574768518518519</v>
      </c>
      <c r="R229" t="str">
        <f>HYPERLINK("https://7lm.cvcrm.com.br/gestor/relatorios/associado/html?q[1|r.idreserva]=6931","VANESA DOS SANTOS")</f>
        <v>VANESA DOS SANTOS</v>
      </c>
      <c r="S229">
        <v>97708399149</v>
      </c>
      <c r="T229">
        <v>5561984432019</v>
      </c>
      <c r="V229" t="s">
        <v>1764</v>
      </c>
      <c r="W229" t="s">
        <v>187</v>
      </c>
      <c r="X229" t="s">
        <v>1765</v>
      </c>
      <c r="Y229" t="s">
        <v>165</v>
      </c>
      <c r="Z229" t="s">
        <v>238</v>
      </c>
      <c r="AA229" t="s">
        <v>548</v>
      </c>
      <c r="AB229" t="s">
        <v>1766</v>
      </c>
      <c r="AC229" t="s">
        <v>177</v>
      </c>
      <c r="AF229" t="s">
        <v>170</v>
      </c>
      <c r="AG229" t="s">
        <v>171</v>
      </c>
      <c r="AH229" s="3">
        <v>406271.31</v>
      </c>
      <c r="AI229" s="3">
        <v>406271.31</v>
      </c>
      <c r="AJ229" s="1">
        <v>46127</v>
      </c>
      <c r="AN229" t="s">
        <v>172</v>
      </c>
      <c r="AR229" t="s">
        <v>1767</v>
      </c>
      <c r="AT229" t="s">
        <v>173</v>
      </c>
      <c r="AU229" t="s">
        <v>197</v>
      </c>
      <c r="AW229">
        <v>0</v>
      </c>
      <c r="AX229" s="1">
        <v>46132</v>
      </c>
      <c r="AY229" s="2">
        <v>0.58707175925925925</v>
      </c>
      <c r="AZ229">
        <v>144570</v>
      </c>
      <c r="BA229" s="1">
        <v>45665</v>
      </c>
      <c r="BC229" t="s">
        <v>0</v>
      </c>
      <c r="BD229" s="1">
        <v>45665</v>
      </c>
      <c r="BE229" t="s">
        <v>213</v>
      </c>
      <c r="BL229" s="4">
        <v>0</v>
      </c>
      <c r="BM229" s="1">
        <v>46387</v>
      </c>
      <c r="BN229" s="1">
        <v>46132</v>
      </c>
      <c r="BO229">
        <v>0</v>
      </c>
      <c r="BP229">
        <v>16696</v>
      </c>
      <c r="BQ229" t="s">
        <v>156</v>
      </c>
      <c r="BR229" s="3">
        <v>278236.78000000003</v>
      </c>
      <c r="BS229">
        <v>0</v>
      </c>
      <c r="BT229">
        <v>0</v>
      </c>
      <c r="BU229" s="3">
        <v>278236.78000000003</v>
      </c>
      <c r="BV229" s="3">
        <v>406271.31</v>
      </c>
      <c r="BX229">
        <v>0</v>
      </c>
      <c r="BZ229">
        <v>0</v>
      </c>
      <c r="CA229">
        <v>0</v>
      </c>
      <c r="CB229">
        <v>0</v>
      </c>
      <c r="CC229" s="3">
        <v>406271.31</v>
      </c>
      <c r="CD229" s="5">
        <v>0</v>
      </c>
      <c r="CF229" s="6">
        <v>46113</v>
      </c>
      <c r="CH229">
        <v>0</v>
      </c>
      <c r="CI229">
        <v>0</v>
      </c>
      <c r="CJ229">
        <v>0</v>
      </c>
      <c r="CK229">
        <v>0</v>
      </c>
      <c r="CL229">
        <v>0</v>
      </c>
      <c r="CM229">
        <v>0</v>
      </c>
      <c r="CN229">
        <v>0</v>
      </c>
      <c r="CO229">
        <v>0</v>
      </c>
      <c r="CP229">
        <v>0</v>
      </c>
      <c r="CQ229">
        <v>0</v>
      </c>
      <c r="CR229">
        <v>0</v>
      </c>
      <c r="CS229" t="s">
        <v>1768</v>
      </c>
      <c r="CT229" t="s">
        <v>178</v>
      </c>
      <c r="CU229">
        <v>1007</v>
      </c>
      <c r="CW229">
        <v>-60.342100000000002</v>
      </c>
      <c r="CZ229" s="1">
        <v>46120</v>
      </c>
      <c r="DA229" t="s">
        <v>172</v>
      </c>
      <c r="DB229" t="s">
        <v>172</v>
      </c>
      <c r="DC229" t="s">
        <v>172</v>
      </c>
      <c r="DD229" t="s">
        <v>172</v>
      </c>
      <c r="DG229" s="1">
        <v>46120</v>
      </c>
      <c r="DH229">
        <v>0</v>
      </c>
      <c r="DI229">
        <v>0</v>
      </c>
      <c r="DK229" t="s">
        <v>179</v>
      </c>
      <c r="DM229" t="s">
        <v>172</v>
      </c>
      <c r="DN229" t="s">
        <v>553</v>
      </c>
      <c r="DV229" s="3">
        <v>406271.31</v>
      </c>
      <c r="DW229">
        <v>0</v>
      </c>
      <c r="DX229" s="3">
        <v>406271.31</v>
      </c>
      <c r="DY229">
        <v>0</v>
      </c>
    </row>
    <row r="230" spans="1:153" ht="246.5" x14ac:dyDescent="0.35">
      <c r="A230" t="str">
        <f>HYPERLINK("https://7lm.cvcrm.com.br/gestor/comercial/reservas/6930/administrar","6930")</f>
        <v>6930</v>
      </c>
      <c r="B230" t="s">
        <v>156</v>
      </c>
      <c r="C230" s="1">
        <v>46119</v>
      </c>
      <c r="D230" s="2">
        <v>0.82538194444444446</v>
      </c>
      <c r="E230" t="s">
        <v>294</v>
      </c>
      <c r="F230" t="s">
        <v>182</v>
      </c>
      <c r="G230" t="s">
        <v>159</v>
      </c>
      <c r="H230" t="s">
        <v>704</v>
      </c>
      <c r="I230" t="s">
        <v>1267</v>
      </c>
      <c r="J230">
        <v>1</v>
      </c>
      <c r="K230">
        <v>8452</v>
      </c>
      <c r="L230">
        <v>30151</v>
      </c>
      <c r="M230" t="s">
        <v>1769</v>
      </c>
      <c r="N230" s="1">
        <v>46157</v>
      </c>
      <c r="O230" s="2">
        <v>0.63138888888888889</v>
      </c>
      <c r="Q230">
        <v>9959</v>
      </c>
      <c r="R230" t="str">
        <f>HYPERLINK("https://7lm.cvcrm.com.br/gestor/relatorios/associado/html?q[1|r.idreserva]=6930","HERCULES SANTOS DE JESUS")</f>
        <v>HERCULES SANTOS DE JESUS</v>
      </c>
      <c r="S230">
        <v>8564626160</v>
      </c>
      <c r="T230">
        <v>5561998267848</v>
      </c>
      <c r="V230" t="s">
        <v>1770</v>
      </c>
      <c r="W230" t="s">
        <v>163</v>
      </c>
      <c r="X230" t="s">
        <v>366</v>
      </c>
      <c r="Y230" t="s">
        <v>189</v>
      </c>
      <c r="Z230" t="s">
        <v>190</v>
      </c>
      <c r="AA230" t="s">
        <v>1771</v>
      </c>
      <c r="AB230" t="s">
        <v>1772</v>
      </c>
      <c r="AC230" t="s">
        <v>598</v>
      </c>
      <c r="AD230" t="s">
        <v>598</v>
      </c>
      <c r="AF230" t="s">
        <v>250</v>
      </c>
      <c r="AG230" t="s">
        <v>251</v>
      </c>
      <c r="AH230" s="3">
        <v>240770.66</v>
      </c>
      <c r="AI230" s="3">
        <v>240770.66</v>
      </c>
      <c r="AJ230" s="1">
        <v>46119</v>
      </c>
      <c r="AN230" t="s">
        <v>172</v>
      </c>
      <c r="AR230" s="7" t="s">
        <v>353</v>
      </c>
      <c r="AT230" t="s">
        <v>173</v>
      </c>
      <c r="AU230" t="s">
        <v>175</v>
      </c>
      <c r="AW230">
        <v>0</v>
      </c>
      <c r="AX230" s="1">
        <v>46157</v>
      </c>
      <c r="AY230" s="2">
        <v>0.61756944444444439</v>
      </c>
      <c r="AZ230">
        <v>199921</v>
      </c>
      <c r="BA230" s="1">
        <v>46119</v>
      </c>
      <c r="BC230" t="s">
        <v>0</v>
      </c>
      <c r="BD230" s="1">
        <v>46119</v>
      </c>
      <c r="BE230" t="s">
        <v>213</v>
      </c>
      <c r="BL230" s="4">
        <v>0</v>
      </c>
      <c r="BM230" s="1">
        <v>46899</v>
      </c>
      <c r="BN230" s="1">
        <v>46157</v>
      </c>
      <c r="BO230">
        <v>0</v>
      </c>
      <c r="BP230">
        <v>30653</v>
      </c>
      <c r="BQ230" t="s">
        <v>156</v>
      </c>
      <c r="BR230">
        <v>0</v>
      </c>
      <c r="BS230">
        <v>0</v>
      </c>
      <c r="BT230">
        <v>0</v>
      </c>
      <c r="BU230">
        <v>0</v>
      </c>
      <c r="BV230" s="3">
        <v>240770.66</v>
      </c>
      <c r="BX230">
        <v>0</v>
      </c>
      <c r="BZ230">
        <v>0</v>
      </c>
      <c r="CA230">
        <v>0</v>
      </c>
      <c r="CB230">
        <v>0</v>
      </c>
      <c r="CC230" s="3">
        <v>240770.66</v>
      </c>
      <c r="CD230" s="5">
        <v>0</v>
      </c>
      <c r="CF230" s="6">
        <v>46143</v>
      </c>
      <c r="CH230">
        <v>0</v>
      </c>
      <c r="CI230">
        <v>0</v>
      </c>
      <c r="CJ230">
        <v>0</v>
      </c>
      <c r="CK230">
        <v>0</v>
      </c>
      <c r="CL230">
        <v>0</v>
      </c>
      <c r="CM230">
        <v>0</v>
      </c>
      <c r="CN230">
        <v>0</v>
      </c>
      <c r="CO230">
        <v>0</v>
      </c>
      <c r="CP230">
        <v>0</v>
      </c>
      <c r="CQ230">
        <v>0</v>
      </c>
      <c r="CR230">
        <v>0</v>
      </c>
      <c r="CS230" t="s">
        <v>360</v>
      </c>
      <c r="CT230" t="s">
        <v>190</v>
      </c>
      <c r="CU230" t="s">
        <v>1267</v>
      </c>
      <c r="CW230">
        <v>-51.927199999999999</v>
      </c>
      <c r="CZ230" s="1">
        <v>46119</v>
      </c>
      <c r="DA230" t="s">
        <v>172</v>
      </c>
      <c r="DB230" t="s">
        <v>172</v>
      </c>
      <c r="DC230" t="s">
        <v>172</v>
      </c>
      <c r="DD230" t="s">
        <v>172</v>
      </c>
      <c r="DG230" s="1">
        <v>46119</v>
      </c>
      <c r="DH230">
        <v>0</v>
      </c>
      <c r="DI230">
        <v>0</v>
      </c>
      <c r="DJ230" s="1">
        <v>46157</v>
      </c>
      <c r="DK230" t="s">
        <v>179</v>
      </c>
      <c r="DL230" t="s">
        <v>200</v>
      </c>
      <c r="DM230" t="s">
        <v>172</v>
      </c>
      <c r="DN230" t="s">
        <v>201</v>
      </c>
      <c r="DU230" t="s">
        <v>440</v>
      </c>
      <c r="DV230" s="3">
        <v>291629.34000000003</v>
      </c>
      <c r="DW230">
        <v>-54.78</v>
      </c>
      <c r="DX230" s="3">
        <v>291629.34000000003</v>
      </c>
      <c r="DY230">
        <v>-54.78</v>
      </c>
      <c r="EG230" s="1">
        <v>46155</v>
      </c>
      <c r="EN230" t="s">
        <v>156</v>
      </c>
      <c r="EP230" s="1">
        <v>46154</v>
      </c>
      <c r="ER230" s="1">
        <v>46135</v>
      </c>
      <c r="ES230" t="s">
        <v>1773</v>
      </c>
      <c r="ET230" t="s">
        <v>1774</v>
      </c>
      <c r="EU230" s="1">
        <v>46135</v>
      </c>
      <c r="EW230" s="1">
        <v>46120</v>
      </c>
    </row>
    <row r="231" spans="1:153" ht="246.5" x14ac:dyDescent="0.35">
      <c r="A231" t="str">
        <f>HYPERLINK("https://7lm.cvcrm.com.br/gestor/comercial/reservas/6929/administrar","6929")</f>
        <v>6929</v>
      </c>
      <c r="B231" t="s">
        <v>156</v>
      </c>
      <c r="C231" s="1">
        <v>46119</v>
      </c>
      <c r="D231" s="2">
        <v>0.8072569444444444</v>
      </c>
      <c r="E231" t="s">
        <v>294</v>
      </c>
      <c r="F231" t="s">
        <v>202</v>
      </c>
      <c r="G231" t="s">
        <v>203</v>
      </c>
      <c r="H231" t="s">
        <v>204</v>
      </c>
      <c r="I231" t="s">
        <v>617</v>
      </c>
      <c r="J231">
        <v>1</v>
      </c>
      <c r="L231">
        <v>20031</v>
      </c>
      <c r="M231" t="s">
        <v>1775</v>
      </c>
      <c r="N231" s="1">
        <v>46126</v>
      </c>
      <c r="O231" s="2">
        <v>0.40085648148148151</v>
      </c>
      <c r="R231" t="str">
        <f>HYPERLINK("https://7lm.cvcrm.com.br/gestor/relatorios/associado/html?q[1|r.idreserva]=6929","LUCAS SILVA PINHEIRO")</f>
        <v>LUCAS SILVA PINHEIRO</v>
      </c>
      <c r="S231">
        <v>8726004160</v>
      </c>
      <c r="T231">
        <v>5561992883999</v>
      </c>
      <c r="V231" t="s">
        <v>1776</v>
      </c>
      <c r="W231" t="s">
        <v>163</v>
      </c>
      <c r="X231" t="s">
        <v>299</v>
      </c>
      <c r="Y231" t="s">
        <v>189</v>
      </c>
      <c r="Z231" t="s">
        <v>190</v>
      </c>
      <c r="AA231" t="s">
        <v>799</v>
      </c>
      <c r="AB231" t="s">
        <v>1777</v>
      </c>
      <c r="AC231" t="s">
        <v>917</v>
      </c>
      <c r="AF231" t="s">
        <v>194</v>
      </c>
      <c r="AG231" t="s">
        <v>195</v>
      </c>
      <c r="AH231" s="3">
        <v>222380.69</v>
      </c>
      <c r="AI231" s="3">
        <v>222380.69</v>
      </c>
      <c r="AJ231" s="1">
        <v>46188</v>
      </c>
      <c r="AN231" t="s">
        <v>172</v>
      </c>
      <c r="AR231" s="7" t="s">
        <v>353</v>
      </c>
      <c r="AT231" t="s">
        <v>261</v>
      </c>
      <c r="AU231" t="s">
        <v>953</v>
      </c>
      <c r="AW231">
        <v>0</v>
      </c>
      <c r="AX231" s="1">
        <v>46126</v>
      </c>
      <c r="AY231" s="2">
        <v>0.40221064814814816</v>
      </c>
      <c r="AZ231">
        <v>199365</v>
      </c>
      <c r="BA231" s="1">
        <v>46117</v>
      </c>
      <c r="BC231" t="s">
        <v>0</v>
      </c>
      <c r="BD231" s="1">
        <v>46119</v>
      </c>
      <c r="BE231" t="s">
        <v>198</v>
      </c>
      <c r="BL231" s="4">
        <v>0</v>
      </c>
      <c r="BM231" s="1">
        <v>46808</v>
      </c>
      <c r="BN231" s="1">
        <v>46126</v>
      </c>
      <c r="BO231">
        <v>0</v>
      </c>
      <c r="BP231">
        <v>30534</v>
      </c>
      <c r="BQ231" t="s">
        <v>156</v>
      </c>
      <c r="BR231" s="3">
        <v>127056</v>
      </c>
      <c r="BS231" s="3">
        <v>33957</v>
      </c>
      <c r="BT231">
        <v>0</v>
      </c>
      <c r="BU231" s="3">
        <v>161013</v>
      </c>
      <c r="BV231" s="3">
        <v>222380.69</v>
      </c>
      <c r="BX231">
        <v>0</v>
      </c>
      <c r="BZ231">
        <v>0</v>
      </c>
      <c r="CA231">
        <v>0</v>
      </c>
      <c r="CB231">
        <v>0</v>
      </c>
      <c r="CC231" s="3">
        <v>222380.69</v>
      </c>
      <c r="CD231" s="5">
        <v>0</v>
      </c>
      <c r="CF231" s="6">
        <v>46113</v>
      </c>
      <c r="CH231">
        <v>0</v>
      </c>
      <c r="CI231">
        <v>0</v>
      </c>
      <c r="CJ231">
        <v>0</v>
      </c>
      <c r="CK231">
        <v>0</v>
      </c>
      <c r="CL231">
        <v>0</v>
      </c>
      <c r="CM231">
        <v>0</v>
      </c>
      <c r="CN231">
        <v>0</v>
      </c>
      <c r="CO231">
        <v>0</v>
      </c>
      <c r="CP231">
        <v>0</v>
      </c>
      <c r="CQ231">
        <v>0</v>
      </c>
      <c r="CR231">
        <v>0</v>
      </c>
      <c r="CS231" t="s">
        <v>649</v>
      </c>
      <c r="CT231" t="s">
        <v>214</v>
      </c>
      <c r="CU231" t="s">
        <v>617</v>
      </c>
      <c r="CW231">
        <v>-53.782400000000003</v>
      </c>
      <c r="CZ231" s="1">
        <v>46119</v>
      </c>
      <c r="DA231" t="s">
        <v>172</v>
      </c>
      <c r="DB231" t="s">
        <v>172</v>
      </c>
      <c r="DC231" t="s">
        <v>172</v>
      </c>
      <c r="DD231" t="s">
        <v>172</v>
      </c>
      <c r="DG231" s="1">
        <v>46119</v>
      </c>
      <c r="DH231">
        <v>0</v>
      </c>
      <c r="DI231">
        <v>0</v>
      </c>
      <c r="DL231" t="s">
        <v>215</v>
      </c>
      <c r="DM231" t="s">
        <v>172</v>
      </c>
      <c r="DN231" t="s">
        <v>225</v>
      </c>
      <c r="DV231" s="3">
        <v>222380.69</v>
      </c>
      <c r="DW231">
        <v>0</v>
      </c>
      <c r="DX231" s="3">
        <v>222380.69</v>
      </c>
      <c r="DY231">
        <v>0</v>
      </c>
      <c r="EG231" s="1">
        <v>46121</v>
      </c>
      <c r="EN231" t="s">
        <v>156</v>
      </c>
      <c r="EP231" s="1">
        <v>46122</v>
      </c>
      <c r="ET231" t="s">
        <v>417</v>
      </c>
      <c r="EU231" s="1">
        <v>46121</v>
      </c>
      <c r="EW231" s="1">
        <v>46119</v>
      </c>
    </row>
    <row r="232" spans="1:153" ht="246.5" x14ac:dyDescent="0.35">
      <c r="A232" t="str">
        <f>HYPERLINK("https://7lm.cvcrm.com.br/gestor/comercial/reservas/6928/administrar","6928")</f>
        <v>6928</v>
      </c>
      <c r="B232" t="s">
        <v>156</v>
      </c>
      <c r="C232" s="1">
        <v>46119</v>
      </c>
      <c r="D232" s="2">
        <v>0.80655092592592592</v>
      </c>
      <c r="E232" t="s">
        <v>294</v>
      </c>
      <c r="F232" t="s">
        <v>216</v>
      </c>
      <c r="G232" t="s">
        <v>159</v>
      </c>
      <c r="H232" t="s">
        <v>336</v>
      </c>
      <c r="I232" t="s">
        <v>760</v>
      </c>
      <c r="J232">
        <v>1</v>
      </c>
      <c r="L232">
        <v>20061</v>
      </c>
      <c r="M232" t="s">
        <v>1778</v>
      </c>
      <c r="N232" s="1">
        <v>46127</v>
      </c>
      <c r="O232" s="2">
        <v>0.31847222222222221</v>
      </c>
      <c r="R232" t="str">
        <f>HYPERLINK("https://7lm.cvcrm.com.br/gestor/relatorios/associado/html?q[1|r.idreserva]=6928","MARIA ALICE CARVALHO OLIVEIRA")</f>
        <v>MARIA ALICE CARVALHO OLIVEIRA</v>
      </c>
      <c r="S232">
        <v>3975992344</v>
      </c>
      <c r="T232">
        <v>5561982413353</v>
      </c>
      <c r="U232">
        <v>556181017786</v>
      </c>
      <c r="V232" t="s">
        <v>1779</v>
      </c>
      <c r="W232" t="s">
        <v>187</v>
      </c>
      <c r="X232" t="s">
        <v>1780</v>
      </c>
      <c r="Y232" t="s">
        <v>189</v>
      </c>
      <c r="Z232" t="s">
        <v>214</v>
      </c>
      <c r="AA232" t="s">
        <v>1781</v>
      </c>
      <c r="AB232" t="s">
        <v>1782</v>
      </c>
      <c r="AC232" t="s">
        <v>398</v>
      </c>
      <c r="AF232" t="s">
        <v>399</v>
      </c>
      <c r="AG232" t="s">
        <v>195</v>
      </c>
      <c r="AH232" s="3">
        <v>214846.86</v>
      </c>
      <c r="AI232" s="3">
        <v>214846.86</v>
      </c>
      <c r="AJ232" s="1">
        <v>46484</v>
      </c>
      <c r="AN232" t="s">
        <v>172</v>
      </c>
      <c r="AR232" s="7" t="s">
        <v>353</v>
      </c>
      <c r="AT232" t="s">
        <v>173</v>
      </c>
      <c r="AU232" t="s">
        <v>262</v>
      </c>
      <c r="AW232">
        <v>0</v>
      </c>
      <c r="AX232" s="1">
        <v>46134</v>
      </c>
      <c r="AY232" s="2">
        <v>0.79410879629629627</v>
      </c>
      <c r="AZ232">
        <v>199220</v>
      </c>
      <c r="BA232" s="1">
        <v>46116</v>
      </c>
      <c r="BC232" t="s">
        <v>0</v>
      </c>
      <c r="BD232" s="1">
        <v>46119</v>
      </c>
      <c r="BE232" t="s">
        <v>615</v>
      </c>
      <c r="BL232" s="4">
        <v>0</v>
      </c>
      <c r="BM232" s="1">
        <v>46995</v>
      </c>
      <c r="BN232" s="1">
        <v>46134</v>
      </c>
      <c r="BO232">
        <v>0</v>
      </c>
      <c r="BP232">
        <v>30536</v>
      </c>
      <c r="BQ232" t="s">
        <v>156</v>
      </c>
      <c r="BR232" s="3">
        <v>130790.18</v>
      </c>
      <c r="BS232" s="3">
        <v>28934</v>
      </c>
      <c r="BT232">
        <v>0</v>
      </c>
      <c r="BU232" s="3">
        <v>159724.18</v>
      </c>
      <c r="BV232" s="3">
        <v>214846.86</v>
      </c>
      <c r="BX232">
        <v>0</v>
      </c>
      <c r="BZ232">
        <v>0</v>
      </c>
      <c r="CA232">
        <v>0</v>
      </c>
      <c r="CB232">
        <v>0</v>
      </c>
      <c r="CC232" s="3">
        <v>214846.86</v>
      </c>
      <c r="CD232" s="5">
        <v>0</v>
      </c>
      <c r="CF232" s="6">
        <v>46113</v>
      </c>
      <c r="CH232">
        <v>0</v>
      </c>
      <c r="CI232">
        <v>0</v>
      </c>
      <c r="CJ232">
        <v>0</v>
      </c>
      <c r="CK232">
        <v>0</v>
      </c>
      <c r="CL232">
        <v>0</v>
      </c>
      <c r="CM232">
        <v>0</v>
      </c>
      <c r="CN232">
        <v>0</v>
      </c>
      <c r="CO232">
        <v>0</v>
      </c>
      <c r="CP232">
        <v>0</v>
      </c>
      <c r="CQ232">
        <v>0</v>
      </c>
      <c r="CR232">
        <v>0</v>
      </c>
      <c r="CS232" t="s">
        <v>360</v>
      </c>
      <c r="CT232" t="s">
        <v>214</v>
      </c>
      <c r="CU232" t="s">
        <v>760</v>
      </c>
      <c r="CW232">
        <v>-54.807099999999998</v>
      </c>
      <c r="CZ232" s="1">
        <v>46119</v>
      </c>
      <c r="DA232" t="s">
        <v>172</v>
      </c>
      <c r="DB232" t="s">
        <v>172</v>
      </c>
      <c r="DC232" t="s">
        <v>172</v>
      </c>
      <c r="DD232" t="s">
        <v>172</v>
      </c>
      <c r="DG232" s="1">
        <v>46119</v>
      </c>
      <c r="DH232">
        <v>0</v>
      </c>
      <c r="DI232">
        <v>0</v>
      </c>
      <c r="DK232" t="s">
        <v>179</v>
      </c>
      <c r="DL232" t="s">
        <v>224</v>
      </c>
      <c r="DM232" t="s">
        <v>172</v>
      </c>
      <c r="DN232" t="s">
        <v>201</v>
      </c>
      <c r="DV232" s="3">
        <v>214846.86</v>
      </c>
      <c r="DW232">
        <v>0</v>
      </c>
      <c r="DX232" s="3">
        <v>214846.86</v>
      </c>
      <c r="DY232">
        <v>0</v>
      </c>
      <c r="EF232" s="1">
        <v>46126</v>
      </c>
      <c r="EG232" s="1">
        <v>46122</v>
      </c>
      <c r="EK232" s="1">
        <v>46126</v>
      </c>
      <c r="EL232" s="1">
        <v>46126</v>
      </c>
      <c r="EM232" s="1">
        <v>46126</v>
      </c>
      <c r="EP232" s="1">
        <v>46125</v>
      </c>
    </row>
    <row r="233" spans="1:153" ht="333.5" x14ac:dyDescent="0.35">
      <c r="A233" t="str">
        <f>HYPERLINK("https://7lm.cvcrm.com.br/gestor/comercial/reservas/6927/administrar","6927")</f>
        <v>6927</v>
      </c>
      <c r="B233" t="s">
        <v>156</v>
      </c>
      <c r="C233" s="1">
        <v>46119</v>
      </c>
      <c r="D233" s="2">
        <v>0.80145833333333338</v>
      </c>
      <c r="E233" t="s">
        <v>527</v>
      </c>
      <c r="F233" t="s">
        <v>216</v>
      </c>
      <c r="G233" t="s">
        <v>159</v>
      </c>
      <c r="H233" t="s">
        <v>513</v>
      </c>
      <c r="I233" t="s">
        <v>1783</v>
      </c>
      <c r="J233">
        <v>1</v>
      </c>
      <c r="L233">
        <v>20061</v>
      </c>
      <c r="M233" t="s">
        <v>1784</v>
      </c>
      <c r="N233" s="1">
        <v>46120</v>
      </c>
      <c r="O233" s="2">
        <v>0.61509259259259264</v>
      </c>
      <c r="R233" t="str">
        <f>HYPERLINK("https://7lm.cvcrm.com.br/gestor/relatorios/associado/html?q[1|r.idreserva]=6927","JOÃO ELIAS VIEIRA LIMA")</f>
        <v>JOÃO ELIAS VIEIRA LIMA</v>
      </c>
      <c r="S233">
        <v>620643390</v>
      </c>
      <c r="T233">
        <v>556191082301</v>
      </c>
      <c r="V233" t="s">
        <v>1785</v>
      </c>
      <c r="W233" t="s">
        <v>163</v>
      </c>
      <c r="X233" t="s">
        <v>1786</v>
      </c>
      <c r="Y233" t="s">
        <v>189</v>
      </c>
      <c r="Z233" t="s">
        <v>1088</v>
      </c>
      <c r="AA233" t="s">
        <v>1787</v>
      </c>
      <c r="AB233" t="s">
        <v>1788</v>
      </c>
      <c r="AC233" t="s">
        <v>398</v>
      </c>
      <c r="AF233" t="s">
        <v>399</v>
      </c>
      <c r="AG233" t="s">
        <v>195</v>
      </c>
      <c r="AH233" s="3">
        <v>218000.17</v>
      </c>
      <c r="AI233" s="3">
        <v>218000.17</v>
      </c>
      <c r="AJ233" s="1">
        <v>46188</v>
      </c>
      <c r="AN233" t="s">
        <v>172</v>
      </c>
      <c r="AO233" t="s">
        <v>816</v>
      </c>
      <c r="AR233" s="7" t="s">
        <v>1789</v>
      </c>
      <c r="AT233" t="s">
        <v>196</v>
      </c>
      <c r="AU233" t="s">
        <v>316</v>
      </c>
      <c r="AW233">
        <v>0</v>
      </c>
      <c r="AX233" s="1">
        <v>46126</v>
      </c>
      <c r="AY233" s="2">
        <v>0.3976851851851852</v>
      </c>
      <c r="AZ233">
        <v>199313</v>
      </c>
      <c r="BA233" s="1">
        <v>46117</v>
      </c>
      <c r="BC233" t="s">
        <v>0</v>
      </c>
      <c r="BD233" s="1">
        <v>46119</v>
      </c>
      <c r="BE233" t="s">
        <v>615</v>
      </c>
      <c r="BL233" s="4">
        <v>0</v>
      </c>
      <c r="BM233" s="1">
        <v>46995</v>
      </c>
      <c r="BO233">
        <v>0</v>
      </c>
      <c r="BP233">
        <v>30540</v>
      </c>
      <c r="BQ233" t="s">
        <v>156</v>
      </c>
      <c r="BR233" s="3">
        <v>123579.53</v>
      </c>
      <c r="BS233" s="3">
        <v>26281</v>
      </c>
      <c r="BT233">
        <v>0</v>
      </c>
      <c r="BU233" s="3">
        <v>149860.53</v>
      </c>
      <c r="BV233" s="3">
        <v>218000.17</v>
      </c>
      <c r="BX233">
        <v>0</v>
      </c>
      <c r="BZ233">
        <v>0</v>
      </c>
      <c r="CA233">
        <v>0</v>
      </c>
      <c r="CB233">
        <v>0</v>
      </c>
      <c r="CC233" s="3">
        <v>218000.17</v>
      </c>
      <c r="CD233" s="5">
        <v>0</v>
      </c>
      <c r="CF233" s="6">
        <v>46113</v>
      </c>
      <c r="CH233">
        <v>0</v>
      </c>
      <c r="CI233">
        <v>0</v>
      </c>
      <c r="CJ233">
        <v>0</v>
      </c>
      <c r="CK233">
        <v>0</v>
      </c>
      <c r="CL233">
        <v>0</v>
      </c>
      <c r="CM233">
        <v>0</v>
      </c>
      <c r="CN233">
        <v>0</v>
      </c>
      <c r="CO233">
        <v>0</v>
      </c>
      <c r="CP233">
        <v>0</v>
      </c>
      <c r="CQ233">
        <v>0</v>
      </c>
      <c r="CR233">
        <v>0</v>
      </c>
      <c r="CS233" t="s">
        <v>428</v>
      </c>
      <c r="CT233" t="s">
        <v>214</v>
      </c>
      <c r="CU233" t="s">
        <v>1783</v>
      </c>
      <c r="CW233">
        <v>-54.143799999999999</v>
      </c>
      <c r="CZ233" s="1">
        <v>46119</v>
      </c>
      <c r="DA233" t="s">
        <v>172</v>
      </c>
      <c r="DB233" t="s">
        <v>172</v>
      </c>
      <c r="DC233" t="s">
        <v>172</v>
      </c>
      <c r="DD233" t="s">
        <v>172</v>
      </c>
      <c r="DG233" s="1">
        <v>46119</v>
      </c>
      <c r="DH233">
        <v>0</v>
      </c>
      <c r="DI233">
        <v>0</v>
      </c>
      <c r="DK233" t="s">
        <v>179</v>
      </c>
      <c r="DL233" t="s">
        <v>215</v>
      </c>
      <c r="DM233" t="s">
        <v>172</v>
      </c>
      <c r="DN233" t="s">
        <v>201</v>
      </c>
      <c r="DV233" s="3">
        <v>218000.17</v>
      </c>
      <c r="DW233">
        <v>0</v>
      </c>
      <c r="DX233" s="3">
        <v>218000.17</v>
      </c>
      <c r="DY233">
        <v>0</v>
      </c>
      <c r="EN233" t="s">
        <v>537</v>
      </c>
    </row>
    <row r="234" spans="1:153" ht="87" x14ac:dyDescent="0.35">
      <c r="A234" t="str">
        <f>HYPERLINK("https://7lm.cvcrm.com.br/gestor/comercial/reservas/6926/administrar","6926")</f>
        <v>6926</v>
      </c>
      <c r="B234" t="s">
        <v>156</v>
      </c>
      <c r="C234" s="1">
        <v>46119</v>
      </c>
      <c r="D234" s="2">
        <v>0.78947916666666662</v>
      </c>
      <c r="E234" t="s">
        <v>294</v>
      </c>
      <c r="F234" t="s">
        <v>226</v>
      </c>
      <c r="G234" t="s">
        <v>159</v>
      </c>
      <c r="H234" t="s">
        <v>227</v>
      </c>
      <c r="I234" t="s">
        <v>1267</v>
      </c>
      <c r="J234">
        <v>1</v>
      </c>
      <c r="L234">
        <v>10031</v>
      </c>
      <c r="M234" t="s">
        <v>1790</v>
      </c>
      <c r="N234" s="1">
        <v>46121</v>
      </c>
      <c r="O234" s="2">
        <v>0.53971064814814818</v>
      </c>
      <c r="R234" t="str">
        <f>HYPERLINK("https://7lm.cvcrm.com.br/gestor/relatorios/associado/html?q[1|r.idreserva]=6926","TAINA LUISE AZEVEDO DE SOUSA")</f>
        <v>TAINA LUISE AZEVEDO DE SOUSA</v>
      </c>
      <c r="S234">
        <v>5773230160</v>
      </c>
      <c r="T234">
        <v>5561982107479</v>
      </c>
      <c r="U234">
        <v>5561982107479</v>
      </c>
      <c r="V234" t="s">
        <v>1791</v>
      </c>
      <c r="W234" t="s">
        <v>187</v>
      </c>
      <c r="X234" t="s">
        <v>1116</v>
      </c>
      <c r="Y234" t="s">
        <v>165</v>
      </c>
      <c r="Z234" t="s">
        <v>257</v>
      </c>
      <c r="AA234" t="s">
        <v>770</v>
      </c>
      <c r="AB234" t="s">
        <v>1792</v>
      </c>
      <c r="AC234" t="s">
        <v>1294</v>
      </c>
      <c r="AE234" t="s">
        <v>1295</v>
      </c>
      <c r="AF234" t="s">
        <v>170</v>
      </c>
      <c r="AG234" t="s">
        <v>171</v>
      </c>
      <c r="AH234" s="3">
        <v>354444.99</v>
      </c>
      <c r="AI234" s="3">
        <v>354444.99</v>
      </c>
      <c r="AJ234" s="1">
        <v>46119</v>
      </c>
      <c r="AN234" t="s">
        <v>172</v>
      </c>
      <c r="AR234" s="7" t="s">
        <v>1149</v>
      </c>
      <c r="AT234" t="s">
        <v>261</v>
      </c>
      <c r="AU234" t="s">
        <v>197</v>
      </c>
      <c r="AW234">
        <v>0</v>
      </c>
      <c r="AX234" s="1">
        <v>46122</v>
      </c>
      <c r="AY234" s="2">
        <v>0.68721064814814814</v>
      </c>
      <c r="AZ234">
        <v>197721</v>
      </c>
      <c r="BA234" s="1">
        <v>46108</v>
      </c>
      <c r="BC234" t="s">
        <v>213</v>
      </c>
      <c r="BD234" s="1">
        <v>46108</v>
      </c>
      <c r="BE234" t="s">
        <v>176</v>
      </c>
      <c r="BL234" s="4">
        <v>0</v>
      </c>
      <c r="BM234" s="1">
        <v>46698</v>
      </c>
      <c r="BN234" s="1">
        <v>46122</v>
      </c>
      <c r="BO234">
        <v>0</v>
      </c>
      <c r="BP234">
        <v>30271</v>
      </c>
      <c r="BQ234" t="s">
        <v>156</v>
      </c>
      <c r="BR234" s="3">
        <v>278386.27</v>
      </c>
      <c r="BS234">
        <v>0</v>
      </c>
      <c r="BT234">
        <v>0</v>
      </c>
      <c r="BU234" s="3">
        <v>278386.27</v>
      </c>
      <c r="BV234" s="3">
        <v>354444.99</v>
      </c>
      <c r="BX234">
        <v>0</v>
      </c>
      <c r="BZ234">
        <v>0</v>
      </c>
      <c r="CA234">
        <v>0</v>
      </c>
      <c r="CB234">
        <v>0</v>
      </c>
      <c r="CC234" s="3">
        <v>354444.99</v>
      </c>
      <c r="CD234" s="5">
        <v>0</v>
      </c>
      <c r="CF234" s="6">
        <v>46113</v>
      </c>
      <c r="CH234">
        <v>0</v>
      </c>
      <c r="CI234">
        <v>0</v>
      </c>
      <c r="CJ234">
        <v>0</v>
      </c>
      <c r="CK234">
        <v>0</v>
      </c>
      <c r="CL234">
        <v>0</v>
      </c>
      <c r="CM234">
        <v>0</v>
      </c>
      <c r="CN234">
        <v>0</v>
      </c>
      <c r="CO234">
        <v>0</v>
      </c>
      <c r="CP234">
        <v>0</v>
      </c>
      <c r="CQ234">
        <v>0</v>
      </c>
      <c r="CR234">
        <v>0</v>
      </c>
      <c r="CS234" t="s">
        <v>177</v>
      </c>
      <c r="CT234" t="s">
        <v>238</v>
      </c>
      <c r="CU234" t="s">
        <v>1267</v>
      </c>
      <c r="CW234">
        <v>-60.319400000000002</v>
      </c>
      <c r="CX234" t="s">
        <v>170</v>
      </c>
      <c r="CZ234" s="1">
        <v>46119</v>
      </c>
      <c r="DA234" t="s">
        <v>172</v>
      </c>
      <c r="DB234" t="s">
        <v>172</v>
      </c>
      <c r="DC234" t="s">
        <v>172</v>
      </c>
      <c r="DD234" t="s">
        <v>172</v>
      </c>
      <c r="DG234" s="1">
        <v>46119</v>
      </c>
      <c r="DH234">
        <v>0</v>
      </c>
      <c r="DI234">
        <v>0</v>
      </c>
      <c r="DL234" t="s">
        <v>239</v>
      </c>
      <c r="DM234" t="s">
        <v>172</v>
      </c>
      <c r="DU234" t="s">
        <v>1120</v>
      </c>
      <c r="DV234" s="3">
        <v>538798.97</v>
      </c>
      <c r="DW234">
        <v>-60.32</v>
      </c>
      <c r="DX234" s="3">
        <v>538798.97</v>
      </c>
      <c r="DY234">
        <v>-60.32</v>
      </c>
    </row>
    <row r="235" spans="1:153" ht="246.5" x14ac:dyDescent="0.35">
      <c r="A235" t="str">
        <f>HYPERLINK("https://7lm.cvcrm.com.br/gestor/comercial/reservas/6925/administrar","6925")</f>
        <v>6925</v>
      </c>
      <c r="B235" t="s">
        <v>156</v>
      </c>
      <c r="C235" s="1">
        <v>46119</v>
      </c>
      <c r="D235" s="2">
        <v>0.67642361111111116</v>
      </c>
      <c r="E235" t="s">
        <v>294</v>
      </c>
      <c r="F235" t="s">
        <v>458</v>
      </c>
      <c r="G235" t="s">
        <v>203</v>
      </c>
      <c r="H235" t="s">
        <v>306</v>
      </c>
      <c r="I235" t="s">
        <v>1793</v>
      </c>
      <c r="J235">
        <v>1</v>
      </c>
      <c r="K235">
        <v>8411</v>
      </c>
      <c r="L235">
        <v>20001</v>
      </c>
      <c r="M235" t="s">
        <v>1794</v>
      </c>
      <c r="N235" s="1">
        <v>46149</v>
      </c>
      <c r="O235" s="2">
        <v>0.43437500000000001</v>
      </c>
      <c r="Q235">
        <v>9931</v>
      </c>
      <c r="R235" t="str">
        <f>HYPERLINK("https://7lm.cvcrm.com.br/gestor/relatorios/associado/html?q[1|r.idreserva]=6925","BARBARA VITORIA DE MELO")</f>
        <v>BARBARA VITORIA DE MELO</v>
      </c>
      <c r="S235">
        <v>7224318132</v>
      </c>
      <c r="T235">
        <v>5561986540706</v>
      </c>
      <c r="U235">
        <v>5561999882716</v>
      </c>
      <c r="V235" t="s">
        <v>1795</v>
      </c>
      <c r="W235" t="s">
        <v>187</v>
      </c>
      <c r="X235" t="s">
        <v>299</v>
      </c>
      <c r="Y235" t="s">
        <v>165</v>
      </c>
      <c r="Z235" t="s">
        <v>1030</v>
      </c>
      <c r="AA235" t="s">
        <v>1110</v>
      </c>
      <c r="AB235" t="s">
        <v>1796</v>
      </c>
      <c r="AC235" t="s">
        <v>425</v>
      </c>
      <c r="AF235" t="s">
        <v>389</v>
      </c>
      <c r="AG235" t="s">
        <v>195</v>
      </c>
      <c r="AH235" s="3">
        <v>225299.7</v>
      </c>
      <c r="AI235" s="3">
        <v>225299.7</v>
      </c>
      <c r="AJ235" s="1">
        <v>46119</v>
      </c>
      <c r="AN235" t="s">
        <v>172</v>
      </c>
      <c r="AR235" s="7" t="s">
        <v>353</v>
      </c>
      <c r="AT235" t="s">
        <v>261</v>
      </c>
      <c r="AU235" t="s">
        <v>276</v>
      </c>
      <c r="AW235">
        <v>0</v>
      </c>
      <c r="AX235" s="1">
        <v>46149</v>
      </c>
      <c r="AY235" s="2">
        <v>0.4457638888888889</v>
      </c>
      <c r="AZ235">
        <v>196132</v>
      </c>
      <c r="BA235" s="1">
        <v>46099</v>
      </c>
      <c r="BC235" t="s">
        <v>0</v>
      </c>
      <c r="BD235" s="1">
        <v>46119</v>
      </c>
      <c r="BE235" t="s">
        <v>198</v>
      </c>
      <c r="BL235" s="4">
        <v>0</v>
      </c>
      <c r="BM235" s="1">
        <v>46572</v>
      </c>
      <c r="BN235" s="1">
        <v>46149</v>
      </c>
      <c r="BO235">
        <v>0</v>
      </c>
      <c r="BP235">
        <v>30544</v>
      </c>
      <c r="BQ235" t="s">
        <v>156</v>
      </c>
      <c r="BR235" s="3">
        <v>141863.18</v>
      </c>
      <c r="BS235" s="3">
        <v>24086</v>
      </c>
      <c r="BT235">
        <v>0</v>
      </c>
      <c r="BU235" s="3">
        <v>165949.18</v>
      </c>
      <c r="BV235" s="3">
        <v>225299.7</v>
      </c>
      <c r="BX235">
        <v>0</v>
      </c>
      <c r="BZ235">
        <v>0</v>
      </c>
      <c r="CA235">
        <v>0</v>
      </c>
      <c r="CB235">
        <v>0</v>
      </c>
      <c r="CC235" s="3">
        <v>225299.7</v>
      </c>
      <c r="CD235" s="5">
        <v>0</v>
      </c>
      <c r="CE235" t="s">
        <v>467</v>
      </c>
      <c r="CF235" s="6">
        <v>46143</v>
      </c>
      <c r="CH235">
        <v>0</v>
      </c>
      <c r="CI235">
        <v>0</v>
      </c>
      <c r="CJ235">
        <v>0</v>
      </c>
      <c r="CK235">
        <v>0</v>
      </c>
      <c r="CL235">
        <v>0</v>
      </c>
      <c r="CM235">
        <v>0</v>
      </c>
      <c r="CN235">
        <v>0</v>
      </c>
      <c r="CO235">
        <v>0</v>
      </c>
      <c r="CP235">
        <v>0</v>
      </c>
      <c r="CQ235">
        <v>0</v>
      </c>
      <c r="CR235">
        <v>0</v>
      </c>
      <c r="CS235" t="s">
        <v>649</v>
      </c>
      <c r="CT235" t="s">
        <v>214</v>
      </c>
      <c r="CU235" t="s">
        <v>1793</v>
      </c>
      <c r="CW235">
        <v>0</v>
      </c>
      <c r="CZ235" s="1">
        <v>46119</v>
      </c>
      <c r="DA235" t="s">
        <v>172</v>
      </c>
      <c r="DB235" t="s">
        <v>172</v>
      </c>
      <c r="DC235" t="s">
        <v>172</v>
      </c>
      <c r="DD235" t="s">
        <v>172</v>
      </c>
      <c r="DG235" s="1">
        <v>46119</v>
      </c>
      <c r="DH235">
        <v>0</v>
      </c>
      <c r="DI235">
        <v>0</v>
      </c>
      <c r="DJ235" s="1">
        <v>46149</v>
      </c>
      <c r="DL235" t="s">
        <v>200</v>
      </c>
      <c r="DM235" t="s">
        <v>172</v>
      </c>
      <c r="DN235" t="s">
        <v>201</v>
      </c>
      <c r="DV235" s="3">
        <v>225299.7</v>
      </c>
      <c r="DW235">
        <v>0</v>
      </c>
      <c r="DX235" s="3">
        <v>225299.7</v>
      </c>
      <c r="DY235">
        <v>0</v>
      </c>
      <c r="EF235" s="1">
        <v>46148</v>
      </c>
      <c r="EG235" s="1">
        <v>46147</v>
      </c>
      <c r="EK235" s="1">
        <v>46148</v>
      </c>
      <c r="EM235" s="1">
        <v>46128</v>
      </c>
      <c r="EP235" s="1">
        <v>46127</v>
      </c>
    </row>
    <row r="236" spans="1:153" ht="188.5" x14ac:dyDescent="0.35">
      <c r="A236" t="str">
        <f>HYPERLINK("https://7lm.cvcrm.com.br/gestor/comercial/reservas/6924/administrar","6924")</f>
        <v>6924</v>
      </c>
      <c r="B236" t="s">
        <v>172</v>
      </c>
      <c r="C236" s="1">
        <v>46119</v>
      </c>
      <c r="D236" s="2">
        <v>0.64842592592592596</v>
      </c>
      <c r="E236" t="s">
        <v>527</v>
      </c>
      <c r="F236" t="s">
        <v>182</v>
      </c>
      <c r="G236" t="s">
        <v>159</v>
      </c>
      <c r="H236" t="s">
        <v>538</v>
      </c>
      <c r="I236" t="s">
        <v>1247</v>
      </c>
      <c r="J236">
        <v>1</v>
      </c>
      <c r="L236">
        <v>30151</v>
      </c>
      <c r="M236" t="s">
        <v>1248</v>
      </c>
      <c r="R236" t="str">
        <f>HYPERLINK("https://7lm.cvcrm.com.br/gestor/relatorios/associado/html?q[1|r.idreserva]=6924","ADAIRLENE MAGALHAES BISPO LOPES")</f>
        <v>ADAIRLENE MAGALHAES BISPO LOPES</v>
      </c>
      <c r="S236">
        <v>8319192560</v>
      </c>
      <c r="T236">
        <v>5562995565551</v>
      </c>
      <c r="U236">
        <v>5561998095432</v>
      </c>
      <c r="V236" t="s">
        <v>1797</v>
      </c>
      <c r="W236" t="s">
        <v>187</v>
      </c>
      <c r="X236" t="s">
        <v>1798</v>
      </c>
      <c r="Y236" t="s">
        <v>189</v>
      </c>
      <c r="Z236" t="s">
        <v>190</v>
      </c>
      <c r="AA236" t="s">
        <v>1024</v>
      </c>
      <c r="AB236" t="s">
        <v>1799</v>
      </c>
      <c r="AC236" t="s">
        <v>1642</v>
      </c>
      <c r="AD236" t="s">
        <v>1643</v>
      </c>
      <c r="AF236" t="s">
        <v>303</v>
      </c>
      <c r="AG236" t="s">
        <v>195</v>
      </c>
      <c r="AH236" s="3">
        <v>241000.8</v>
      </c>
      <c r="AI236" s="3">
        <v>241000.8</v>
      </c>
      <c r="AJ236" s="1">
        <v>46142</v>
      </c>
      <c r="AN236" t="s">
        <v>172</v>
      </c>
      <c r="AO236" t="s">
        <v>1175</v>
      </c>
      <c r="AR236" s="7" t="s">
        <v>1800</v>
      </c>
      <c r="AT236" t="s">
        <v>196</v>
      </c>
      <c r="AU236" t="s">
        <v>292</v>
      </c>
      <c r="AW236">
        <v>0</v>
      </c>
      <c r="AX236" s="1">
        <v>46122</v>
      </c>
      <c r="AY236" s="2">
        <v>0.71574074074074079</v>
      </c>
      <c r="AZ236">
        <v>199521</v>
      </c>
      <c r="BA236" s="1">
        <v>46118</v>
      </c>
      <c r="BC236" t="s">
        <v>176</v>
      </c>
      <c r="BD236" s="1">
        <v>46118</v>
      </c>
      <c r="BE236" t="s">
        <v>176</v>
      </c>
      <c r="BL236" s="4">
        <v>0</v>
      </c>
      <c r="BM236" s="1">
        <v>46899</v>
      </c>
      <c r="BO236">
        <v>0</v>
      </c>
      <c r="BP236">
        <v>30533</v>
      </c>
      <c r="BQ236" t="s">
        <v>156</v>
      </c>
      <c r="BR236" s="3">
        <v>131416.82999999999</v>
      </c>
      <c r="BS236" s="3">
        <v>28110</v>
      </c>
      <c r="BT236">
        <v>0</v>
      </c>
      <c r="BU236" s="3">
        <v>159526.82999999999</v>
      </c>
      <c r="BV236" s="3">
        <v>241000.8</v>
      </c>
      <c r="BX236">
        <v>0</v>
      </c>
      <c r="BZ236">
        <v>0</v>
      </c>
      <c r="CA236">
        <v>0</v>
      </c>
      <c r="CB236">
        <v>0</v>
      </c>
      <c r="CC236" s="3">
        <v>241000.8</v>
      </c>
      <c r="CD236" s="5">
        <v>0</v>
      </c>
      <c r="CF236" s="6">
        <v>46113</v>
      </c>
      <c r="CH236">
        <v>0</v>
      </c>
      <c r="CI236">
        <v>0</v>
      </c>
      <c r="CJ236">
        <v>0</v>
      </c>
      <c r="CK236">
        <v>0</v>
      </c>
      <c r="CL236">
        <v>0</v>
      </c>
      <c r="CM236">
        <v>0</v>
      </c>
      <c r="CN236">
        <v>0</v>
      </c>
      <c r="CO236">
        <v>0</v>
      </c>
      <c r="CP236">
        <v>0</v>
      </c>
      <c r="CQ236">
        <v>0</v>
      </c>
      <c r="CR236">
        <v>0</v>
      </c>
      <c r="CT236" t="s">
        <v>190</v>
      </c>
      <c r="CU236" t="s">
        <v>1247</v>
      </c>
      <c r="CW236">
        <v>0</v>
      </c>
      <c r="CZ236" s="1">
        <v>46119</v>
      </c>
      <c r="DA236" t="s">
        <v>172</v>
      </c>
      <c r="DB236" t="s">
        <v>172</v>
      </c>
      <c r="DC236" t="s">
        <v>172</v>
      </c>
      <c r="DD236" t="s">
        <v>172</v>
      </c>
      <c r="DG236" s="1">
        <v>46119</v>
      </c>
      <c r="DH236">
        <v>0</v>
      </c>
      <c r="DI236">
        <v>0</v>
      </c>
      <c r="DK236" t="s">
        <v>179</v>
      </c>
      <c r="DL236" t="s">
        <v>200</v>
      </c>
      <c r="DM236" t="s">
        <v>172</v>
      </c>
      <c r="DN236" t="s">
        <v>201</v>
      </c>
      <c r="DV236" s="3">
        <v>241000.8</v>
      </c>
      <c r="DW236">
        <v>0</v>
      </c>
      <c r="DX236" s="3">
        <v>241000.8</v>
      </c>
      <c r="DY236">
        <v>0</v>
      </c>
      <c r="EN236" t="s">
        <v>156</v>
      </c>
      <c r="ET236" t="s">
        <v>1801</v>
      </c>
      <c r="EU236" s="1">
        <v>45767</v>
      </c>
      <c r="EW236" s="1">
        <v>46119</v>
      </c>
    </row>
    <row r="237" spans="1:153" ht="406" x14ac:dyDescent="0.35">
      <c r="A237" t="str">
        <f>HYPERLINK("https://7lm.cvcrm.com.br/gestor/comercial/reservas/6923/administrar","6923")</f>
        <v>6923</v>
      </c>
      <c r="B237" t="s">
        <v>156</v>
      </c>
      <c r="C237" s="1">
        <v>46118</v>
      </c>
      <c r="D237" s="2">
        <v>0.78715277777777781</v>
      </c>
      <c r="E237" t="s">
        <v>294</v>
      </c>
      <c r="F237" t="s">
        <v>182</v>
      </c>
      <c r="G237" t="s">
        <v>159</v>
      </c>
      <c r="H237" t="s">
        <v>643</v>
      </c>
      <c r="I237" t="s">
        <v>1233</v>
      </c>
      <c r="J237">
        <v>1</v>
      </c>
      <c r="L237">
        <v>30151</v>
      </c>
      <c r="M237" t="s">
        <v>1802</v>
      </c>
      <c r="N237" s="1">
        <v>46122</v>
      </c>
      <c r="O237" s="2">
        <v>0.49777777777777776</v>
      </c>
      <c r="R237" t="str">
        <f>HYPERLINK("https://7lm.cvcrm.com.br/gestor/relatorios/associado/html?q[1|r.idreserva]=6923","KARLA IZABELA MARCELINO ALVES")</f>
        <v>KARLA IZABELA MARCELINO ALVES</v>
      </c>
      <c r="S237">
        <v>6754446161</v>
      </c>
      <c r="T237">
        <v>5561998068605</v>
      </c>
      <c r="V237" t="s">
        <v>1803</v>
      </c>
      <c r="W237" t="s">
        <v>187</v>
      </c>
      <c r="X237" t="s">
        <v>376</v>
      </c>
      <c r="Y237" t="s">
        <v>189</v>
      </c>
      <c r="Z237" t="s">
        <v>190</v>
      </c>
      <c r="AA237" t="s">
        <v>377</v>
      </c>
      <c r="AB237" t="s">
        <v>1804</v>
      </c>
      <c r="AC237" t="s">
        <v>1642</v>
      </c>
      <c r="AD237" t="s">
        <v>1643</v>
      </c>
      <c r="AF237" t="s">
        <v>303</v>
      </c>
      <c r="AG237" t="s">
        <v>195</v>
      </c>
      <c r="AH237" s="3">
        <v>241656.52</v>
      </c>
      <c r="AI237" s="3">
        <v>241656.52</v>
      </c>
      <c r="AJ237" s="1">
        <v>46142</v>
      </c>
      <c r="AN237" t="s">
        <v>172</v>
      </c>
      <c r="AR237" s="7" t="s">
        <v>1805</v>
      </c>
      <c r="AT237" t="s">
        <v>196</v>
      </c>
      <c r="AU237" t="s">
        <v>292</v>
      </c>
      <c r="AW237">
        <v>0</v>
      </c>
      <c r="AX237" s="1">
        <v>46126</v>
      </c>
      <c r="AY237" s="2">
        <v>0.42214120370370373</v>
      </c>
      <c r="AZ237" t="s">
        <v>1806</v>
      </c>
      <c r="BA237" t="s">
        <v>1807</v>
      </c>
      <c r="BB237" t="s">
        <v>1808</v>
      </c>
      <c r="BC237" t="s">
        <v>1809</v>
      </c>
      <c r="BD237" t="s">
        <v>1810</v>
      </c>
      <c r="BE237" t="s">
        <v>995</v>
      </c>
      <c r="BL237" s="4">
        <v>0</v>
      </c>
      <c r="BM237" s="1">
        <v>46899</v>
      </c>
      <c r="BN237" s="1">
        <v>46126</v>
      </c>
      <c r="BO237">
        <v>0</v>
      </c>
      <c r="BP237">
        <v>30502</v>
      </c>
      <c r="BQ237" t="s">
        <v>156</v>
      </c>
      <c r="BR237" s="3">
        <v>137185.82999999999</v>
      </c>
      <c r="BS237" s="3">
        <v>19011</v>
      </c>
      <c r="BT237">
        <v>0</v>
      </c>
      <c r="BU237" s="3">
        <v>156196.82999999999</v>
      </c>
      <c r="BV237" s="3">
        <v>241656.52</v>
      </c>
      <c r="BX237">
        <v>0</v>
      </c>
      <c r="BZ237">
        <v>0</v>
      </c>
      <c r="CA237">
        <v>0</v>
      </c>
      <c r="CB237">
        <v>0</v>
      </c>
      <c r="CC237" s="3">
        <v>241656.52</v>
      </c>
      <c r="CD237" s="5">
        <v>0</v>
      </c>
      <c r="CF237" s="6">
        <v>46113</v>
      </c>
      <c r="CH237">
        <v>0</v>
      </c>
      <c r="CI237">
        <v>0</v>
      </c>
      <c r="CJ237">
        <v>0</v>
      </c>
      <c r="CK237">
        <v>0</v>
      </c>
      <c r="CL237">
        <v>0</v>
      </c>
      <c r="CM237">
        <v>0</v>
      </c>
      <c r="CN237">
        <v>0</v>
      </c>
      <c r="CO237">
        <v>0</v>
      </c>
      <c r="CP237">
        <v>0</v>
      </c>
      <c r="CQ237">
        <v>0</v>
      </c>
      <c r="CR237">
        <v>0</v>
      </c>
      <c r="CS237" t="s">
        <v>360</v>
      </c>
      <c r="CT237" t="s">
        <v>190</v>
      </c>
      <c r="CU237" t="s">
        <v>1233</v>
      </c>
      <c r="CW237">
        <v>-50.881300000000003</v>
      </c>
      <c r="CZ237" s="1">
        <v>46118</v>
      </c>
      <c r="DA237" t="s">
        <v>172</v>
      </c>
      <c r="DB237" t="s">
        <v>172</v>
      </c>
      <c r="DC237" t="s">
        <v>172</v>
      </c>
      <c r="DD237" t="s">
        <v>172</v>
      </c>
      <c r="DG237" s="1">
        <v>46118</v>
      </c>
      <c r="DH237">
        <v>0</v>
      </c>
      <c r="DI237">
        <v>0</v>
      </c>
      <c r="DK237" t="s">
        <v>179</v>
      </c>
      <c r="DL237" t="s">
        <v>200</v>
      </c>
      <c r="DM237" t="s">
        <v>172</v>
      </c>
      <c r="DN237" t="s">
        <v>201</v>
      </c>
      <c r="DV237" s="3">
        <v>241656.52</v>
      </c>
      <c r="DW237">
        <v>0</v>
      </c>
      <c r="DX237" s="3">
        <v>241656.52</v>
      </c>
      <c r="DY237">
        <v>0</v>
      </c>
      <c r="EF237" s="1">
        <v>46122</v>
      </c>
      <c r="EG237" s="1">
        <v>46120</v>
      </c>
      <c r="EK237" s="1">
        <v>46122</v>
      </c>
      <c r="EL237" s="1">
        <v>46122</v>
      </c>
      <c r="EN237" t="s">
        <v>156</v>
      </c>
      <c r="EP237" s="1">
        <v>46121</v>
      </c>
      <c r="EQ237" s="1">
        <v>46121</v>
      </c>
      <c r="EU237" s="1">
        <v>46122</v>
      </c>
      <c r="EV237" s="1">
        <v>46120</v>
      </c>
      <c r="EW237" s="1">
        <v>46118</v>
      </c>
    </row>
    <row r="238" spans="1:153" ht="246.5" x14ac:dyDescent="0.35">
      <c r="A238" t="str">
        <f>HYPERLINK("https://7lm.cvcrm.com.br/gestor/comercial/reservas/6922/administrar","6922")</f>
        <v>6922</v>
      </c>
      <c r="B238" t="s">
        <v>156</v>
      </c>
      <c r="C238" s="1">
        <v>46118</v>
      </c>
      <c r="D238" s="2">
        <v>0.71908564814814813</v>
      </c>
      <c r="E238" t="s">
        <v>294</v>
      </c>
      <c r="F238" t="s">
        <v>957</v>
      </c>
      <c r="G238" t="s">
        <v>159</v>
      </c>
      <c r="H238" t="s">
        <v>345</v>
      </c>
      <c r="I238" t="s">
        <v>583</v>
      </c>
      <c r="J238">
        <v>1</v>
      </c>
      <c r="K238">
        <v>8349</v>
      </c>
      <c r="L238">
        <v>30121</v>
      </c>
      <c r="M238" t="s">
        <v>1811</v>
      </c>
      <c r="N238" s="1">
        <v>46135</v>
      </c>
      <c r="O238" s="2">
        <v>0.46148148148148149</v>
      </c>
      <c r="Q238">
        <v>9889</v>
      </c>
      <c r="R238" t="str">
        <f>HYPERLINK("https://7lm.cvcrm.com.br/gestor/relatorios/associado/html?q[1|r.idreserva]=6922","EDUARDO LOPES DA LUZ")</f>
        <v>EDUARDO LOPES DA LUZ</v>
      </c>
      <c r="S238">
        <v>9533845198</v>
      </c>
      <c r="T238">
        <v>556194499369</v>
      </c>
      <c r="V238" t="s">
        <v>1812</v>
      </c>
      <c r="W238" t="s">
        <v>163</v>
      </c>
      <c r="X238" t="s">
        <v>1813</v>
      </c>
      <c r="Y238" t="s">
        <v>189</v>
      </c>
      <c r="Z238" t="s">
        <v>190</v>
      </c>
      <c r="AA238" t="s">
        <v>596</v>
      </c>
      <c r="AB238" t="s">
        <v>1814</v>
      </c>
      <c r="AC238" t="s">
        <v>1815</v>
      </c>
      <c r="AD238" t="s">
        <v>1815</v>
      </c>
      <c r="AF238" t="s">
        <v>352</v>
      </c>
      <c r="AG238" t="s">
        <v>251</v>
      </c>
      <c r="AH238" s="3">
        <v>249725.25</v>
      </c>
      <c r="AI238" s="3">
        <v>249725.25</v>
      </c>
      <c r="AJ238" s="1">
        <v>46178</v>
      </c>
      <c r="AN238" t="s">
        <v>172</v>
      </c>
      <c r="AR238" s="7" t="s">
        <v>353</v>
      </c>
      <c r="AT238" t="s">
        <v>261</v>
      </c>
      <c r="AV238" t="s">
        <v>1627</v>
      </c>
      <c r="AW238">
        <v>0</v>
      </c>
      <c r="AX238" s="1">
        <v>46136</v>
      </c>
      <c r="AY238" s="2">
        <v>0.41629629629629628</v>
      </c>
      <c r="AZ238">
        <v>111805</v>
      </c>
      <c r="BA238" s="1">
        <v>45370</v>
      </c>
      <c r="BC238" t="s">
        <v>176</v>
      </c>
      <c r="BD238" s="1">
        <v>45370</v>
      </c>
      <c r="BE238" t="s">
        <v>466</v>
      </c>
      <c r="BL238" s="4">
        <v>0</v>
      </c>
      <c r="BM238" s="1">
        <v>47031</v>
      </c>
      <c r="BN238" s="1">
        <v>46136</v>
      </c>
      <c r="BO238">
        <v>0</v>
      </c>
      <c r="BP238">
        <v>25609</v>
      </c>
      <c r="BQ238" t="s">
        <v>156</v>
      </c>
      <c r="BR238" s="3">
        <v>136306.79999999999</v>
      </c>
      <c r="BS238" s="3">
        <v>20440</v>
      </c>
      <c r="BT238">
        <v>0</v>
      </c>
      <c r="BU238" s="3">
        <v>156746.79999999999</v>
      </c>
      <c r="BV238" s="3">
        <v>249725.25</v>
      </c>
      <c r="BX238">
        <v>0</v>
      </c>
      <c r="BZ238">
        <v>0</v>
      </c>
      <c r="CA238">
        <v>0</v>
      </c>
      <c r="CB238">
        <v>0</v>
      </c>
      <c r="CC238" s="3">
        <v>249725.25</v>
      </c>
      <c r="CD238" s="5">
        <v>0</v>
      </c>
      <c r="CF238" s="6">
        <v>46113</v>
      </c>
      <c r="CH238">
        <v>0</v>
      </c>
      <c r="CI238">
        <v>0</v>
      </c>
      <c r="CJ238">
        <v>0</v>
      </c>
      <c r="CK238">
        <v>0</v>
      </c>
      <c r="CL238">
        <v>0</v>
      </c>
      <c r="CM238">
        <v>0</v>
      </c>
      <c r="CN238">
        <v>0</v>
      </c>
      <c r="CO238">
        <v>0</v>
      </c>
      <c r="CP238">
        <v>0</v>
      </c>
      <c r="CQ238">
        <v>0</v>
      </c>
      <c r="CR238">
        <v>0</v>
      </c>
      <c r="CS238" t="s">
        <v>360</v>
      </c>
      <c r="CT238" t="s">
        <v>190</v>
      </c>
      <c r="CU238" t="s">
        <v>583</v>
      </c>
      <c r="CW238">
        <v>-45.683999999999997</v>
      </c>
      <c r="CZ238" s="1">
        <v>46118</v>
      </c>
      <c r="DA238" t="s">
        <v>172</v>
      </c>
      <c r="DB238" t="s">
        <v>172</v>
      </c>
      <c r="DC238" t="s">
        <v>172</v>
      </c>
      <c r="DD238" t="s">
        <v>172</v>
      </c>
      <c r="DG238" s="1">
        <v>46118</v>
      </c>
      <c r="DH238">
        <v>0</v>
      </c>
      <c r="DI238">
        <v>0</v>
      </c>
      <c r="DJ238" s="1">
        <v>46135</v>
      </c>
      <c r="DL238" t="s">
        <v>963</v>
      </c>
      <c r="DM238" t="s">
        <v>172</v>
      </c>
      <c r="DN238" t="s">
        <v>201</v>
      </c>
      <c r="DV238" s="3">
        <v>249725.25</v>
      </c>
      <c r="DW238">
        <v>0</v>
      </c>
      <c r="DX238" s="3">
        <v>249725.25</v>
      </c>
      <c r="DY238">
        <v>0</v>
      </c>
      <c r="EG238" s="1">
        <v>46132</v>
      </c>
      <c r="EH238" s="1">
        <v>46129</v>
      </c>
      <c r="EM238" s="1">
        <v>46125</v>
      </c>
      <c r="EN238" t="s">
        <v>156</v>
      </c>
      <c r="EP238" s="1">
        <v>46121</v>
      </c>
      <c r="EQ238" s="1">
        <v>46132</v>
      </c>
      <c r="ER238" s="1">
        <v>46120</v>
      </c>
      <c r="ES238" t="s">
        <v>1816</v>
      </c>
      <c r="ET238" t="s">
        <v>1817</v>
      </c>
      <c r="EV238" s="1">
        <v>46132</v>
      </c>
      <c r="EW238" s="1">
        <v>46118</v>
      </c>
    </row>
    <row r="239" spans="1:153" x14ac:dyDescent="0.35">
      <c r="A239" t="str">
        <f>HYPERLINK("https://7lm.cvcrm.com.br/gestor/comercial/reservas/6921/administrar","6921")</f>
        <v>6921</v>
      </c>
      <c r="B239" t="s">
        <v>172</v>
      </c>
      <c r="C239" s="1">
        <v>46118</v>
      </c>
      <c r="D239" s="2">
        <v>0.47216435185185185</v>
      </c>
      <c r="E239" t="s">
        <v>527</v>
      </c>
      <c r="F239" t="s">
        <v>957</v>
      </c>
      <c r="G239" t="s">
        <v>159</v>
      </c>
      <c r="H239" t="s">
        <v>1818</v>
      </c>
      <c r="I239" t="s">
        <v>1819</v>
      </c>
      <c r="J239">
        <v>1</v>
      </c>
      <c r="L239">
        <v>30121</v>
      </c>
      <c r="M239" t="s">
        <v>1820</v>
      </c>
      <c r="R239" t="str">
        <f>HYPERLINK("https://7lm.cvcrm.com.br/gestor/relatorios/associado/html?q[1|r.idreserva]=6921","MARCELO DE SOUZA LIMA")</f>
        <v>MARCELO DE SOUZA LIMA</v>
      </c>
      <c r="S239">
        <v>5963985579</v>
      </c>
      <c r="T239">
        <v>5577998055101</v>
      </c>
      <c r="V239" t="s">
        <v>1821</v>
      </c>
      <c r="W239" t="s">
        <v>163</v>
      </c>
      <c r="X239" t="s">
        <v>1822</v>
      </c>
      <c r="Y239" t="s">
        <v>189</v>
      </c>
      <c r="Z239" t="s">
        <v>190</v>
      </c>
      <c r="AA239" t="s">
        <v>1771</v>
      </c>
      <c r="AB239" t="s">
        <v>1823</v>
      </c>
      <c r="AC239" t="s">
        <v>641</v>
      </c>
      <c r="AF239" t="s">
        <v>194</v>
      </c>
      <c r="AG239" t="s">
        <v>195</v>
      </c>
      <c r="AH239" s="3">
        <v>260000</v>
      </c>
      <c r="AI239" s="3">
        <v>260000</v>
      </c>
      <c r="AJ239" s="1">
        <v>46179</v>
      </c>
      <c r="AN239" t="s">
        <v>172</v>
      </c>
      <c r="AO239" t="s">
        <v>816</v>
      </c>
      <c r="AR239" t="s">
        <v>1824</v>
      </c>
      <c r="AT239" t="s">
        <v>196</v>
      </c>
      <c r="AU239" t="s">
        <v>1755</v>
      </c>
      <c r="AW239">
        <v>0</v>
      </c>
      <c r="AX239" s="1">
        <v>46126</v>
      </c>
      <c r="AY239" s="2">
        <v>0.73725694444444445</v>
      </c>
      <c r="AZ239">
        <v>160591</v>
      </c>
      <c r="BA239" s="1">
        <v>45820</v>
      </c>
      <c r="BB239" s="1">
        <v>46113</v>
      </c>
      <c r="BC239" t="s">
        <v>0</v>
      </c>
      <c r="BD239" s="1">
        <v>46118</v>
      </c>
      <c r="BE239" t="s">
        <v>198</v>
      </c>
      <c r="BL239" s="4">
        <v>0</v>
      </c>
      <c r="BM239" s="1">
        <v>47031</v>
      </c>
      <c r="BO239">
        <v>0</v>
      </c>
      <c r="BP239">
        <v>30472</v>
      </c>
      <c r="BQ239" t="s">
        <v>156</v>
      </c>
      <c r="BR239" s="3">
        <v>159027.66</v>
      </c>
      <c r="BS239" s="3">
        <v>7255</v>
      </c>
      <c r="BT239">
        <v>0</v>
      </c>
      <c r="BU239" s="3">
        <v>166282.66</v>
      </c>
      <c r="BV239" s="3">
        <v>260000</v>
      </c>
      <c r="BX239">
        <v>0</v>
      </c>
      <c r="BZ239">
        <v>0</v>
      </c>
      <c r="CA239">
        <v>0</v>
      </c>
      <c r="CB239">
        <v>0</v>
      </c>
      <c r="CC239" s="3">
        <v>260000</v>
      </c>
      <c r="CD239" s="5">
        <v>0</v>
      </c>
      <c r="CF239" s="6">
        <v>46113</v>
      </c>
      <c r="CH239">
        <v>0</v>
      </c>
      <c r="CI239">
        <v>0</v>
      </c>
      <c r="CJ239">
        <v>0</v>
      </c>
      <c r="CK239">
        <v>0</v>
      </c>
      <c r="CL239">
        <v>0</v>
      </c>
      <c r="CM239">
        <v>0</v>
      </c>
      <c r="CN239">
        <v>0</v>
      </c>
      <c r="CO239">
        <v>0</v>
      </c>
      <c r="CP239">
        <v>0</v>
      </c>
      <c r="CQ239">
        <v>0</v>
      </c>
      <c r="CR239">
        <v>0</v>
      </c>
      <c r="CT239" t="s">
        <v>190</v>
      </c>
      <c r="CU239" t="s">
        <v>1819</v>
      </c>
      <c r="CW239">
        <v>0</v>
      </c>
      <c r="CZ239" s="1">
        <v>46118</v>
      </c>
      <c r="DA239" t="s">
        <v>172</v>
      </c>
      <c r="DB239" t="s">
        <v>172</v>
      </c>
      <c r="DC239" t="s">
        <v>172</v>
      </c>
      <c r="DD239" t="s">
        <v>172</v>
      </c>
      <c r="DG239" s="1">
        <v>46118</v>
      </c>
      <c r="DH239">
        <v>0</v>
      </c>
      <c r="DI239">
        <v>0</v>
      </c>
      <c r="DL239" t="s">
        <v>963</v>
      </c>
      <c r="DM239" t="s">
        <v>172</v>
      </c>
      <c r="DN239" t="s">
        <v>225</v>
      </c>
      <c r="DV239" s="3">
        <v>260000</v>
      </c>
      <c r="DW239">
        <v>0</v>
      </c>
      <c r="DX239" s="3">
        <v>260000</v>
      </c>
      <c r="DY239">
        <v>0</v>
      </c>
      <c r="EN239" t="s">
        <v>537</v>
      </c>
      <c r="ET239" t="s">
        <v>802</v>
      </c>
      <c r="EU239" s="1">
        <v>46137</v>
      </c>
      <c r="EW239" s="1">
        <v>46118</v>
      </c>
    </row>
    <row r="240" spans="1:153" x14ac:dyDescent="0.35">
      <c r="A240" t="str">
        <f>HYPERLINK("https://7lm.cvcrm.com.br/gestor/comercial/reservas/6920/administrar","6920")</f>
        <v>6920</v>
      </c>
      <c r="B240" t="s">
        <v>172</v>
      </c>
      <c r="C240" s="1">
        <v>46118</v>
      </c>
      <c r="D240" s="2">
        <v>0.46565972222222224</v>
      </c>
      <c r="E240" t="s">
        <v>527</v>
      </c>
      <c r="F240" t="s">
        <v>957</v>
      </c>
      <c r="G240" t="s">
        <v>159</v>
      </c>
      <c r="H240" t="s">
        <v>538</v>
      </c>
      <c r="I240" t="s">
        <v>1825</v>
      </c>
      <c r="J240">
        <v>1</v>
      </c>
      <c r="L240">
        <v>30121</v>
      </c>
      <c r="M240" t="s">
        <v>1826</v>
      </c>
      <c r="R240" t="str">
        <f>HYPERLINK("https://7lm.cvcrm.com.br/gestor/relatorios/associado/html?q[1|r.idreserva]=6920","MARCELO DE SOUZA LIMA")</f>
        <v>MARCELO DE SOUZA LIMA</v>
      </c>
      <c r="S240">
        <v>5963985579</v>
      </c>
      <c r="T240">
        <v>5577998055101</v>
      </c>
      <c r="V240" t="s">
        <v>1821</v>
      </c>
      <c r="W240" t="s">
        <v>163</v>
      </c>
      <c r="X240" t="s">
        <v>1822</v>
      </c>
      <c r="Y240" t="s">
        <v>189</v>
      </c>
      <c r="Z240" t="s">
        <v>190</v>
      </c>
      <c r="AA240" t="s">
        <v>1771</v>
      </c>
      <c r="AB240" t="s">
        <v>1823</v>
      </c>
      <c r="AC240" t="s">
        <v>641</v>
      </c>
      <c r="AF240" t="s">
        <v>194</v>
      </c>
      <c r="AG240" t="s">
        <v>195</v>
      </c>
      <c r="AH240" s="3">
        <v>260000</v>
      </c>
      <c r="AI240" s="3">
        <v>260000</v>
      </c>
      <c r="AJ240" s="1">
        <v>46179</v>
      </c>
      <c r="AN240" t="s">
        <v>172</v>
      </c>
      <c r="AO240" t="s">
        <v>725</v>
      </c>
      <c r="AP240" t="s">
        <v>1364</v>
      </c>
      <c r="AT240" t="s">
        <v>196</v>
      </c>
      <c r="AU240" t="s">
        <v>1755</v>
      </c>
      <c r="AW240">
        <v>0</v>
      </c>
      <c r="AX240" s="1">
        <v>46118</v>
      </c>
      <c r="AY240" s="2">
        <v>0.59070601851851856</v>
      </c>
      <c r="AZ240">
        <v>160591</v>
      </c>
      <c r="BA240" s="1">
        <v>45820</v>
      </c>
      <c r="BB240" s="1">
        <v>46113</v>
      </c>
      <c r="BC240" t="s">
        <v>0</v>
      </c>
      <c r="BD240" s="1">
        <v>46118</v>
      </c>
      <c r="BE240" t="s">
        <v>198</v>
      </c>
      <c r="BL240" s="4">
        <v>0</v>
      </c>
      <c r="BM240" s="1">
        <v>47031</v>
      </c>
      <c r="BO240">
        <v>0</v>
      </c>
      <c r="BP240">
        <v>30472</v>
      </c>
      <c r="BQ240" t="s">
        <v>156</v>
      </c>
      <c r="BR240" s="3">
        <v>159027.66</v>
      </c>
      <c r="BS240" s="3">
        <v>7255</v>
      </c>
      <c r="BT240">
        <v>0</v>
      </c>
      <c r="BU240" s="3">
        <v>166282.66</v>
      </c>
      <c r="BV240" s="3">
        <v>260000</v>
      </c>
      <c r="BX240">
        <v>0</v>
      </c>
      <c r="BZ240">
        <v>0</v>
      </c>
      <c r="CA240">
        <v>0</v>
      </c>
      <c r="CB240">
        <v>0</v>
      </c>
      <c r="CC240" s="3">
        <v>260000</v>
      </c>
      <c r="CD240" s="5">
        <v>0</v>
      </c>
      <c r="CF240" s="6">
        <v>46113</v>
      </c>
      <c r="CH240">
        <v>0</v>
      </c>
      <c r="CI240">
        <v>0</v>
      </c>
      <c r="CJ240">
        <v>0</v>
      </c>
      <c r="CK240">
        <v>0</v>
      </c>
      <c r="CL240">
        <v>0</v>
      </c>
      <c r="CM240">
        <v>0</v>
      </c>
      <c r="CN240">
        <v>0</v>
      </c>
      <c r="CO240">
        <v>0</v>
      </c>
      <c r="CP240">
        <v>0</v>
      </c>
      <c r="CQ240">
        <v>0</v>
      </c>
      <c r="CR240">
        <v>0</v>
      </c>
      <c r="CT240" t="s">
        <v>190</v>
      </c>
      <c r="CU240" t="s">
        <v>1825</v>
      </c>
      <c r="CW240">
        <v>0</v>
      </c>
      <c r="CZ240" s="1">
        <v>46118</v>
      </c>
      <c r="DA240" t="s">
        <v>172</v>
      </c>
      <c r="DB240" t="s">
        <v>172</v>
      </c>
      <c r="DC240" t="s">
        <v>172</v>
      </c>
      <c r="DD240" t="s">
        <v>172</v>
      </c>
      <c r="DG240" s="1">
        <v>46118</v>
      </c>
      <c r="DH240">
        <v>0</v>
      </c>
      <c r="DI240">
        <v>0</v>
      </c>
      <c r="DL240" t="s">
        <v>963</v>
      </c>
      <c r="DM240" t="s">
        <v>172</v>
      </c>
      <c r="DN240" t="s">
        <v>511</v>
      </c>
      <c r="DV240" s="3">
        <v>260000</v>
      </c>
      <c r="DW240">
        <v>0</v>
      </c>
      <c r="DX240" s="3">
        <v>260000</v>
      </c>
      <c r="DY240">
        <v>0</v>
      </c>
    </row>
    <row r="241" spans="1:153" x14ac:dyDescent="0.35">
      <c r="A241" t="str">
        <f>HYPERLINK("https://7lm.cvcrm.com.br/gestor/comercial/reservas/6919/administrar","6919")</f>
        <v>6919</v>
      </c>
      <c r="B241" t="s">
        <v>172</v>
      </c>
      <c r="C241" s="1">
        <v>46115</v>
      </c>
      <c r="D241" s="2">
        <v>0.55694444444444446</v>
      </c>
      <c r="E241" t="s">
        <v>527</v>
      </c>
      <c r="F241" t="s">
        <v>216</v>
      </c>
      <c r="G241" t="s">
        <v>159</v>
      </c>
      <c r="H241" t="s">
        <v>513</v>
      </c>
      <c r="I241" t="s">
        <v>1827</v>
      </c>
      <c r="J241">
        <v>1</v>
      </c>
      <c r="L241">
        <v>20061</v>
      </c>
      <c r="M241" t="s">
        <v>1828</v>
      </c>
      <c r="R241" t="str">
        <f>HYPERLINK("https://7lm.cvcrm.com.br/gestor/relatorios/associado/html?q[1|r.idreserva]=6919","LARISSA BISPO FLORENTINO CIRILO")</f>
        <v>LARISSA BISPO FLORENTINO CIRILO</v>
      </c>
      <c r="S241">
        <v>6409611188</v>
      </c>
      <c r="T241">
        <v>5561983018571</v>
      </c>
      <c r="V241" t="s">
        <v>1829</v>
      </c>
      <c r="W241" t="s">
        <v>187</v>
      </c>
      <c r="X241" t="s">
        <v>299</v>
      </c>
      <c r="Y241" t="s">
        <v>165</v>
      </c>
      <c r="Z241" t="s">
        <v>1331</v>
      </c>
      <c r="AA241" t="s">
        <v>1332</v>
      </c>
      <c r="AB241" t="s">
        <v>1333</v>
      </c>
      <c r="AC241" t="s">
        <v>411</v>
      </c>
      <c r="AD241" t="s">
        <v>412</v>
      </c>
      <c r="AF241" t="s">
        <v>413</v>
      </c>
      <c r="AG241" t="s">
        <v>195</v>
      </c>
      <c r="AH241" s="3">
        <v>217601.48</v>
      </c>
      <c r="AI241" s="3">
        <v>217601.48</v>
      </c>
      <c r="AJ241" s="1">
        <v>46188</v>
      </c>
      <c r="AN241" t="s">
        <v>172</v>
      </c>
      <c r="AO241" t="s">
        <v>1334</v>
      </c>
      <c r="AR241" t="s">
        <v>1830</v>
      </c>
      <c r="AT241" t="s">
        <v>196</v>
      </c>
      <c r="AU241" t="s">
        <v>316</v>
      </c>
      <c r="AW241">
        <v>0</v>
      </c>
      <c r="AX241" s="1">
        <v>46122</v>
      </c>
      <c r="AY241" s="2">
        <v>0.72391203703703699</v>
      </c>
      <c r="AZ241">
        <v>195905</v>
      </c>
      <c r="BA241" s="1">
        <v>46098</v>
      </c>
      <c r="BC241" t="s">
        <v>0</v>
      </c>
      <c r="BD241" s="1">
        <v>46115</v>
      </c>
      <c r="BE241" t="s">
        <v>317</v>
      </c>
      <c r="BL241" s="4">
        <v>0</v>
      </c>
      <c r="BM241" s="1">
        <v>46995</v>
      </c>
      <c r="BO241">
        <v>0</v>
      </c>
      <c r="BP241">
        <v>29832</v>
      </c>
      <c r="BQ241" t="s">
        <v>156</v>
      </c>
      <c r="BR241" s="3">
        <v>123435.48</v>
      </c>
      <c r="BS241" s="3">
        <v>42766</v>
      </c>
      <c r="BT241">
        <v>0</v>
      </c>
      <c r="BU241" s="3">
        <v>166201.48000000001</v>
      </c>
      <c r="BV241" s="3">
        <v>217601.48</v>
      </c>
      <c r="BX241">
        <v>0</v>
      </c>
      <c r="BZ241">
        <v>0</v>
      </c>
      <c r="CA241">
        <v>0</v>
      </c>
      <c r="CB241">
        <v>0</v>
      </c>
      <c r="CC241" s="3">
        <v>217601.48</v>
      </c>
      <c r="CD241" s="5">
        <v>0</v>
      </c>
      <c r="CF241" s="6">
        <v>46113</v>
      </c>
      <c r="CH241">
        <v>0</v>
      </c>
      <c r="CI241">
        <v>0</v>
      </c>
      <c r="CJ241">
        <v>0</v>
      </c>
      <c r="CK241">
        <v>0</v>
      </c>
      <c r="CL241">
        <v>0</v>
      </c>
      <c r="CM241">
        <v>0</v>
      </c>
      <c r="CN241">
        <v>0</v>
      </c>
      <c r="CO241">
        <v>0</v>
      </c>
      <c r="CP241">
        <v>0</v>
      </c>
      <c r="CQ241">
        <v>0</v>
      </c>
      <c r="CR241">
        <v>0</v>
      </c>
      <c r="CT241" t="s">
        <v>214</v>
      </c>
      <c r="CU241" t="s">
        <v>1827</v>
      </c>
      <c r="CW241">
        <v>0</v>
      </c>
      <c r="CZ241" s="1">
        <v>46115</v>
      </c>
      <c r="DA241" t="s">
        <v>172</v>
      </c>
      <c r="DB241" t="s">
        <v>172</v>
      </c>
      <c r="DC241" t="s">
        <v>172</v>
      </c>
      <c r="DD241" t="s">
        <v>172</v>
      </c>
      <c r="DG241" s="1">
        <v>46115</v>
      </c>
      <c r="DH241">
        <v>0</v>
      </c>
      <c r="DI241">
        <v>0</v>
      </c>
      <c r="DK241" t="s">
        <v>179</v>
      </c>
      <c r="DL241" t="s">
        <v>215</v>
      </c>
      <c r="DM241" t="s">
        <v>172</v>
      </c>
      <c r="DN241" t="s">
        <v>225</v>
      </c>
      <c r="DV241" s="3">
        <v>217601.48</v>
      </c>
      <c r="DW241">
        <v>0</v>
      </c>
      <c r="DX241" s="3">
        <v>217601.48</v>
      </c>
      <c r="DY241">
        <v>0</v>
      </c>
      <c r="EN241" t="s">
        <v>537</v>
      </c>
      <c r="ET241" t="s">
        <v>1661</v>
      </c>
      <c r="EW241" s="1">
        <v>46115</v>
      </c>
    </row>
    <row r="242" spans="1:153" ht="246.5" x14ac:dyDescent="0.35">
      <c r="A242" t="str">
        <f>HYPERLINK("https://7lm.cvcrm.com.br/gestor/comercial/reservas/6918/administrar","6918")</f>
        <v>6918</v>
      </c>
      <c r="B242" t="s">
        <v>156</v>
      </c>
      <c r="C242" s="1">
        <v>46114</v>
      </c>
      <c r="D242" s="2">
        <v>0.48181712962962964</v>
      </c>
      <c r="E242" t="s">
        <v>294</v>
      </c>
      <c r="F242" t="s">
        <v>182</v>
      </c>
      <c r="G242" t="s">
        <v>159</v>
      </c>
      <c r="H242" t="s">
        <v>643</v>
      </c>
      <c r="I242" t="s">
        <v>1831</v>
      </c>
      <c r="J242">
        <v>1</v>
      </c>
      <c r="L242">
        <v>30151</v>
      </c>
      <c r="M242" t="s">
        <v>1832</v>
      </c>
      <c r="N242" s="1">
        <v>46122</v>
      </c>
      <c r="O242" s="2">
        <v>0.29855324074074074</v>
      </c>
      <c r="R242" t="str">
        <f>HYPERLINK("https://7lm.cvcrm.com.br/gestor/relatorios/associado/html?q[1|r.idreserva]=6918","VIVIANE VIEIRA DOS SANTOS")</f>
        <v>VIVIANE VIEIRA DOS SANTOS</v>
      </c>
      <c r="S242">
        <v>3339633185</v>
      </c>
      <c r="T242">
        <v>556196475113</v>
      </c>
      <c r="V242" t="s">
        <v>1833</v>
      </c>
      <c r="W242" t="s">
        <v>187</v>
      </c>
      <c r="X242" t="s">
        <v>1834</v>
      </c>
      <c r="Y242" t="s">
        <v>189</v>
      </c>
      <c r="Z242" t="s">
        <v>190</v>
      </c>
      <c r="AA242" t="s">
        <v>1739</v>
      </c>
      <c r="AB242" t="s">
        <v>1835</v>
      </c>
      <c r="AC242" t="s">
        <v>482</v>
      </c>
      <c r="AF242" t="s">
        <v>194</v>
      </c>
      <c r="AG242" t="s">
        <v>195</v>
      </c>
      <c r="AH242" s="3">
        <v>245528.25</v>
      </c>
      <c r="AI242" s="3">
        <v>245528.25</v>
      </c>
      <c r="AJ242" s="1">
        <v>46175</v>
      </c>
      <c r="AN242" t="s">
        <v>172</v>
      </c>
      <c r="AR242" s="7" t="s">
        <v>353</v>
      </c>
      <c r="AT242" t="s">
        <v>196</v>
      </c>
      <c r="AU242" t="s">
        <v>590</v>
      </c>
      <c r="AW242">
        <v>0</v>
      </c>
      <c r="AX242" s="1">
        <v>46127</v>
      </c>
      <c r="AY242" s="2">
        <v>0.505</v>
      </c>
      <c r="AZ242">
        <v>198152</v>
      </c>
      <c r="BA242" s="1">
        <v>46111</v>
      </c>
      <c r="BC242" t="s">
        <v>0</v>
      </c>
      <c r="BD242" s="1">
        <v>46114</v>
      </c>
      <c r="BE242" t="s">
        <v>198</v>
      </c>
      <c r="BL242" s="4">
        <v>0</v>
      </c>
      <c r="BM242" s="1">
        <v>46899</v>
      </c>
      <c r="BN242" s="1">
        <v>46127</v>
      </c>
      <c r="BO242">
        <v>0</v>
      </c>
      <c r="BP242">
        <v>30339</v>
      </c>
      <c r="BQ242" t="s">
        <v>156</v>
      </c>
      <c r="BR242" s="3">
        <v>155950.69</v>
      </c>
      <c r="BS242" s="3">
        <v>11910</v>
      </c>
      <c r="BT242">
        <v>0</v>
      </c>
      <c r="BU242" s="3">
        <v>167860.69</v>
      </c>
      <c r="BV242" s="3">
        <v>245528.25</v>
      </c>
      <c r="BX242">
        <v>0</v>
      </c>
      <c r="BZ242">
        <v>0</v>
      </c>
      <c r="CA242">
        <v>0</v>
      </c>
      <c r="CB242">
        <v>0</v>
      </c>
      <c r="CC242" s="3">
        <v>245528.25</v>
      </c>
      <c r="CD242" s="5">
        <v>0</v>
      </c>
      <c r="CF242" s="6">
        <v>46113</v>
      </c>
      <c r="CH242">
        <v>0</v>
      </c>
      <c r="CI242">
        <v>0</v>
      </c>
      <c r="CJ242">
        <v>0</v>
      </c>
      <c r="CK242">
        <v>0</v>
      </c>
      <c r="CL242">
        <v>0</v>
      </c>
      <c r="CM242">
        <v>0</v>
      </c>
      <c r="CN242">
        <v>0</v>
      </c>
      <c r="CO242">
        <v>0</v>
      </c>
      <c r="CP242">
        <v>0</v>
      </c>
      <c r="CQ242">
        <v>0</v>
      </c>
      <c r="CR242">
        <v>0</v>
      </c>
      <c r="CS242" t="s">
        <v>360</v>
      </c>
      <c r="CT242" t="s">
        <v>190</v>
      </c>
      <c r="CU242" t="s">
        <v>1831</v>
      </c>
      <c r="CW242">
        <v>-52.0045</v>
      </c>
      <c r="CZ242" s="1">
        <v>46114</v>
      </c>
      <c r="DA242" t="s">
        <v>172</v>
      </c>
      <c r="DB242" t="s">
        <v>172</v>
      </c>
      <c r="DC242" t="s">
        <v>172</v>
      </c>
      <c r="DD242" t="s">
        <v>172</v>
      </c>
      <c r="DG242" s="1">
        <v>46114</v>
      </c>
      <c r="DH242">
        <v>0</v>
      </c>
      <c r="DI242">
        <v>0</v>
      </c>
      <c r="DK242" t="s">
        <v>179</v>
      </c>
      <c r="DL242" t="s">
        <v>200</v>
      </c>
      <c r="DM242" t="s">
        <v>172</v>
      </c>
      <c r="DN242" t="s">
        <v>201</v>
      </c>
      <c r="DV242" s="3">
        <v>245528.25</v>
      </c>
      <c r="DW242">
        <v>0</v>
      </c>
      <c r="DX242" s="3">
        <v>245528.25</v>
      </c>
      <c r="DY242">
        <v>0</v>
      </c>
      <c r="EF242" s="1">
        <v>46121</v>
      </c>
      <c r="EG242" s="1">
        <v>46120</v>
      </c>
      <c r="EK242" s="1">
        <v>46121</v>
      </c>
      <c r="EL242" s="1">
        <v>46121</v>
      </c>
      <c r="EM242" s="1">
        <v>46122</v>
      </c>
      <c r="EN242" t="s">
        <v>156</v>
      </c>
      <c r="EP242" s="1">
        <v>46122</v>
      </c>
      <c r="ER242" s="1">
        <v>46120</v>
      </c>
      <c r="ES242" t="s">
        <v>1836</v>
      </c>
      <c r="EW242" s="1">
        <v>46114</v>
      </c>
    </row>
    <row r="243" spans="1:153" ht="246.5" x14ac:dyDescent="0.35">
      <c r="A243" t="str">
        <f>HYPERLINK("https://7lm.cvcrm.com.br/gestor/comercial/reservas/6917/administrar","6917")</f>
        <v>6917</v>
      </c>
      <c r="B243" t="s">
        <v>156</v>
      </c>
      <c r="C243" s="1">
        <v>46113</v>
      </c>
      <c r="D243" s="2">
        <v>0.84021990740740737</v>
      </c>
      <c r="E243" t="s">
        <v>294</v>
      </c>
      <c r="F243" t="s">
        <v>957</v>
      </c>
      <c r="G243" t="s">
        <v>159</v>
      </c>
      <c r="H243" t="s">
        <v>183</v>
      </c>
      <c r="I243" t="s">
        <v>1837</v>
      </c>
      <c r="J243">
        <v>1</v>
      </c>
      <c r="K243">
        <v>8440</v>
      </c>
      <c r="L243">
        <v>30121</v>
      </c>
      <c r="M243" t="s">
        <v>1838</v>
      </c>
      <c r="N243" s="1">
        <v>46156</v>
      </c>
      <c r="O243" s="2">
        <v>0.6650462962962963</v>
      </c>
      <c r="Q243">
        <v>9948</v>
      </c>
      <c r="R243" t="str">
        <f>HYPERLINK("https://7lm.cvcrm.com.br/gestor/relatorios/associado/html?q[1|r.idreserva]=6917","WERICK RIBEIRO DE SENA REIS")</f>
        <v>WERICK RIBEIRO DE SENA REIS</v>
      </c>
      <c r="S243">
        <v>70973565101</v>
      </c>
      <c r="T243">
        <v>5561999028142</v>
      </c>
      <c r="U243">
        <v>5561991053218</v>
      </c>
      <c r="V243" t="s">
        <v>1839</v>
      </c>
      <c r="W243" t="s">
        <v>163</v>
      </c>
      <c r="X243" t="s">
        <v>299</v>
      </c>
      <c r="Y243" t="s">
        <v>189</v>
      </c>
      <c r="Z243" t="s">
        <v>190</v>
      </c>
      <c r="AA243" t="s">
        <v>1840</v>
      </c>
      <c r="AB243" t="s">
        <v>1841</v>
      </c>
      <c r="AC243" t="s">
        <v>302</v>
      </c>
      <c r="AD243" t="s">
        <v>302</v>
      </c>
      <c r="AF243" t="s">
        <v>303</v>
      </c>
      <c r="AG243" t="s">
        <v>195</v>
      </c>
      <c r="AH243" s="3">
        <v>254932.92</v>
      </c>
      <c r="AI243" s="3">
        <v>254932.92</v>
      </c>
      <c r="AJ243" s="1">
        <v>46188</v>
      </c>
      <c r="AN243" t="s">
        <v>172</v>
      </c>
      <c r="AR243" s="7" t="s">
        <v>353</v>
      </c>
      <c r="AT243" t="s">
        <v>196</v>
      </c>
      <c r="AU243" t="s">
        <v>292</v>
      </c>
      <c r="AW243">
        <v>0</v>
      </c>
      <c r="AX243" s="1">
        <v>46156</v>
      </c>
      <c r="AY243" s="2">
        <v>0.49320601851851853</v>
      </c>
      <c r="AZ243">
        <v>198326</v>
      </c>
      <c r="BA243" s="1">
        <v>46112</v>
      </c>
      <c r="BC243" t="s">
        <v>275</v>
      </c>
      <c r="BD243" s="1">
        <v>46118</v>
      </c>
      <c r="BE243" t="s">
        <v>176</v>
      </c>
      <c r="BL243" s="4">
        <v>0</v>
      </c>
      <c r="BM243" s="1">
        <v>47031</v>
      </c>
      <c r="BN243" s="1">
        <v>46156</v>
      </c>
      <c r="BO243">
        <v>0</v>
      </c>
      <c r="BP243">
        <v>30345</v>
      </c>
      <c r="BQ243" t="s">
        <v>156</v>
      </c>
      <c r="BR243" s="3">
        <v>146039.93</v>
      </c>
      <c r="BS243" s="3">
        <v>19010</v>
      </c>
      <c r="BT243">
        <v>0</v>
      </c>
      <c r="BU243" s="3">
        <v>165049.93</v>
      </c>
      <c r="BV243" s="3">
        <v>254932.92</v>
      </c>
      <c r="BX243">
        <v>0</v>
      </c>
      <c r="BZ243">
        <v>0</v>
      </c>
      <c r="CA243">
        <v>0</v>
      </c>
      <c r="CB243">
        <v>0</v>
      </c>
      <c r="CC243" s="3">
        <v>254932.92</v>
      </c>
      <c r="CD243" s="5">
        <v>0</v>
      </c>
      <c r="CF243" s="6">
        <v>46143</v>
      </c>
      <c r="CH243">
        <v>0</v>
      </c>
      <c r="CI243">
        <v>0</v>
      </c>
      <c r="CJ243">
        <v>0</v>
      </c>
      <c r="CK243">
        <v>0</v>
      </c>
      <c r="CL243">
        <v>0</v>
      </c>
      <c r="CM243">
        <v>0</v>
      </c>
      <c r="CN243">
        <v>0</v>
      </c>
      <c r="CO243">
        <v>0</v>
      </c>
      <c r="CP243">
        <v>0</v>
      </c>
      <c r="CQ243">
        <v>0</v>
      </c>
      <c r="CR243">
        <v>0</v>
      </c>
      <c r="CS243" t="s">
        <v>360</v>
      </c>
      <c r="CT243" t="s">
        <v>190</v>
      </c>
      <c r="CU243" t="s">
        <v>1837</v>
      </c>
      <c r="CW243">
        <v>-44.572899999999997</v>
      </c>
      <c r="CZ243" s="1">
        <v>46113</v>
      </c>
      <c r="DA243" t="s">
        <v>172</v>
      </c>
      <c r="DB243" t="s">
        <v>172</v>
      </c>
      <c r="DC243" t="s">
        <v>172</v>
      </c>
      <c r="DD243" t="s">
        <v>172</v>
      </c>
      <c r="DG243" s="1">
        <v>46113</v>
      </c>
      <c r="DH243">
        <v>0</v>
      </c>
      <c r="DI243">
        <v>0</v>
      </c>
      <c r="DJ243" s="1">
        <v>46156</v>
      </c>
      <c r="DL243" t="s">
        <v>963</v>
      </c>
      <c r="DM243" t="s">
        <v>172</v>
      </c>
      <c r="DN243" t="s">
        <v>201</v>
      </c>
      <c r="DV243" s="3">
        <v>254932.92</v>
      </c>
      <c r="DW243">
        <v>0</v>
      </c>
      <c r="DX243" s="3">
        <v>254932.92</v>
      </c>
      <c r="DY243">
        <v>0</v>
      </c>
      <c r="EG243" s="1">
        <v>46154</v>
      </c>
      <c r="EN243" t="s">
        <v>156</v>
      </c>
      <c r="ER243" s="1">
        <v>46150</v>
      </c>
      <c r="ES243" t="s">
        <v>1842</v>
      </c>
      <c r="EU243" s="1">
        <v>46132</v>
      </c>
      <c r="EW243" s="1">
        <v>46113</v>
      </c>
    </row>
    <row r="244" spans="1:153" x14ac:dyDescent="0.35">
      <c r="A244" t="str">
        <f>HYPERLINK("https://7lm.cvcrm.com.br/gestor/comercial/reservas/6916/administrar","6916")</f>
        <v>6916</v>
      </c>
      <c r="B244" t="s">
        <v>156</v>
      </c>
      <c r="C244" s="1">
        <v>46112</v>
      </c>
      <c r="D244" s="2">
        <v>0.86128472222222219</v>
      </c>
      <c r="E244" t="s">
        <v>294</v>
      </c>
      <c r="F244" t="s">
        <v>226</v>
      </c>
      <c r="G244" t="s">
        <v>159</v>
      </c>
      <c r="H244" t="s">
        <v>1143</v>
      </c>
      <c r="I244" t="s">
        <v>489</v>
      </c>
      <c r="J244">
        <v>1</v>
      </c>
      <c r="L244">
        <v>10031</v>
      </c>
      <c r="M244" t="s">
        <v>1843</v>
      </c>
      <c r="N244" s="1">
        <v>46113</v>
      </c>
      <c r="O244" s="2">
        <v>0.42434027777777777</v>
      </c>
      <c r="R244" t="str">
        <f>HYPERLINK("https://7lm.cvcrm.com.br/gestor/relatorios/associado/html?q[1|r.idreserva]=6916","LUDMILLA SILVA DE SOUZA")</f>
        <v>LUDMILLA SILVA DE SOUZA</v>
      </c>
      <c r="S244">
        <v>3431226183</v>
      </c>
      <c r="T244">
        <v>5561999159822</v>
      </c>
      <c r="V244" t="s">
        <v>1844</v>
      </c>
      <c r="W244" t="s">
        <v>187</v>
      </c>
      <c r="X244" t="s">
        <v>1116</v>
      </c>
      <c r="Y244" t="s">
        <v>165</v>
      </c>
      <c r="Z244" t="s">
        <v>257</v>
      </c>
      <c r="AA244" t="s">
        <v>1845</v>
      </c>
      <c r="AB244" t="s">
        <v>1846</v>
      </c>
      <c r="AC244" t="s">
        <v>169</v>
      </c>
      <c r="AE244" t="s">
        <v>169</v>
      </c>
      <c r="AF244" t="s">
        <v>170</v>
      </c>
      <c r="AG244" t="s">
        <v>171</v>
      </c>
      <c r="AH244" s="3">
        <v>369708.17</v>
      </c>
      <c r="AI244" s="3">
        <v>369708.17</v>
      </c>
      <c r="AJ244" s="1">
        <v>46112</v>
      </c>
      <c r="AN244" t="s">
        <v>172</v>
      </c>
      <c r="AR244" t="s">
        <v>1847</v>
      </c>
      <c r="AT244" t="s">
        <v>196</v>
      </c>
      <c r="AU244" t="s">
        <v>1509</v>
      </c>
      <c r="AW244">
        <v>0</v>
      </c>
      <c r="AX244" s="1">
        <v>46118</v>
      </c>
      <c r="AY244" s="2">
        <v>0.69075231481481481</v>
      </c>
      <c r="AZ244">
        <v>198082</v>
      </c>
      <c r="BA244" s="1">
        <v>46111</v>
      </c>
      <c r="BC244" t="s">
        <v>176</v>
      </c>
      <c r="BD244" s="1">
        <v>46111</v>
      </c>
      <c r="BE244" t="s">
        <v>1848</v>
      </c>
      <c r="BL244" s="4">
        <v>0</v>
      </c>
      <c r="BM244" s="1">
        <v>46698</v>
      </c>
      <c r="BN244" s="1">
        <v>46118</v>
      </c>
      <c r="BO244">
        <v>0</v>
      </c>
      <c r="BP244">
        <v>30319</v>
      </c>
      <c r="BQ244" t="s">
        <v>156</v>
      </c>
      <c r="BR244" s="3">
        <v>372734.79</v>
      </c>
      <c r="BS244">
        <v>0</v>
      </c>
      <c r="BT244">
        <v>0</v>
      </c>
      <c r="BU244" s="3">
        <v>372734.79</v>
      </c>
      <c r="BV244" s="3">
        <v>369708.17</v>
      </c>
      <c r="BX244">
        <v>0</v>
      </c>
      <c r="BZ244">
        <v>0</v>
      </c>
      <c r="CA244">
        <v>0</v>
      </c>
      <c r="CB244">
        <v>0</v>
      </c>
      <c r="CC244" s="3">
        <v>369708.17</v>
      </c>
      <c r="CD244" s="5">
        <v>0</v>
      </c>
      <c r="CF244" s="6">
        <v>46113</v>
      </c>
      <c r="CH244">
        <v>0</v>
      </c>
      <c r="CI244">
        <v>0</v>
      </c>
      <c r="CJ244">
        <v>0</v>
      </c>
      <c r="CK244">
        <v>0</v>
      </c>
      <c r="CL244">
        <v>0</v>
      </c>
      <c r="CM244">
        <v>0</v>
      </c>
      <c r="CN244">
        <v>0</v>
      </c>
      <c r="CO244">
        <v>0</v>
      </c>
      <c r="CP244">
        <v>0</v>
      </c>
      <c r="CQ244">
        <v>0</v>
      </c>
      <c r="CR244">
        <v>0</v>
      </c>
      <c r="CS244" t="s">
        <v>177</v>
      </c>
      <c r="CT244" t="s">
        <v>238</v>
      </c>
      <c r="CU244" t="s">
        <v>489</v>
      </c>
      <c r="CW244">
        <v>-59.303699999999999</v>
      </c>
      <c r="CX244" t="s">
        <v>170</v>
      </c>
      <c r="CZ244" s="1">
        <v>46112</v>
      </c>
      <c r="DA244" t="s">
        <v>172</v>
      </c>
      <c r="DB244" t="s">
        <v>172</v>
      </c>
      <c r="DC244" t="s">
        <v>172</v>
      </c>
      <c r="DD244" t="s">
        <v>172</v>
      </c>
      <c r="DG244" s="1">
        <v>46112</v>
      </c>
      <c r="DH244">
        <v>0</v>
      </c>
      <c r="DI244">
        <v>0</v>
      </c>
      <c r="DL244" t="s">
        <v>263</v>
      </c>
      <c r="DM244" t="s">
        <v>172</v>
      </c>
      <c r="DN244" t="s">
        <v>264</v>
      </c>
      <c r="DU244" t="s">
        <v>1120</v>
      </c>
      <c r="DV244" s="3">
        <v>538747.26</v>
      </c>
      <c r="DW244">
        <v>-59.3</v>
      </c>
      <c r="DX244" s="3">
        <v>538747.26</v>
      </c>
      <c r="DY244">
        <v>-59.3</v>
      </c>
    </row>
    <row r="245" spans="1:153" x14ac:dyDescent="0.35">
      <c r="A245" t="str">
        <f>HYPERLINK("https://7lm.cvcrm.com.br/gestor/comercial/reservas/6915/administrar","6915")</f>
        <v>6915</v>
      </c>
      <c r="B245" t="s">
        <v>156</v>
      </c>
      <c r="C245" s="1">
        <v>46112</v>
      </c>
      <c r="D245" s="2">
        <v>0.70336805555555559</v>
      </c>
      <c r="E245" t="s">
        <v>294</v>
      </c>
      <c r="F245" t="s">
        <v>182</v>
      </c>
      <c r="G245" t="s">
        <v>159</v>
      </c>
      <c r="H245" t="s">
        <v>636</v>
      </c>
      <c r="I245" t="s">
        <v>1503</v>
      </c>
      <c r="J245">
        <v>1</v>
      </c>
      <c r="L245">
        <v>30151</v>
      </c>
      <c r="M245" t="s">
        <v>1849</v>
      </c>
      <c r="N245" s="1">
        <v>46126</v>
      </c>
      <c r="O245" s="2">
        <v>0.59599537037037043</v>
      </c>
      <c r="R245" t="str">
        <f>HYPERLINK("https://7lm.cvcrm.com.br/gestor/relatorios/associado/html?q[1|r.idreserva]=6915","ANDRESSA FRADES LIMA")</f>
        <v>ANDRESSA FRADES LIMA</v>
      </c>
      <c r="S245">
        <v>3523600545</v>
      </c>
      <c r="T245">
        <v>5561994245140</v>
      </c>
      <c r="V245" t="s">
        <v>1850</v>
      </c>
      <c r="W245" t="s">
        <v>187</v>
      </c>
      <c r="X245" t="s">
        <v>299</v>
      </c>
      <c r="Y245" t="s">
        <v>189</v>
      </c>
      <c r="Z245" t="s">
        <v>190</v>
      </c>
      <c r="AA245" t="s">
        <v>1851</v>
      </c>
      <c r="AB245" t="s">
        <v>1852</v>
      </c>
      <c r="AC245" t="s">
        <v>379</v>
      </c>
      <c r="AD245" t="s">
        <v>379</v>
      </c>
      <c r="AF245" t="s">
        <v>352</v>
      </c>
      <c r="AG245" t="s">
        <v>195</v>
      </c>
      <c r="AH245" s="3">
        <v>236638.66</v>
      </c>
      <c r="AI245" s="3">
        <v>236638.66</v>
      </c>
      <c r="AJ245" s="1">
        <v>46167</v>
      </c>
      <c r="AN245" t="s">
        <v>172</v>
      </c>
      <c r="AR245" t="s">
        <v>1853</v>
      </c>
      <c r="AT245" t="s">
        <v>261</v>
      </c>
      <c r="AV245" t="s">
        <v>1627</v>
      </c>
      <c r="AW245">
        <v>0</v>
      </c>
      <c r="AX245" s="1">
        <v>46121</v>
      </c>
      <c r="AY245" s="2">
        <v>0.63976851851851857</v>
      </c>
      <c r="AZ245">
        <v>198396</v>
      </c>
      <c r="BA245" s="1">
        <v>46112</v>
      </c>
      <c r="BC245" t="s">
        <v>0</v>
      </c>
      <c r="BD245" s="1">
        <v>46112</v>
      </c>
      <c r="BE245" t="s">
        <v>213</v>
      </c>
      <c r="BL245" s="4">
        <v>0</v>
      </c>
      <c r="BM245" s="1">
        <v>46899</v>
      </c>
      <c r="BN245" s="1">
        <v>46121</v>
      </c>
      <c r="BO245">
        <v>0</v>
      </c>
      <c r="BP245">
        <v>30254</v>
      </c>
      <c r="BQ245" t="s">
        <v>156</v>
      </c>
      <c r="BR245" s="3">
        <v>134470.68</v>
      </c>
      <c r="BS245" s="3">
        <v>19011</v>
      </c>
      <c r="BT245">
        <v>0</v>
      </c>
      <c r="BU245" s="3">
        <v>153481.68</v>
      </c>
      <c r="BV245" s="3">
        <v>236638.66</v>
      </c>
      <c r="BX245">
        <v>0</v>
      </c>
      <c r="BZ245">
        <v>0</v>
      </c>
      <c r="CA245">
        <v>0</v>
      </c>
      <c r="CB245">
        <v>0</v>
      </c>
      <c r="CC245" s="3">
        <v>236638.66</v>
      </c>
      <c r="CD245" s="5">
        <v>0</v>
      </c>
      <c r="CF245" s="6">
        <v>46113</v>
      </c>
      <c r="CH245">
        <v>0</v>
      </c>
      <c r="CI245">
        <v>0</v>
      </c>
      <c r="CJ245">
        <v>0</v>
      </c>
      <c r="CK245">
        <v>0</v>
      </c>
      <c r="CL245">
        <v>0</v>
      </c>
      <c r="CM245">
        <v>0</v>
      </c>
      <c r="CN245">
        <v>0</v>
      </c>
      <c r="CO245">
        <v>0</v>
      </c>
      <c r="CP245">
        <v>0</v>
      </c>
      <c r="CQ245">
        <v>0</v>
      </c>
      <c r="CR245">
        <v>0</v>
      </c>
      <c r="CS245" t="s">
        <v>649</v>
      </c>
      <c r="CT245" t="s">
        <v>190</v>
      </c>
      <c r="CU245" t="s">
        <v>1503</v>
      </c>
      <c r="CW245">
        <v>-52.7254</v>
      </c>
      <c r="CZ245" s="1">
        <v>46112</v>
      </c>
      <c r="DA245" t="s">
        <v>172</v>
      </c>
      <c r="DB245" t="s">
        <v>172</v>
      </c>
      <c r="DC245" t="s">
        <v>172</v>
      </c>
      <c r="DD245" t="s">
        <v>172</v>
      </c>
      <c r="DG245" s="1">
        <v>46112</v>
      </c>
      <c r="DH245">
        <v>0</v>
      </c>
      <c r="DI245">
        <v>0</v>
      </c>
      <c r="DK245" t="s">
        <v>179</v>
      </c>
      <c r="DL245" t="s">
        <v>200</v>
      </c>
      <c r="DM245" t="s">
        <v>172</v>
      </c>
      <c r="DN245" t="s">
        <v>201</v>
      </c>
      <c r="DV245" s="3">
        <v>236638.66</v>
      </c>
      <c r="DW245">
        <v>0</v>
      </c>
      <c r="DX245" s="3">
        <v>236638.66</v>
      </c>
      <c r="DY245">
        <v>0</v>
      </c>
      <c r="EF245" s="1">
        <v>46118</v>
      </c>
      <c r="EG245" s="1">
        <v>46114</v>
      </c>
      <c r="EH245" s="1">
        <v>46119</v>
      </c>
      <c r="EK245" s="1">
        <v>46118</v>
      </c>
      <c r="EL245" s="1">
        <v>46118</v>
      </c>
      <c r="EN245" t="s">
        <v>156</v>
      </c>
      <c r="EP245" s="1">
        <v>46118</v>
      </c>
      <c r="ER245" s="1">
        <v>46118</v>
      </c>
      <c r="ES245" t="s">
        <v>1854</v>
      </c>
      <c r="EU245" s="1">
        <v>46114</v>
      </c>
      <c r="EW245" s="1">
        <v>46112</v>
      </c>
    </row>
    <row r="246" spans="1:153" ht="246.5" x14ac:dyDescent="0.35">
      <c r="A246" t="str">
        <f>HYPERLINK("https://7lm.cvcrm.com.br/gestor/comercial/reservas/6914/administrar","6914")</f>
        <v>6914</v>
      </c>
      <c r="B246" t="s">
        <v>156</v>
      </c>
      <c r="C246" s="1">
        <v>46109</v>
      </c>
      <c r="D246" s="2">
        <v>0.57510416666666664</v>
      </c>
      <c r="E246" t="s">
        <v>294</v>
      </c>
      <c r="F246" t="s">
        <v>182</v>
      </c>
      <c r="G246" t="s">
        <v>159</v>
      </c>
      <c r="H246" t="s">
        <v>372</v>
      </c>
      <c r="I246" t="s">
        <v>1855</v>
      </c>
      <c r="J246">
        <v>1</v>
      </c>
      <c r="K246">
        <v>8353</v>
      </c>
      <c r="L246">
        <v>30151</v>
      </c>
      <c r="M246" t="s">
        <v>1856</v>
      </c>
      <c r="N246" s="1">
        <v>46127</v>
      </c>
      <c r="O246" s="2">
        <v>0.76840277777777777</v>
      </c>
      <c r="Q246">
        <v>9893</v>
      </c>
      <c r="R246" t="str">
        <f>HYPERLINK("https://7lm.cvcrm.com.br/gestor/relatorios/associado/html?q[1|r.idreserva]=6914","JHONES EDUARDO TORRES MACHADO")</f>
        <v>JHONES EDUARDO TORRES MACHADO</v>
      </c>
      <c r="S246">
        <v>9300476130</v>
      </c>
      <c r="T246">
        <v>5561999342559</v>
      </c>
      <c r="V246" t="s">
        <v>1857</v>
      </c>
      <c r="W246" t="s">
        <v>163</v>
      </c>
      <c r="X246" t="s">
        <v>366</v>
      </c>
      <c r="Y246" t="s">
        <v>189</v>
      </c>
      <c r="Z246" t="s">
        <v>190</v>
      </c>
      <c r="AA246" t="s">
        <v>1858</v>
      </c>
      <c r="AB246" t="s">
        <v>1859</v>
      </c>
      <c r="AC246" t="s">
        <v>1860</v>
      </c>
      <c r="AD246" t="s">
        <v>1861</v>
      </c>
      <c r="AF246" t="s">
        <v>250</v>
      </c>
      <c r="AG246" t="s">
        <v>251</v>
      </c>
      <c r="AH246" s="3">
        <v>261000.32000000001</v>
      </c>
      <c r="AI246" s="3">
        <v>261000.32000000001</v>
      </c>
      <c r="AJ246" s="1">
        <v>46140</v>
      </c>
      <c r="AN246" t="s">
        <v>172</v>
      </c>
      <c r="AR246" s="7" t="s">
        <v>353</v>
      </c>
      <c r="AT246" t="s">
        <v>173</v>
      </c>
      <c r="AU246" t="s">
        <v>175</v>
      </c>
      <c r="AW246">
        <v>0</v>
      </c>
      <c r="AX246" s="1">
        <v>46136</v>
      </c>
      <c r="AY246" s="2">
        <v>0.63040509259259259</v>
      </c>
      <c r="AZ246">
        <v>197838</v>
      </c>
      <c r="BA246" s="1">
        <v>46109</v>
      </c>
      <c r="BC246" t="s">
        <v>0</v>
      </c>
      <c r="BD246" s="1">
        <v>46109</v>
      </c>
      <c r="BE246" t="s">
        <v>175</v>
      </c>
      <c r="BL246" s="4">
        <v>0</v>
      </c>
      <c r="BM246" s="1">
        <v>46899</v>
      </c>
      <c r="BN246" s="1">
        <v>46136</v>
      </c>
      <c r="BO246">
        <v>0</v>
      </c>
      <c r="BP246">
        <v>30289</v>
      </c>
      <c r="BQ246" t="s">
        <v>156</v>
      </c>
      <c r="BR246">
        <v>0</v>
      </c>
      <c r="BS246">
        <v>0</v>
      </c>
      <c r="BT246">
        <v>0</v>
      </c>
      <c r="BU246">
        <v>0</v>
      </c>
      <c r="BV246" s="3">
        <v>261000.32000000001</v>
      </c>
      <c r="BX246">
        <v>0</v>
      </c>
      <c r="BZ246">
        <v>0</v>
      </c>
      <c r="CA246">
        <v>0</v>
      </c>
      <c r="CB246">
        <v>0</v>
      </c>
      <c r="CC246" s="3">
        <v>261000.32000000001</v>
      </c>
      <c r="CD246" s="5">
        <v>0</v>
      </c>
      <c r="CF246" s="6">
        <v>46113</v>
      </c>
      <c r="CH246">
        <v>0</v>
      </c>
      <c r="CI246">
        <v>0</v>
      </c>
      <c r="CJ246">
        <v>0</v>
      </c>
      <c r="CK246">
        <v>0</v>
      </c>
      <c r="CL246">
        <v>0</v>
      </c>
      <c r="CM246">
        <v>0</v>
      </c>
      <c r="CN246">
        <v>0</v>
      </c>
      <c r="CO246">
        <v>0</v>
      </c>
      <c r="CP246">
        <v>0</v>
      </c>
      <c r="CQ246">
        <v>0</v>
      </c>
      <c r="CR246">
        <v>0</v>
      </c>
      <c r="CS246" t="s">
        <v>599</v>
      </c>
      <c r="CT246" t="s">
        <v>190</v>
      </c>
      <c r="CU246" t="s">
        <v>1855</v>
      </c>
      <c r="CW246">
        <v>-52.32</v>
      </c>
      <c r="CZ246" s="1">
        <v>46109</v>
      </c>
      <c r="DA246" t="s">
        <v>172</v>
      </c>
      <c r="DB246" t="s">
        <v>172</v>
      </c>
      <c r="DC246" t="s">
        <v>172</v>
      </c>
      <c r="DD246" t="s">
        <v>172</v>
      </c>
      <c r="DG246" s="1">
        <v>46109</v>
      </c>
      <c r="DH246">
        <v>0</v>
      </c>
      <c r="DI246">
        <v>0</v>
      </c>
      <c r="DJ246" s="1">
        <v>46136</v>
      </c>
      <c r="DK246" t="s">
        <v>179</v>
      </c>
      <c r="DL246" t="s">
        <v>200</v>
      </c>
      <c r="DM246" t="s">
        <v>172</v>
      </c>
      <c r="DN246" t="s">
        <v>511</v>
      </c>
      <c r="DV246" s="3">
        <v>261000.32000000001</v>
      </c>
      <c r="DW246">
        <v>0</v>
      </c>
      <c r="DX246" s="3">
        <v>261000.32000000001</v>
      </c>
      <c r="DY246">
        <v>0</v>
      </c>
      <c r="EF246" s="1">
        <v>46132</v>
      </c>
      <c r="EG246" s="1">
        <v>46127</v>
      </c>
      <c r="EK246" s="1">
        <v>46132</v>
      </c>
      <c r="EL246" s="1">
        <v>46132</v>
      </c>
      <c r="EM246" s="1">
        <v>46134</v>
      </c>
      <c r="EN246" t="s">
        <v>156</v>
      </c>
      <c r="EP246" s="1">
        <v>46128</v>
      </c>
      <c r="ER246" s="1">
        <v>46126</v>
      </c>
      <c r="ES246" t="s">
        <v>1862</v>
      </c>
      <c r="EU246" s="1">
        <v>46188</v>
      </c>
      <c r="EW246" s="1">
        <v>46109</v>
      </c>
    </row>
    <row r="247" spans="1:153" ht="174" x14ac:dyDescent="0.35">
      <c r="A247" t="str">
        <f>HYPERLINK("https://7lm.cvcrm.com.br/gestor/comercial/reservas/6913/administrar","6913")</f>
        <v>6913</v>
      </c>
      <c r="B247" t="s">
        <v>156</v>
      </c>
      <c r="C247" s="1">
        <v>46108</v>
      </c>
      <c r="D247" s="2">
        <v>0.56903935185185184</v>
      </c>
      <c r="E247" t="s">
        <v>294</v>
      </c>
      <c r="F247" t="s">
        <v>182</v>
      </c>
      <c r="G247" t="s">
        <v>159</v>
      </c>
      <c r="H247" t="s">
        <v>241</v>
      </c>
      <c r="I247" t="s">
        <v>307</v>
      </c>
      <c r="J247">
        <v>1</v>
      </c>
      <c r="L247">
        <v>30151</v>
      </c>
      <c r="M247" t="s">
        <v>1863</v>
      </c>
      <c r="N247" s="1">
        <v>46112</v>
      </c>
      <c r="O247" s="2">
        <v>0.6762731481481481</v>
      </c>
      <c r="R247" t="str">
        <f>HYPERLINK("https://7lm.cvcrm.com.br/gestor/relatorios/associado/html?q[1|r.idreserva]=6913","WELLINGTON TEIXEIRA DA COSTA")</f>
        <v>WELLINGTON TEIXEIRA DA COSTA</v>
      </c>
      <c r="S247">
        <v>5399867125</v>
      </c>
      <c r="T247">
        <v>553899028314</v>
      </c>
      <c r="V247" t="s">
        <v>1864</v>
      </c>
      <c r="W247" t="s">
        <v>163</v>
      </c>
      <c r="X247" t="s">
        <v>376</v>
      </c>
      <c r="Y247" t="s">
        <v>189</v>
      </c>
      <c r="Z247" t="s">
        <v>842</v>
      </c>
      <c r="AA247" t="s">
        <v>1865</v>
      </c>
      <c r="AB247" t="s">
        <v>1866</v>
      </c>
      <c r="AC247" t="s">
        <v>1741</v>
      </c>
      <c r="AF247" t="s">
        <v>194</v>
      </c>
      <c r="AG247" t="s">
        <v>195</v>
      </c>
      <c r="AH247" s="3">
        <v>240656.71</v>
      </c>
      <c r="AI247" s="3">
        <v>240656.71</v>
      </c>
      <c r="AJ247" s="1">
        <v>46108</v>
      </c>
      <c r="AN247" t="s">
        <v>172</v>
      </c>
      <c r="AR247" s="7" t="s">
        <v>1867</v>
      </c>
      <c r="AT247" t="s">
        <v>261</v>
      </c>
      <c r="AU247" t="s">
        <v>1403</v>
      </c>
      <c r="AW247">
        <v>0</v>
      </c>
      <c r="AX247" s="1">
        <v>46112</v>
      </c>
      <c r="AY247" s="2">
        <v>0.56432870370370369</v>
      </c>
      <c r="AZ247">
        <v>166587</v>
      </c>
      <c r="BA247" s="1">
        <v>45873</v>
      </c>
      <c r="BC247" t="s">
        <v>0</v>
      </c>
      <c r="BD247" s="1">
        <v>46108</v>
      </c>
      <c r="BE247" t="s">
        <v>198</v>
      </c>
      <c r="BL247" s="4">
        <v>0</v>
      </c>
      <c r="BM247" s="1">
        <v>46899</v>
      </c>
      <c r="BN247" s="1">
        <v>46112</v>
      </c>
      <c r="BO247">
        <v>0</v>
      </c>
      <c r="BP247">
        <v>30196</v>
      </c>
      <c r="BQ247" t="s">
        <v>156</v>
      </c>
      <c r="BR247" s="3">
        <v>152261.81</v>
      </c>
      <c r="BS247" s="3">
        <v>4738</v>
      </c>
      <c r="BT247">
        <v>0</v>
      </c>
      <c r="BU247" s="3">
        <v>156999.81</v>
      </c>
      <c r="BV247" s="3">
        <v>240656.71</v>
      </c>
      <c r="BX247">
        <v>0</v>
      </c>
      <c r="BZ247">
        <v>0</v>
      </c>
      <c r="CA247">
        <v>0</v>
      </c>
      <c r="CB247">
        <v>0</v>
      </c>
      <c r="CC247" s="3">
        <v>240656.71</v>
      </c>
      <c r="CD247" s="5">
        <v>0</v>
      </c>
      <c r="CF247" s="6">
        <v>46082</v>
      </c>
      <c r="CH247">
        <v>0</v>
      </c>
      <c r="CI247">
        <v>0</v>
      </c>
      <c r="CJ247">
        <v>0</v>
      </c>
      <c r="CK247">
        <v>0</v>
      </c>
      <c r="CL247">
        <v>0</v>
      </c>
      <c r="CM247">
        <v>0</v>
      </c>
      <c r="CN247">
        <v>0</v>
      </c>
      <c r="CO247">
        <v>0</v>
      </c>
      <c r="CP247">
        <v>0</v>
      </c>
      <c r="CQ247">
        <v>0</v>
      </c>
      <c r="CR247">
        <v>0</v>
      </c>
      <c r="CS247" t="s">
        <v>360</v>
      </c>
      <c r="CT247" t="s">
        <v>190</v>
      </c>
      <c r="CU247" t="s">
        <v>307</v>
      </c>
      <c r="CW247">
        <v>-50.480699999999999</v>
      </c>
      <c r="CZ247" s="1">
        <v>46108</v>
      </c>
      <c r="DA247" t="s">
        <v>172</v>
      </c>
      <c r="DB247" t="s">
        <v>172</v>
      </c>
      <c r="DC247" t="s">
        <v>172</v>
      </c>
      <c r="DD247" t="s">
        <v>172</v>
      </c>
      <c r="DG247" s="1">
        <v>46108</v>
      </c>
      <c r="DH247">
        <v>0</v>
      </c>
      <c r="DI247">
        <v>0</v>
      </c>
      <c r="DK247" t="s">
        <v>179</v>
      </c>
      <c r="DL247" t="s">
        <v>200</v>
      </c>
      <c r="DM247" t="s">
        <v>172</v>
      </c>
      <c r="DN247" t="s">
        <v>201</v>
      </c>
      <c r="DV247" s="3">
        <v>240656.71</v>
      </c>
      <c r="DW247">
        <v>0</v>
      </c>
      <c r="DX247" s="3">
        <v>240656.71</v>
      </c>
      <c r="DY247">
        <v>0</v>
      </c>
      <c r="EG247" s="1">
        <v>46111</v>
      </c>
      <c r="EN247" t="s">
        <v>172</v>
      </c>
      <c r="EP247" s="1">
        <v>46111</v>
      </c>
      <c r="ER247" s="1">
        <v>46111</v>
      </c>
      <c r="ES247" t="s">
        <v>1868</v>
      </c>
    </row>
    <row r="248" spans="1:153" ht="246.5" x14ac:dyDescent="0.35">
      <c r="A248" t="str">
        <f>HYPERLINK("https://7lm.cvcrm.com.br/gestor/comercial/reservas/6912/administrar","6912")</f>
        <v>6912</v>
      </c>
      <c r="B248" t="s">
        <v>156</v>
      </c>
      <c r="C248" s="1">
        <v>46108</v>
      </c>
      <c r="D248" s="2">
        <v>0.52209490740740738</v>
      </c>
      <c r="E248" t="s">
        <v>294</v>
      </c>
      <c r="F248" t="s">
        <v>182</v>
      </c>
      <c r="G248" t="s">
        <v>159</v>
      </c>
      <c r="H248" t="s">
        <v>1371</v>
      </c>
      <c r="I248" t="s">
        <v>1869</v>
      </c>
      <c r="J248">
        <v>1</v>
      </c>
      <c r="L248">
        <v>30151</v>
      </c>
      <c r="M248" t="s">
        <v>1870</v>
      </c>
      <c r="N248" s="1">
        <v>46142</v>
      </c>
      <c r="O248" s="2">
        <v>0.39318287037037036</v>
      </c>
      <c r="R248" t="str">
        <f>HYPERLINK("https://7lm.cvcrm.com.br/gestor/relatorios/associado/html?q[1|r.idreserva]=6912","SARA CANDIDO FERNANDES")</f>
        <v>SARA CANDIDO FERNANDES</v>
      </c>
      <c r="S248">
        <v>6946152182</v>
      </c>
      <c r="T248">
        <v>5561996294707</v>
      </c>
      <c r="U248">
        <v>5561999996450</v>
      </c>
      <c r="V248" t="s">
        <v>1871</v>
      </c>
      <c r="W248" t="s">
        <v>187</v>
      </c>
      <c r="X248" t="s">
        <v>366</v>
      </c>
      <c r="Y248" t="s">
        <v>189</v>
      </c>
      <c r="Z248" t="s">
        <v>842</v>
      </c>
      <c r="AA248" t="s">
        <v>1872</v>
      </c>
      <c r="AB248" t="s">
        <v>1873</v>
      </c>
      <c r="AC248" t="s">
        <v>1493</v>
      </c>
      <c r="AD248" t="s">
        <v>1493</v>
      </c>
      <c r="AF248" t="s">
        <v>250</v>
      </c>
      <c r="AG248" t="s">
        <v>251</v>
      </c>
      <c r="AH248" s="3">
        <v>240929.87</v>
      </c>
      <c r="AI248" s="3">
        <v>240929.87</v>
      </c>
      <c r="AJ248" s="1">
        <v>46108</v>
      </c>
      <c r="AN248" t="s">
        <v>172</v>
      </c>
      <c r="AR248" s="7" t="s">
        <v>353</v>
      </c>
      <c r="AT248" t="s">
        <v>173</v>
      </c>
      <c r="AU248" t="s">
        <v>175</v>
      </c>
      <c r="AW248">
        <v>0</v>
      </c>
      <c r="AX248" s="1">
        <v>46129</v>
      </c>
      <c r="AY248" s="2">
        <v>0.66081018518518519</v>
      </c>
      <c r="AZ248">
        <v>175307</v>
      </c>
      <c r="BA248" s="1">
        <v>45970</v>
      </c>
      <c r="BC248" t="s">
        <v>1874</v>
      </c>
      <c r="BD248" s="1">
        <v>45970</v>
      </c>
      <c r="BE248" t="s">
        <v>786</v>
      </c>
      <c r="BL248" s="4">
        <v>0</v>
      </c>
      <c r="BM248" s="1">
        <v>46899</v>
      </c>
      <c r="BN248" s="1">
        <v>46129</v>
      </c>
      <c r="BO248">
        <v>0</v>
      </c>
      <c r="BP248">
        <v>30250</v>
      </c>
      <c r="BQ248" t="s">
        <v>156</v>
      </c>
      <c r="BR248">
        <v>0</v>
      </c>
      <c r="BS248">
        <v>0</v>
      </c>
      <c r="BT248">
        <v>0</v>
      </c>
      <c r="BU248">
        <v>0</v>
      </c>
      <c r="BV248" s="3">
        <v>240929.87</v>
      </c>
      <c r="BX248">
        <v>0</v>
      </c>
      <c r="BZ248">
        <v>0</v>
      </c>
      <c r="CA248">
        <v>0</v>
      </c>
      <c r="CB248">
        <v>0</v>
      </c>
      <c r="CC248" s="3">
        <v>240929.87</v>
      </c>
      <c r="CD248" s="5">
        <v>0</v>
      </c>
      <c r="CF248" s="6">
        <v>46113</v>
      </c>
      <c r="CH248">
        <v>0</v>
      </c>
      <c r="CI248">
        <v>0</v>
      </c>
      <c r="CJ248">
        <v>0</v>
      </c>
      <c r="CK248">
        <v>0</v>
      </c>
      <c r="CL248">
        <v>0</v>
      </c>
      <c r="CM248">
        <v>0</v>
      </c>
      <c r="CN248">
        <v>0</v>
      </c>
      <c r="CO248">
        <v>0</v>
      </c>
      <c r="CP248">
        <v>0</v>
      </c>
      <c r="CQ248">
        <v>0</v>
      </c>
      <c r="CR248">
        <v>0</v>
      </c>
      <c r="CS248" t="s">
        <v>360</v>
      </c>
      <c r="CT248" t="s">
        <v>190</v>
      </c>
      <c r="CU248" t="s">
        <v>1869</v>
      </c>
      <c r="CW248">
        <v>-54.914900000000003</v>
      </c>
      <c r="CZ248" s="1">
        <v>46108</v>
      </c>
      <c r="DA248" t="s">
        <v>172</v>
      </c>
      <c r="DB248" t="s">
        <v>172</v>
      </c>
      <c r="DC248" t="s">
        <v>172</v>
      </c>
      <c r="DD248" t="s">
        <v>172</v>
      </c>
      <c r="DG248" s="1">
        <v>46108</v>
      </c>
      <c r="DH248">
        <v>0</v>
      </c>
      <c r="DI248">
        <v>0</v>
      </c>
      <c r="DK248" t="s">
        <v>179</v>
      </c>
      <c r="DL248" t="s">
        <v>200</v>
      </c>
      <c r="DM248" t="s">
        <v>172</v>
      </c>
      <c r="DN248" t="s">
        <v>201</v>
      </c>
      <c r="DV248" s="3">
        <v>240929.87</v>
      </c>
      <c r="DW248">
        <v>0</v>
      </c>
      <c r="DX248" s="3">
        <v>240929.87</v>
      </c>
      <c r="DY248">
        <v>0</v>
      </c>
      <c r="EG248" s="1">
        <v>46126</v>
      </c>
      <c r="EN248" t="s">
        <v>156</v>
      </c>
      <c r="ER248" s="1">
        <v>46125</v>
      </c>
      <c r="ES248" t="s">
        <v>1875</v>
      </c>
      <c r="ET248" t="s">
        <v>1876</v>
      </c>
      <c r="EU248" s="1">
        <v>46125</v>
      </c>
      <c r="EW248" s="1">
        <v>46108</v>
      </c>
    </row>
    <row r="249" spans="1:153" ht="246.5" x14ac:dyDescent="0.35">
      <c r="A249" t="str">
        <f>HYPERLINK("https://7lm.cvcrm.com.br/gestor/comercial/reservas/6911/administrar","6911")</f>
        <v>6911</v>
      </c>
      <c r="B249" t="s">
        <v>156</v>
      </c>
      <c r="C249" s="1">
        <v>46108</v>
      </c>
      <c r="D249" s="2">
        <v>0.5056018518518518</v>
      </c>
      <c r="E249" t="s">
        <v>294</v>
      </c>
      <c r="F249" t="s">
        <v>216</v>
      </c>
      <c r="G249" t="s">
        <v>159</v>
      </c>
      <c r="H249" t="s">
        <v>217</v>
      </c>
      <c r="I249" t="s">
        <v>1877</v>
      </c>
      <c r="J249">
        <v>1</v>
      </c>
      <c r="L249">
        <v>20061</v>
      </c>
      <c r="M249" t="s">
        <v>1878</v>
      </c>
      <c r="N249" s="1">
        <v>46112</v>
      </c>
      <c r="O249" s="2">
        <v>0.58035879629629628</v>
      </c>
      <c r="R249" t="str">
        <f>HYPERLINK("https://7lm.cvcrm.com.br/gestor/relatorios/associado/html?q[1|r.idreserva]=6911","MARIA DOS REMEDIOS SILVA")</f>
        <v>MARIA DOS REMEDIOS SILVA</v>
      </c>
      <c r="S249">
        <v>3824368307</v>
      </c>
      <c r="T249">
        <v>5561992543411</v>
      </c>
      <c r="V249" t="s">
        <v>1879</v>
      </c>
      <c r="W249" t="s">
        <v>187</v>
      </c>
      <c r="Y249" t="s">
        <v>189</v>
      </c>
      <c r="Z249" t="s">
        <v>214</v>
      </c>
      <c r="AA249" t="s">
        <v>1880</v>
      </c>
      <c r="AB249" t="s">
        <v>1881</v>
      </c>
      <c r="AC249" t="s">
        <v>785</v>
      </c>
      <c r="AD249" t="s">
        <v>785</v>
      </c>
      <c r="AF249" t="s">
        <v>634</v>
      </c>
      <c r="AG249" t="s">
        <v>195</v>
      </c>
      <c r="AH249" s="3">
        <v>222358.77</v>
      </c>
      <c r="AI249" s="3">
        <v>222358.77</v>
      </c>
      <c r="AJ249" s="1">
        <v>46108</v>
      </c>
      <c r="AN249" t="s">
        <v>172</v>
      </c>
      <c r="AR249" s="7" t="s">
        <v>353</v>
      </c>
      <c r="AT249" t="s">
        <v>173</v>
      </c>
      <c r="AU249" t="s">
        <v>888</v>
      </c>
      <c r="AW249">
        <v>0</v>
      </c>
      <c r="AX249" s="1">
        <v>46112</v>
      </c>
      <c r="AY249" s="2">
        <v>0.59034722222222225</v>
      </c>
      <c r="AZ249">
        <v>57519</v>
      </c>
      <c r="BA249" s="1">
        <v>44349</v>
      </c>
      <c r="BB249" s="1">
        <v>46106</v>
      </c>
      <c r="BC249" t="s">
        <v>275</v>
      </c>
      <c r="BD249" s="1">
        <v>46106</v>
      </c>
      <c r="BE249" t="s">
        <v>317</v>
      </c>
      <c r="BL249" s="4">
        <v>0</v>
      </c>
      <c r="BM249" s="1">
        <v>46995</v>
      </c>
      <c r="BN249" s="1">
        <v>46112</v>
      </c>
      <c r="BO249">
        <v>0</v>
      </c>
      <c r="BP249">
        <v>30210</v>
      </c>
      <c r="BQ249" t="s">
        <v>156</v>
      </c>
      <c r="BR249" s="3">
        <v>107315.99</v>
      </c>
      <c r="BS249" s="3">
        <v>53134</v>
      </c>
      <c r="BT249">
        <v>0</v>
      </c>
      <c r="BU249" s="3">
        <v>160449.99</v>
      </c>
      <c r="BV249" s="3">
        <v>222358.77</v>
      </c>
      <c r="BX249">
        <v>0</v>
      </c>
      <c r="BZ249">
        <v>0</v>
      </c>
      <c r="CA249">
        <v>0</v>
      </c>
      <c r="CB249">
        <v>0</v>
      </c>
      <c r="CC249" s="3">
        <v>222358.77</v>
      </c>
      <c r="CD249" s="5">
        <v>0</v>
      </c>
      <c r="CF249" s="6">
        <v>46082</v>
      </c>
      <c r="CH249">
        <v>0</v>
      </c>
      <c r="CI249">
        <v>0</v>
      </c>
      <c r="CJ249">
        <v>0</v>
      </c>
      <c r="CK249">
        <v>0</v>
      </c>
      <c r="CL249">
        <v>0</v>
      </c>
      <c r="CM249">
        <v>0</v>
      </c>
      <c r="CN249">
        <v>0</v>
      </c>
      <c r="CO249">
        <v>0</v>
      </c>
      <c r="CP249">
        <v>0</v>
      </c>
      <c r="CQ249">
        <v>0</v>
      </c>
      <c r="CR249">
        <v>0</v>
      </c>
      <c r="CS249" t="s">
        <v>360</v>
      </c>
      <c r="CT249" t="s">
        <v>214</v>
      </c>
      <c r="CU249" t="s">
        <v>1877</v>
      </c>
      <c r="CW249">
        <v>-53.192999999999998</v>
      </c>
      <c r="CZ249" s="1">
        <v>46108</v>
      </c>
      <c r="DA249" t="s">
        <v>172</v>
      </c>
      <c r="DB249" t="s">
        <v>172</v>
      </c>
      <c r="DC249" t="s">
        <v>172</v>
      </c>
      <c r="DD249" t="s">
        <v>172</v>
      </c>
      <c r="DG249" s="1">
        <v>46108</v>
      </c>
      <c r="DH249">
        <v>0</v>
      </c>
      <c r="DI249">
        <v>0</v>
      </c>
      <c r="DK249" t="s">
        <v>179</v>
      </c>
      <c r="DL249" t="s">
        <v>224</v>
      </c>
      <c r="DM249" t="s">
        <v>172</v>
      </c>
      <c r="DN249" t="s">
        <v>225</v>
      </c>
      <c r="DV249" s="3">
        <v>222358.77</v>
      </c>
      <c r="DW249">
        <v>0</v>
      </c>
      <c r="DX249" s="3">
        <v>222358.77</v>
      </c>
      <c r="DY249">
        <v>0</v>
      </c>
      <c r="EF249" s="1">
        <v>46112</v>
      </c>
      <c r="EG249" s="1">
        <v>46111</v>
      </c>
      <c r="EK249" s="1">
        <v>46112</v>
      </c>
      <c r="EN249" t="s">
        <v>156</v>
      </c>
      <c r="EU249" s="1">
        <v>46111</v>
      </c>
      <c r="EW249" s="1">
        <v>46108</v>
      </c>
    </row>
    <row r="250" spans="1:153" ht="246.5" x14ac:dyDescent="0.35">
      <c r="A250" t="str">
        <f>HYPERLINK("https://7lm.cvcrm.com.br/gestor/comercial/reservas/6910/administrar","6910")</f>
        <v>6910</v>
      </c>
      <c r="B250" t="s">
        <v>156</v>
      </c>
      <c r="C250" s="1">
        <v>46108</v>
      </c>
      <c r="D250" s="2">
        <v>0.46354166666666669</v>
      </c>
      <c r="E250" t="s">
        <v>294</v>
      </c>
      <c r="F250" t="s">
        <v>216</v>
      </c>
      <c r="G250" t="s">
        <v>159</v>
      </c>
      <c r="H250" t="s">
        <v>204</v>
      </c>
      <c r="I250" t="s">
        <v>672</v>
      </c>
      <c r="J250">
        <v>1</v>
      </c>
      <c r="L250">
        <v>20061</v>
      </c>
      <c r="M250" t="s">
        <v>1882</v>
      </c>
      <c r="N250" s="1">
        <v>46120</v>
      </c>
      <c r="O250" s="2">
        <v>0.39537037037037037</v>
      </c>
      <c r="R250" t="str">
        <f>HYPERLINK("https://7lm.cvcrm.com.br/gestor/relatorios/associado/html?q[1|r.idreserva]=6910","ROBSON MOREIRA DE MELO")</f>
        <v>ROBSON MOREIRA DE MELO</v>
      </c>
      <c r="S250">
        <v>5168419127</v>
      </c>
      <c r="T250">
        <v>5561995523894</v>
      </c>
      <c r="V250" t="s">
        <v>1883</v>
      </c>
      <c r="W250" t="s">
        <v>163</v>
      </c>
      <c r="X250" t="s">
        <v>299</v>
      </c>
      <c r="Y250" t="s">
        <v>189</v>
      </c>
      <c r="Z250" t="s">
        <v>214</v>
      </c>
      <c r="AA250" t="s">
        <v>1884</v>
      </c>
      <c r="AB250" t="s">
        <v>1885</v>
      </c>
      <c r="AC250" t="s">
        <v>696</v>
      </c>
      <c r="AD250" t="s">
        <v>697</v>
      </c>
      <c r="AF250" t="s">
        <v>413</v>
      </c>
      <c r="AG250" t="s">
        <v>195</v>
      </c>
      <c r="AH250" s="3">
        <v>223764.6</v>
      </c>
      <c r="AI250" s="3">
        <v>223764.6</v>
      </c>
      <c r="AJ250" s="1">
        <v>46167</v>
      </c>
      <c r="AN250" t="s">
        <v>172</v>
      </c>
      <c r="AR250" s="7" t="s">
        <v>353</v>
      </c>
      <c r="AT250" t="s">
        <v>196</v>
      </c>
      <c r="AU250" t="s">
        <v>316</v>
      </c>
      <c r="AW250">
        <v>0</v>
      </c>
      <c r="AX250" s="1">
        <v>46126</v>
      </c>
      <c r="AY250" s="2">
        <v>0.41496527777777775</v>
      </c>
      <c r="AZ250">
        <v>127883</v>
      </c>
      <c r="BA250" s="1">
        <v>45517</v>
      </c>
      <c r="BB250" s="1">
        <v>46100</v>
      </c>
      <c r="BC250" t="s">
        <v>1886</v>
      </c>
      <c r="BD250" s="1">
        <v>46100</v>
      </c>
      <c r="BE250" t="s">
        <v>317</v>
      </c>
      <c r="BL250" s="4">
        <v>0</v>
      </c>
      <c r="BM250" s="1">
        <v>46995</v>
      </c>
      <c r="BN250" s="1">
        <v>46126</v>
      </c>
      <c r="BO250">
        <v>0</v>
      </c>
      <c r="BP250">
        <v>30208</v>
      </c>
      <c r="BQ250" t="s">
        <v>156</v>
      </c>
      <c r="BR250">
        <v>0</v>
      </c>
      <c r="BS250">
        <v>0</v>
      </c>
      <c r="BT250">
        <v>0</v>
      </c>
      <c r="BU250">
        <v>0</v>
      </c>
      <c r="BV250" s="3">
        <v>223764.6</v>
      </c>
      <c r="BX250">
        <v>0</v>
      </c>
      <c r="BZ250">
        <v>0</v>
      </c>
      <c r="CA250">
        <v>0</v>
      </c>
      <c r="CB250">
        <v>0</v>
      </c>
      <c r="CC250" s="3">
        <v>223764.6</v>
      </c>
      <c r="CD250" s="5">
        <v>0</v>
      </c>
      <c r="CF250" s="6">
        <v>46113</v>
      </c>
      <c r="CH250">
        <v>0</v>
      </c>
      <c r="CI250">
        <v>0</v>
      </c>
      <c r="CJ250">
        <v>0</v>
      </c>
      <c r="CK250">
        <v>0</v>
      </c>
      <c r="CL250">
        <v>0</v>
      </c>
      <c r="CM250">
        <v>0</v>
      </c>
      <c r="CN250">
        <v>0</v>
      </c>
      <c r="CO250">
        <v>0</v>
      </c>
      <c r="CP250">
        <v>0</v>
      </c>
      <c r="CQ250">
        <v>0</v>
      </c>
      <c r="CR250">
        <v>0</v>
      </c>
      <c r="CS250" t="s">
        <v>360</v>
      </c>
      <c r="CT250" t="s">
        <v>214</v>
      </c>
      <c r="CU250" t="s">
        <v>672</v>
      </c>
      <c r="CW250">
        <v>-53.467599999999997</v>
      </c>
      <c r="CZ250" s="1">
        <v>46108</v>
      </c>
      <c r="DA250" t="s">
        <v>172</v>
      </c>
      <c r="DB250" t="s">
        <v>172</v>
      </c>
      <c r="DC250" t="s">
        <v>172</v>
      </c>
      <c r="DD250" t="s">
        <v>172</v>
      </c>
      <c r="DG250" s="1">
        <v>46108</v>
      </c>
      <c r="DH250">
        <v>0</v>
      </c>
      <c r="DI250">
        <v>0</v>
      </c>
      <c r="DK250" t="s">
        <v>179</v>
      </c>
      <c r="DL250" t="s">
        <v>224</v>
      </c>
      <c r="DM250" t="s">
        <v>172</v>
      </c>
      <c r="DN250" t="s">
        <v>511</v>
      </c>
      <c r="DU250" t="s">
        <v>1887</v>
      </c>
      <c r="DV250" s="3">
        <v>271635.40000000002</v>
      </c>
      <c r="DW250">
        <v>-54.83</v>
      </c>
      <c r="DX250" s="3">
        <v>271635.40000000002</v>
      </c>
      <c r="DY250">
        <v>-54.83</v>
      </c>
      <c r="EF250" s="1">
        <v>46120</v>
      </c>
      <c r="EG250" s="1">
        <v>46118</v>
      </c>
      <c r="EK250" s="1">
        <v>46120</v>
      </c>
      <c r="EL250" s="1">
        <v>46120</v>
      </c>
      <c r="EM250" s="1">
        <v>46118</v>
      </c>
      <c r="EN250" t="s">
        <v>156</v>
      </c>
      <c r="EP250" s="1">
        <v>46112</v>
      </c>
      <c r="ET250" t="s">
        <v>1888</v>
      </c>
      <c r="EU250" s="1">
        <v>46114</v>
      </c>
      <c r="EW250" s="1">
        <v>46108</v>
      </c>
    </row>
    <row r="251" spans="1:153" ht="246.5" x14ac:dyDescent="0.35">
      <c r="A251" t="str">
        <f>HYPERLINK("https://7lm.cvcrm.com.br/gestor/comercial/reservas/6909/administrar","6909")</f>
        <v>6909</v>
      </c>
      <c r="B251" t="s">
        <v>156</v>
      </c>
      <c r="C251" s="1">
        <v>46108</v>
      </c>
      <c r="D251" s="2">
        <v>0.44989583333333333</v>
      </c>
      <c r="E251" t="s">
        <v>294</v>
      </c>
      <c r="F251" t="s">
        <v>182</v>
      </c>
      <c r="G251" t="s">
        <v>159</v>
      </c>
      <c r="H251" t="s">
        <v>372</v>
      </c>
      <c r="I251" t="s">
        <v>1889</v>
      </c>
      <c r="J251">
        <v>1</v>
      </c>
      <c r="L251">
        <v>30151</v>
      </c>
      <c r="M251" t="s">
        <v>1890</v>
      </c>
      <c r="N251" s="1">
        <v>46112</v>
      </c>
      <c r="O251" s="2">
        <v>0.56200231481481477</v>
      </c>
      <c r="R251" t="str">
        <f>HYPERLINK("https://7lm.cvcrm.com.br/gestor/relatorios/associado/html?q[1|r.idreserva]=6909","RITANY OLIVEIRA SILVA")</f>
        <v>RITANY OLIVEIRA SILVA</v>
      </c>
      <c r="S251">
        <v>6626664530</v>
      </c>
      <c r="T251">
        <v>5577999521607</v>
      </c>
      <c r="V251" t="s">
        <v>1891</v>
      </c>
      <c r="W251" t="s">
        <v>187</v>
      </c>
      <c r="X251" t="s">
        <v>1892</v>
      </c>
      <c r="Y251" t="s">
        <v>189</v>
      </c>
      <c r="Z251" t="s">
        <v>190</v>
      </c>
      <c r="AA251" t="s">
        <v>1893</v>
      </c>
      <c r="AB251" t="s">
        <v>1894</v>
      </c>
      <c r="AC251" t="s">
        <v>465</v>
      </c>
      <c r="AF251" t="s">
        <v>413</v>
      </c>
      <c r="AG251" t="s">
        <v>195</v>
      </c>
      <c r="AH251" s="3">
        <v>251000.2</v>
      </c>
      <c r="AI251" s="3">
        <v>251000.2</v>
      </c>
      <c r="AJ251" s="1">
        <v>46188</v>
      </c>
      <c r="AN251" t="s">
        <v>172</v>
      </c>
      <c r="AR251" s="7" t="s">
        <v>353</v>
      </c>
      <c r="AT251" t="s">
        <v>261</v>
      </c>
      <c r="AU251" t="s">
        <v>1403</v>
      </c>
      <c r="AW251">
        <v>0</v>
      </c>
      <c r="AX251" s="1">
        <v>46111</v>
      </c>
      <c r="AY251" s="2">
        <v>0.43585648148148148</v>
      </c>
      <c r="AZ251">
        <v>65908</v>
      </c>
      <c r="BA251" s="1">
        <v>44520</v>
      </c>
      <c r="BB251" s="1">
        <v>44873</v>
      </c>
      <c r="BC251" t="s">
        <v>1895</v>
      </c>
      <c r="BD251" s="1">
        <v>44873</v>
      </c>
      <c r="BE251" t="s">
        <v>317</v>
      </c>
      <c r="BL251" s="4">
        <v>0</v>
      </c>
      <c r="BM251" s="1">
        <v>46899</v>
      </c>
      <c r="BN251" s="1">
        <v>46111</v>
      </c>
      <c r="BO251">
        <v>0</v>
      </c>
      <c r="BP251">
        <v>30227</v>
      </c>
      <c r="BQ251" t="s">
        <v>156</v>
      </c>
      <c r="BR251" s="3">
        <v>143458.39000000001</v>
      </c>
      <c r="BS251" s="3">
        <v>21209</v>
      </c>
      <c r="BT251">
        <v>0</v>
      </c>
      <c r="BU251" s="3">
        <v>164667.39000000001</v>
      </c>
      <c r="BV251" s="3">
        <v>251000.2</v>
      </c>
      <c r="BX251">
        <v>0</v>
      </c>
      <c r="BZ251">
        <v>0</v>
      </c>
      <c r="CA251">
        <v>0</v>
      </c>
      <c r="CB251">
        <v>0</v>
      </c>
      <c r="CC251" s="3">
        <v>251000.2</v>
      </c>
      <c r="CD251" s="5">
        <v>0</v>
      </c>
      <c r="CF251" s="6">
        <v>46082</v>
      </c>
      <c r="CH251">
        <v>0</v>
      </c>
      <c r="CI251">
        <v>0</v>
      </c>
      <c r="CJ251">
        <v>0</v>
      </c>
      <c r="CK251">
        <v>0</v>
      </c>
      <c r="CL251">
        <v>0</v>
      </c>
      <c r="CM251">
        <v>0</v>
      </c>
      <c r="CN251">
        <v>0</v>
      </c>
      <c r="CO251">
        <v>0</v>
      </c>
      <c r="CP251">
        <v>0</v>
      </c>
      <c r="CQ251">
        <v>0</v>
      </c>
      <c r="CR251">
        <v>0</v>
      </c>
      <c r="CS251" t="s">
        <v>360</v>
      </c>
      <c r="CT251" t="s">
        <v>190</v>
      </c>
      <c r="CU251" t="s">
        <v>1889</v>
      </c>
      <c r="CW251">
        <v>-50.204300000000003</v>
      </c>
      <c r="CZ251" s="1">
        <v>46108</v>
      </c>
      <c r="DA251" t="s">
        <v>172</v>
      </c>
      <c r="DB251" t="s">
        <v>172</v>
      </c>
      <c r="DC251" t="s">
        <v>172</v>
      </c>
      <c r="DD251" t="s">
        <v>172</v>
      </c>
      <c r="DG251" s="1">
        <v>46108</v>
      </c>
      <c r="DH251">
        <v>0</v>
      </c>
      <c r="DI251">
        <v>0</v>
      </c>
      <c r="DK251" t="s">
        <v>179</v>
      </c>
      <c r="DL251" t="s">
        <v>200</v>
      </c>
      <c r="DM251" t="s">
        <v>172</v>
      </c>
      <c r="DN251" t="s">
        <v>225</v>
      </c>
      <c r="DV251" s="3">
        <v>251000.2</v>
      </c>
      <c r="DW251">
        <v>0</v>
      </c>
      <c r="DX251" s="3">
        <v>251000.2</v>
      </c>
      <c r="DY251">
        <v>0</v>
      </c>
      <c r="EG251" s="1">
        <v>46108</v>
      </c>
      <c r="EP251" s="1">
        <v>46108</v>
      </c>
      <c r="ER251" s="1">
        <v>46108</v>
      </c>
      <c r="ES251" t="s">
        <v>1896</v>
      </c>
    </row>
    <row r="252" spans="1:153" x14ac:dyDescent="0.35">
      <c r="A252" t="str">
        <f>HYPERLINK("https://7lm.cvcrm.com.br/gestor/comercial/reservas/6908/administrar","6908")</f>
        <v>6908</v>
      </c>
      <c r="B252" t="s">
        <v>156</v>
      </c>
      <c r="C252" s="1">
        <v>46107</v>
      </c>
      <c r="D252" s="2">
        <v>0.87043981481481481</v>
      </c>
      <c r="E252" t="s">
        <v>1310</v>
      </c>
      <c r="F252" t="s">
        <v>158</v>
      </c>
      <c r="G252" t="s">
        <v>159</v>
      </c>
      <c r="H252" t="s">
        <v>160</v>
      </c>
      <c r="I252">
        <v>904</v>
      </c>
      <c r="J252">
        <v>1</v>
      </c>
      <c r="L252">
        <v>10001</v>
      </c>
      <c r="M252" t="s">
        <v>927</v>
      </c>
      <c r="N252" s="1">
        <v>46108</v>
      </c>
      <c r="O252" s="2">
        <v>0.55618055555555557</v>
      </c>
      <c r="R252" t="str">
        <f>HYPERLINK("https://7lm.cvcrm.com.br/gestor/relatorios/associado/html?q[1|r.idreserva]=6908","LEONARDO SOARES GONÇALVES")</f>
        <v>LEONARDO SOARES GONÇALVES</v>
      </c>
      <c r="S252">
        <v>7213405128</v>
      </c>
      <c r="T252">
        <v>5561982000234</v>
      </c>
      <c r="U252">
        <v>5561982000234</v>
      </c>
      <c r="V252" t="s">
        <v>1897</v>
      </c>
      <c r="W252" t="s">
        <v>163</v>
      </c>
      <c r="X252" t="s">
        <v>1147</v>
      </c>
      <c r="Y252" t="s">
        <v>165</v>
      </c>
      <c r="Z252" t="s">
        <v>238</v>
      </c>
      <c r="AA252" t="s">
        <v>1898</v>
      </c>
      <c r="AB252" t="s">
        <v>1899</v>
      </c>
      <c r="AC252" t="s">
        <v>177</v>
      </c>
      <c r="AF252" t="s">
        <v>170</v>
      </c>
      <c r="AG252" t="s">
        <v>171</v>
      </c>
      <c r="AH252" s="3">
        <v>447440</v>
      </c>
      <c r="AI252" s="3">
        <v>447440</v>
      </c>
      <c r="AJ252" s="1">
        <v>46107</v>
      </c>
      <c r="AN252" t="s">
        <v>172</v>
      </c>
      <c r="AT252" t="s">
        <v>196</v>
      </c>
      <c r="AU252" t="s">
        <v>197</v>
      </c>
      <c r="AW252">
        <v>0</v>
      </c>
      <c r="AX252" s="1">
        <v>46148</v>
      </c>
      <c r="AY252" s="2">
        <v>0.46942129629629631</v>
      </c>
      <c r="AZ252">
        <v>197311</v>
      </c>
      <c r="BA252" s="1">
        <v>46105</v>
      </c>
      <c r="BC252" t="s">
        <v>213</v>
      </c>
      <c r="BD252" s="1">
        <v>46105</v>
      </c>
      <c r="BE252" t="s">
        <v>176</v>
      </c>
      <c r="BL252" s="4">
        <v>0</v>
      </c>
      <c r="BM252" s="1">
        <v>46387</v>
      </c>
      <c r="BN252" s="1">
        <v>46112</v>
      </c>
      <c r="BO252">
        <v>0</v>
      </c>
      <c r="BP252">
        <v>30124</v>
      </c>
      <c r="BQ252" t="s">
        <v>156</v>
      </c>
      <c r="BR252" s="3">
        <v>432000</v>
      </c>
      <c r="BS252">
        <v>0</v>
      </c>
      <c r="BT252">
        <v>0</v>
      </c>
      <c r="BU252" s="3">
        <v>432000</v>
      </c>
      <c r="BV252" s="3">
        <v>447440</v>
      </c>
      <c r="BX252">
        <v>0</v>
      </c>
      <c r="BZ252">
        <v>0</v>
      </c>
      <c r="CA252">
        <v>0</v>
      </c>
      <c r="CB252">
        <v>0</v>
      </c>
      <c r="CC252" s="3">
        <v>447440</v>
      </c>
      <c r="CD252" s="5">
        <v>0</v>
      </c>
      <c r="CF252" s="6">
        <v>46082</v>
      </c>
      <c r="CH252">
        <v>0</v>
      </c>
      <c r="CI252">
        <v>0</v>
      </c>
      <c r="CJ252">
        <v>0</v>
      </c>
      <c r="CK252">
        <v>0</v>
      </c>
      <c r="CL252">
        <v>0</v>
      </c>
      <c r="CM252">
        <v>0</v>
      </c>
      <c r="CN252">
        <v>0</v>
      </c>
      <c r="CO252">
        <v>0</v>
      </c>
      <c r="CP252">
        <v>0</v>
      </c>
      <c r="CQ252">
        <v>0</v>
      </c>
      <c r="CR252">
        <v>0</v>
      </c>
      <c r="CS252" t="s">
        <v>177</v>
      </c>
      <c r="CT252" t="s">
        <v>178</v>
      </c>
      <c r="CU252">
        <v>904</v>
      </c>
      <c r="CW252">
        <v>-57.098199999999999</v>
      </c>
      <c r="CZ252" s="1">
        <v>46107</v>
      </c>
      <c r="DA252" t="s">
        <v>172</v>
      </c>
      <c r="DB252" t="s">
        <v>172</v>
      </c>
      <c r="DC252" t="s">
        <v>172</v>
      </c>
      <c r="DD252" t="s">
        <v>172</v>
      </c>
      <c r="DG252" s="1">
        <v>46107</v>
      </c>
      <c r="DH252">
        <v>0</v>
      </c>
      <c r="DI252">
        <v>0</v>
      </c>
      <c r="DK252" t="s">
        <v>179</v>
      </c>
      <c r="DM252" t="s">
        <v>172</v>
      </c>
      <c r="DN252" t="s">
        <v>553</v>
      </c>
      <c r="DU252" t="s">
        <v>734</v>
      </c>
      <c r="DV252" s="3">
        <v>595500</v>
      </c>
      <c r="DW252">
        <v>-57.1</v>
      </c>
      <c r="DX252" s="3">
        <v>595500</v>
      </c>
      <c r="DY252">
        <v>-57.1</v>
      </c>
    </row>
    <row r="253" spans="1:153" ht="246.5" x14ac:dyDescent="0.35">
      <c r="A253" t="str">
        <f>HYPERLINK("https://7lm.cvcrm.com.br/gestor/comercial/reservas/6907/administrar","6907")</f>
        <v>6907</v>
      </c>
      <c r="B253" t="s">
        <v>156</v>
      </c>
      <c r="C253" s="1">
        <v>46107</v>
      </c>
      <c r="D253" s="2">
        <v>0.767974537037037</v>
      </c>
      <c r="E253" t="s">
        <v>294</v>
      </c>
      <c r="F253" t="s">
        <v>957</v>
      </c>
      <c r="G253" t="s">
        <v>159</v>
      </c>
      <c r="H253" t="s">
        <v>636</v>
      </c>
      <c r="I253" t="s">
        <v>1549</v>
      </c>
      <c r="J253">
        <v>1</v>
      </c>
      <c r="K253">
        <v>8293</v>
      </c>
      <c r="L253">
        <v>30121</v>
      </c>
      <c r="M253" t="s">
        <v>1900</v>
      </c>
      <c r="N253" s="1">
        <v>46112</v>
      </c>
      <c r="O253" s="2">
        <v>0.55590277777777775</v>
      </c>
      <c r="R253" t="str">
        <f>HYPERLINK("https://7lm.cvcrm.com.br/gestor/relatorios/associado/html?q[1|r.idreserva]=6907","JOÃO PEDRO GUIA DAS DORES")</f>
        <v>JOÃO PEDRO GUIA DAS DORES</v>
      </c>
      <c r="S253">
        <v>7164208131</v>
      </c>
      <c r="T253">
        <v>5561996883605</v>
      </c>
      <c r="V253" t="s">
        <v>1901</v>
      </c>
      <c r="W253" t="s">
        <v>163</v>
      </c>
      <c r="Y253" t="s">
        <v>189</v>
      </c>
      <c r="Z253" t="s">
        <v>190</v>
      </c>
      <c r="AA253" t="s">
        <v>191</v>
      </c>
      <c r="AB253" t="s">
        <v>1902</v>
      </c>
      <c r="AC253" t="s">
        <v>896</v>
      </c>
      <c r="AF253" t="s">
        <v>194</v>
      </c>
      <c r="AG253" t="s">
        <v>251</v>
      </c>
      <c r="AH253" s="3">
        <v>253929.4</v>
      </c>
      <c r="AI253" s="3">
        <v>253929.4</v>
      </c>
      <c r="AJ253" s="1">
        <v>46107</v>
      </c>
      <c r="AN253" t="s">
        <v>172</v>
      </c>
      <c r="AR253" s="7" t="s">
        <v>353</v>
      </c>
      <c r="AT253" t="s">
        <v>261</v>
      </c>
      <c r="AU253" t="s">
        <v>1232</v>
      </c>
      <c r="AW253">
        <v>0</v>
      </c>
      <c r="AX253" s="1">
        <v>46112</v>
      </c>
      <c r="AY253" s="2">
        <v>0.42807870370370371</v>
      </c>
      <c r="AZ253">
        <v>49824</v>
      </c>
      <c r="BA253" s="1">
        <v>44250</v>
      </c>
      <c r="BC253" t="s">
        <v>1689</v>
      </c>
      <c r="BD253" s="1">
        <v>44250</v>
      </c>
      <c r="BE253" t="s">
        <v>176</v>
      </c>
      <c r="BL253" s="4">
        <v>0</v>
      </c>
      <c r="BM253" s="1">
        <v>47031</v>
      </c>
      <c r="BN253" s="1">
        <v>46112</v>
      </c>
      <c r="BO253">
        <v>0</v>
      </c>
      <c r="BP253">
        <v>30158</v>
      </c>
      <c r="BQ253" t="s">
        <v>156</v>
      </c>
      <c r="BR253" s="3">
        <v>145003.69</v>
      </c>
      <c r="BS253" s="3">
        <v>24453</v>
      </c>
      <c r="BT253">
        <v>0</v>
      </c>
      <c r="BU253" s="3">
        <v>169456.69</v>
      </c>
      <c r="BV253" s="3">
        <v>253929.4</v>
      </c>
      <c r="BX253">
        <v>0</v>
      </c>
      <c r="BZ253">
        <v>0</v>
      </c>
      <c r="CA253">
        <v>0</v>
      </c>
      <c r="CB253">
        <v>0</v>
      </c>
      <c r="CC253" s="3">
        <v>253929.4</v>
      </c>
      <c r="CD253" s="5">
        <v>0</v>
      </c>
      <c r="CF253" s="6">
        <v>46082</v>
      </c>
      <c r="CH253">
        <v>0</v>
      </c>
      <c r="CI253">
        <v>0</v>
      </c>
      <c r="CJ253">
        <v>0</v>
      </c>
      <c r="CK253">
        <v>0</v>
      </c>
      <c r="CL253">
        <v>0</v>
      </c>
      <c r="CM253">
        <v>0</v>
      </c>
      <c r="CN253">
        <v>0</v>
      </c>
      <c r="CO253">
        <v>0</v>
      </c>
      <c r="CP253">
        <v>0</v>
      </c>
      <c r="CQ253">
        <v>0</v>
      </c>
      <c r="CR253">
        <v>0</v>
      </c>
      <c r="CS253" t="s">
        <v>360</v>
      </c>
      <c r="CT253" t="s">
        <v>190</v>
      </c>
      <c r="CU253" t="s">
        <v>1549</v>
      </c>
      <c r="CW253">
        <v>-46.499099999999999</v>
      </c>
      <c r="CZ253" s="1">
        <v>46107</v>
      </c>
      <c r="DA253" t="s">
        <v>172</v>
      </c>
      <c r="DB253" t="s">
        <v>172</v>
      </c>
      <c r="DC253" t="s">
        <v>172</v>
      </c>
      <c r="DD253" t="s">
        <v>172</v>
      </c>
      <c r="DG253" s="1">
        <v>46107</v>
      </c>
      <c r="DH253">
        <v>0</v>
      </c>
      <c r="DI253">
        <v>0</v>
      </c>
      <c r="DL253" t="s">
        <v>963</v>
      </c>
      <c r="DM253" t="s">
        <v>172</v>
      </c>
      <c r="DN253" t="s">
        <v>201</v>
      </c>
      <c r="DV253" s="3">
        <v>253929.4</v>
      </c>
      <c r="DW253">
        <v>0</v>
      </c>
      <c r="DX253" s="3">
        <v>253929.4</v>
      </c>
      <c r="DY253">
        <v>0</v>
      </c>
      <c r="EG253" s="1">
        <v>46111</v>
      </c>
      <c r="EH253" s="1">
        <v>46108</v>
      </c>
      <c r="EN253" t="s">
        <v>156</v>
      </c>
      <c r="EP253" s="1">
        <v>46111</v>
      </c>
      <c r="ER253" s="1">
        <v>46108</v>
      </c>
      <c r="ES253" t="s">
        <v>1903</v>
      </c>
      <c r="ET253" t="s">
        <v>1904</v>
      </c>
      <c r="EW253" s="1">
        <v>46107</v>
      </c>
    </row>
    <row r="254" spans="1:153" ht="246.5" x14ac:dyDescent="0.35">
      <c r="A254" t="str">
        <f>HYPERLINK("https://7lm.cvcrm.com.br/gestor/comercial/reservas/6906/administrar","6906")</f>
        <v>6906</v>
      </c>
      <c r="B254" t="s">
        <v>156</v>
      </c>
      <c r="C254" s="1">
        <v>46107</v>
      </c>
      <c r="D254" s="2">
        <v>0.74219907407407404</v>
      </c>
      <c r="E254" t="s">
        <v>294</v>
      </c>
      <c r="F254" t="s">
        <v>458</v>
      </c>
      <c r="G254" t="s">
        <v>203</v>
      </c>
      <c r="H254" t="s">
        <v>306</v>
      </c>
      <c r="I254" t="s">
        <v>1214</v>
      </c>
      <c r="J254">
        <v>1</v>
      </c>
      <c r="L254">
        <v>20001</v>
      </c>
      <c r="M254" t="s">
        <v>1905</v>
      </c>
      <c r="N254" s="1">
        <v>46111</v>
      </c>
      <c r="O254" s="2">
        <v>0.69861111111111107</v>
      </c>
      <c r="R254" t="str">
        <f>HYPERLINK("https://7lm.cvcrm.com.br/gestor/relatorios/associado/html?q[1|r.idreserva]=6906","ANA JULIA CANDIDO DO VALE")</f>
        <v>ANA JULIA CANDIDO DO VALE</v>
      </c>
      <c r="S254">
        <v>71674113102</v>
      </c>
      <c r="T254">
        <v>5561995560996</v>
      </c>
      <c r="V254" t="s">
        <v>1906</v>
      </c>
      <c r="W254" t="s">
        <v>187</v>
      </c>
      <c r="X254" t="s">
        <v>299</v>
      </c>
      <c r="Y254" t="s">
        <v>189</v>
      </c>
      <c r="Z254" t="s">
        <v>214</v>
      </c>
      <c r="AA254" t="s">
        <v>1907</v>
      </c>
      <c r="AB254" t="s">
        <v>1908</v>
      </c>
      <c r="AC254" t="s">
        <v>1466</v>
      </c>
      <c r="AF254" t="s">
        <v>413</v>
      </c>
      <c r="AG254" t="s">
        <v>195</v>
      </c>
      <c r="AH254" s="3">
        <v>225353.13</v>
      </c>
      <c r="AI254" s="3">
        <v>225353.13</v>
      </c>
      <c r="AJ254" s="1">
        <v>46107</v>
      </c>
      <c r="AN254" t="s">
        <v>172</v>
      </c>
      <c r="AR254" s="7" t="s">
        <v>353</v>
      </c>
      <c r="AT254" t="s">
        <v>261</v>
      </c>
      <c r="AU254" t="s">
        <v>197</v>
      </c>
      <c r="AW254">
        <v>0</v>
      </c>
      <c r="AX254" s="1">
        <v>46111</v>
      </c>
      <c r="AY254" s="2">
        <v>0.45116898148148149</v>
      </c>
      <c r="AZ254">
        <v>196512</v>
      </c>
      <c r="BA254" s="1">
        <v>46101</v>
      </c>
      <c r="BC254" t="s">
        <v>275</v>
      </c>
      <c r="BD254" s="1">
        <v>46101</v>
      </c>
      <c r="BE254" t="s">
        <v>276</v>
      </c>
      <c r="BL254" s="4">
        <v>0</v>
      </c>
      <c r="BM254" s="1">
        <v>46572</v>
      </c>
      <c r="BN254" s="1">
        <v>46111</v>
      </c>
      <c r="BO254">
        <v>0</v>
      </c>
      <c r="BP254">
        <v>30006</v>
      </c>
      <c r="BQ254" t="s">
        <v>156</v>
      </c>
      <c r="BR254" s="3">
        <v>111389.77</v>
      </c>
      <c r="BS254" s="3">
        <v>54634</v>
      </c>
      <c r="BT254">
        <v>0</v>
      </c>
      <c r="BU254" s="3">
        <v>166023.76999999999</v>
      </c>
      <c r="BV254" s="3">
        <v>225353.13</v>
      </c>
      <c r="BX254">
        <v>0</v>
      </c>
      <c r="BZ254">
        <v>0</v>
      </c>
      <c r="CA254">
        <v>0</v>
      </c>
      <c r="CB254">
        <v>0</v>
      </c>
      <c r="CC254" s="3">
        <v>225353.13</v>
      </c>
      <c r="CD254" s="5">
        <v>0</v>
      </c>
      <c r="CE254" t="s">
        <v>467</v>
      </c>
      <c r="CF254" s="6">
        <v>46082</v>
      </c>
      <c r="CH254">
        <v>0</v>
      </c>
      <c r="CI254">
        <v>0</v>
      </c>
      <c r="CJ254">
        <v>0</v>
      </c>
      <c r="CK254">
        <v>0</v>
      </c>
      <c r="CL254">
        <v>0</v>
      </c>
      <c r="CM254">
        <v>0</v>
      </c>
      <c r="CN254">
        <v>0</v>
      </c>
      <c r="CO254">
        <v>0</v>
      </c>
      <c r="CP254">
        <v>0</v>
      </c>
      <c r="CQ254">
        <v>0</v>
      </c>
      <c r="CR254">
        <v>0</v>
      </c>
      <c r="CS254" t="s">
        <v>360</v>
      </c>
      <c r="CT254" t="s">
        <v>214</v>
      </c>
      <c r="CU254" t="s">
        <v>1214</v>
      </c>
      <c r="CW254">
        <v>-58.633499999999998</v>
      </c>
      <c r="CZ254" s="1">
        <v>46107</v>
      </c>
      <c r="DA254" t="s">
        <v>172</v>
      </c>
      <c r="DB254" t="s">
        <v>172</v>
      </c>
      <c r="DC254" t="s">
        <v>172</v>
      </c>
      <c r="DD254" t="s">
        <v>172</v>
      </c>
      <c r="DG254" s="1">
        <v>46107</v>
      </c>
      <c r="DH254">
        <v>0</v>
      </c>
      <c r="DI254">
        <v>0</v>
      </c>
      <c r="DL254" t="s">
        <v>200</v>
      </c>
      <c r="DM254" t="s">
        <v>172</v>
      </c>
      <c r="DN254" t="s">
        <v>201</v>
      </c>
      <c r="DU254" t="s">
        <v>1266</v>
      </c>
      <c r="DV254" s="3">
        <v>247446.87</v>
      </c>
      <c r="DW254">
        <v>-52.34</v>
      </c>
      <c r="DX254" s="3">
        <v>247446.87</v>
      </c>
      <c r="DY254">
        <v>-52.34</v>
      </c>
      <c r="EF254" s="1">
        <v>46111</v>
      </c>
      <c r="EG254" s="1">
        <v>46108</v>
      </c>
      <c r="EK254" s="1">
        <v>46111</v>
      </c>
      <c r="EN254" t="s">
        <v>156</v>
      </c>
      <c r="ET254" t="s">
        <v>1074</v>
      </c>
      <c r="EU254" s="1">
        <v>46111</v>
      </c>
      <c r="EW254" s="1">
        <v>46107</v>
      </c>
    </row>
    <row r="255" spans="1:153" ht="409.5" x14ac:dyDescent="0.35">
      <c r="A255" t="str">
        <f>HYPERLINK("https://7lm.cvcrm.com.br/gestor/comercial/reservas/6905/administrar","6905")</f>
        <v>6905</v>
      </c>
      <c r="B255" t="s">
        <v>156</v>
      </c>
      <c r="C255" s="1">
        <v>46107</v>
      </c>
      <c r="D255" s="2">
        <v>0.7381712962962963</v>
      </c>
      <c r="E255" t="s">
        <v>1310</v>
      </c>
      <c r="F255" t="s">
        <v>735</v>
      </c>
      <c r="G255" t="s">
        <v>203</v>
      </c>
      <c r="H255" t="s">
        <v>1909</v>
      </c>
      <c r="I255" t="s">
        <v>1910</v>
      </c>
      <c r="J255">
        <v>52.56</v>
      </c>
      <c r="L255">
        <v>20450</v>
      </c>
      <c r="M255" t="s">
        <v>1911</v>
      </c>
      <c r="N255" s="1">
        <v>46112</v>
      </c>
      <c r="O255" s="2">
        <v>0.49732638888888892</v>
      </c>
      <c r="R255" t="str">
        <f>HYPERLINK("https://7lm.cvcrm.com.br/gestor/relatorios/associado/html?q[1|r.idreserva]=6905","JOICE SANTOS DE OLIVEIRA")</f>
        <v>JOICE SANTOS DE OLIVEIRA</v>
      </c>
      <c r="S255">
        <v>6194721545</v>
      </c>
      <c r="T255">
        <v>5561981252927</v>
      </c>
      <c r="U255">
        <v>5571996033299</v>
      </c>
      <c r="V255" t="s">
        <v>1912</v>
      </c>
      <c r="W255" t="s">
        <v>187</v>
      </c>
      <c r="X255" t="s">
        <v>1913</v>
      </c>
      <c r="Y255" t="s">
        <v>189</v>
      </c>
      <c r="Z255" t="s">
        <v>208</v>
      </c>
      <c r="AA255" t="s">
        <v>1914</v>
      </c>
      <c r="AB255" t="s">
        <v>1915</v>
      </c>
      <c r="AC255" t="s">
        <v>1916</v>
      </c>
      <c r="AD255" t="s">
        <v>1916</v>
      </c>
      <c r="AF255" t="s">
        <v>212</v>
      </c>
      <c r="AG255" t="s">
        <v>195</v>
      </c>
      <c r="AH255" s="3">
        <v>161000</v>
      </c>
      <c r="AI255" s="3">
        <v>161000</v>
      </c>
      <c r="AJ255" s="1">
        <v>46122</v>
      </c>
      <c r="AN255" t="s">
        <v>172</v>
      </c>
      <c r="AR255" s="7" t="s">
        <v>1917</v>
      </c>
      <c r="AT255" t="s">
        <v>196</v>
      </c>
      <c r="AU255" t="s">
        <v>175</v>
      </c>
      <c r="AW255">
        <v>0</v>
      </c>
      <c r="AX255" s="1">
        <v>46154</v>
      </c>
      <c r="AY255" s="2">
        <v>0.44680555555555557</v>
      </c>
      <c r="AZ255">
        <v>197580</v>
      </c>
      <c r="BA255" s="1">
        <v>46107</v>
      </c>
      <c r="BC255" t="s">
        <v>0</v>
      </c>
      <c r="BD255" s="1">
        <v>46107</v>
      </c>
      <c r="BE255" t="s">
        <v>175</v>
      </c>
      <c r="BL255" s="4">
        <v>0</v>
      </c>
      <c r="BM255" s="1">
        <v>45743</v>
      </c>
      <c r="BN255" s="1">
        <v>46118</v>
      </c>
      <c r="BO255">
        <v>0</v>
      </c>
      <c r="BP255">
        <v>30226</v>
      </c>
      <c r="BQ255" t="s">
        <v>156</v>
      </c>
      <c r="BR255" s="3">
        <v>156000</v>
      </c>
      <c r="BS255" s="3">
        <v>2984</v>
      </c>
      <c r="BT255">
        <v>0</v>
      </c>
      <c r="BU255" s="3">
        <v>158984</v>
      </c>
      <c r="BV255" s="3">
        <v>161000</v>
      </c>
      <c r="BX255">
        <v>0</v>
      </c>
      <c r="BZ255">
        <v>0</v>
      </c>
      <c r="CA255">
        <v>0</v>
      </c>
      <c r="CB255">
        <v>0</v>
      </c>
      <c r="CC255" s="3">
        <v>161000</v>
      </c>
      <c r="CD255" s="5">
        <v>0</v>
      </c>
      <c r="CF255" s="6">
        <v>46113</v>
      </c>
      <c r="CH255">
        <v>0</v>
      </c>
      <c r="CI255">
        <v>0</v>
      </c>
      <c r="CJ255">
        <v>0</v>
      </c>
      <c r="CK255">
        <v>0</v>
      </c>
      <c r="CL255">
        <v>0</v>
      </c>
      <c r="CM255">
        <v>0</v>
      </c>
      <c r="CN255">
        <v>0</v>
      </c>
      <c r="CO255">
        <v>0</v>
      </c>
      <c r="CP255">
        <v>0</v>
      </c>
      <c r="CQ255">
        <v>0</v>
      </c>
      <c r="CR255">
        <v>0</v>
      </c>
      <c r="CS255" t="s">
        <v>1918</v>
      </c>
      <c r="CT255" t="s">
        <v>190</v>
      </c>
      <c r="CU255" t="s">
        <v>1910</v>
      </c>
      <c r="CW255">
        <v>0</v>
      </c>
      <c r="CZ255" s="1">
        <v>46107</v>
      </c>
      <c r="DA255" t="s">
        <v>172</v>
      </c>
      <c r="DB255" t="s">
        <v>172</v>
      </c>
      <c r="DC255" t="s">
        <v>172</v>
      </c>
      <c r="DD255" t="s">
        <v>172</v>
      </c>
      <c r="DG255" s="1">
        <v>46107</v>
      </c>
      <c r="DH255">
        <v>0</v>
      </c>
      <c r="DI255">
        <v>0</v>
      </c>
      <c r="DK255" t="s">
        <v>179</v>
      </c>
      <c r="DL255" t="s">
        <v>743</v>
      </c>
      <c r="DM255" t="s">
        <v>172</v>
      </c>
      <c r="DN255" t="s">
        <v>553</v>
      </c>
      <c r="DV255" s="3">
        <v>161000</v>
      </c>
      <c r="DW255">
        <v>0</v>
      </c>
      <c r="DX255" s="3">
        <v>161000</v>
      </c>
      <c r="DY255">
        <v>0</v>
      </c>
      <c r="EN255" t="s">
        <v>537</v>
      </c>
      <c r="EU255" s="1">
        <v>46109</v>
      </c>
      <c r="EW255" s="1">
        <v>46107</v>
      </c>
    </row>
    <row r="256" spans="1:153" ht="246.5" x14ac:dyDescent="0.35">
      <c r="A256" t="str">
        <f>HYPERLINK("https://7lm.cvcrm.com.br/gestor/comercial/reservas/6904/administrar","6904")</f>
        <v>6904</v>
      </c>
      <c r="B256" t="s">
        <v>156</v>
      </c>
      <c r="C256" s="1">
        <v>46107</v>
      </c>
      <c r="D256" s="2">
        <v>0.73217592592592595</v>
      </c>
      <c r="E256" t="s">
        <v>294</v>
      </c>
      <c r="F256" t="s">
        <v>202</v>
      </c>
      <c r="G256" t="s">
        <v>203</v>
      </c>
      <c r="H256" t="s">
        <v>217</v>
      </c>
      <c r="I256" t="s">
        <v>1683</v>
      </c>
      <c r="J256">
        <v>1</v>
      </c>
      <c r="K256">
        <v>8296</v>
      </c>
      <c r="L256">
        <v>20031</v>
      </c>
      <c r="M256" t="s">
        <v>1919</v>
      </c>
      <c r="N256" s="1">
        <v>46112</v>
      </c>
      <c r="O256" s="2">
        <v>0.56853009259259257</v>
      </c>
      <c r="R256" t="str">
        <f>HYPERLINK("https://7lm.cvcrm.com.br/gestor/relatorios/associado/html?q[1|r.idreserva]=6904","WESLLEY FONSECA COSTA")</f>
        <v>WESLLEY FONSECA COSTA</v>
      </c>
      <c r="S256">
        <v>98561103</v>
      </c>
      <c r="T256">
        <v>5561984356439</v>
      </c>
      <c r="V256" t="s">
        <v>1920</v>
      </c>
      <c r="W256" t="s">
        <v>163</v>
      </c>
      <c r="X256" t="s">
        <v>521</v>
      </c>
      <c r="Y256" t="s">
        <v>189</v>
      </c>
      <c r="Z256" t="s">
        <v>214</v>
      </c>
      <c r="AA256" t="s">
        <v>1921</v>
      </c>
      <c r="AB256" t="s">
        <v>1922</v>
      </c>
      <c r="AC256" t="s">
        <v>398</v>
      </c>
      <c r="AF256" t="s">
        <v>399</v>
      </c>
      <c r="AG256" t="s">
        <v>195</v>
      </c>
      <c r="AH256" s="3">
        <v>221998.74</v>
      </c>
      <c r="AI256" s="3">
        <v>221998.74</v>
      </c>
      <c r="AJ256" s="1">
        <v>46157</v>
      </c>
      <c r="AN256" t="s">
        <v>172</v>
      </c>
      <c r="AR256" s="7" t="s">
        <v>353</v>
      </c>
      <c r="AT256" t="s">
        <v>196</v>
      </c>
      <c r="AU256" t="s">
        <v>316</v>
      </c>
      <c r="AW256">
        <v>0</v>
      </c>
      <c r="AX256" s="1">
        <v>46112</v>
      </c>
      <c r="AY256" s="2">
        <v>0.43456018518518519</v>
      </c>
      <c r="AZ256">
        <v>196635</v>
      </c>
      <c r="BA256" s="1">
        <v>46102</v>
      </c>
      <c r="BC256" t="s">
        <v>275</v>
      </c>
      <c r="BD256" s="1">
        <v>46104</v>
      </c>
      <c r="BE256" t="s">
        <v>317</v>
      </c>
      <c r="BL256" s="4">
        <v>0</v>
      </c>
      <c r="BM256" s="1">
        <v>46808</v>
      </c>
      <c r="BN256" s="1">
        <v>46112</v>
      </c>
      <c r="BO256">
        <v>0</v>
      </c>
      <c r="BP256">
        <v>30059</v>
      </c>
      <c r="BQ256" t="s">
        <v>156</v>
      </c>
      <c r="BR256" s="3">
        <v>109064.28</v>
      </c>
      <c r="BS256" s="3">
        <v>47907</v>
      </c>
      <c r="BT256">
        <v>0</v>
      </c>
      <c r="BU256" s="3">
        <v>156971.28</v>
      </c>
      <c r="BV256" s="3">
        <v>221998.74</v>
      </c>
      <c r="BX256">
        <v>0</v>
      </c>
      <c r="BZ256">
        <v>0</v>
      </c>
      <c r="CA256">
        <v>0</v>
      </c>
      <c r="CB256">
        <v>0</v>
      </c>
      <c r="CC256" s="3">
        <v>221998.74</v>
      </c>
      <c r="CD256" s="5">
        <v>0</v>
      </c>
      <c r="CF256" s="6">
        <v>46082</v>
      </c>
      <c r="CH256">
        <v>0</v>
      </c>
      <c r="CI256">
        <v>0</v>
      </c>
      <c r="CJ256">
        <v>0</v>
      </c>
      <c r="CK256">
        <v>0</v>
      </c>
      <c r="CL256">
        <v>0</v>
      </c>
      <c r="CM256">
        <v>0</v>
      </c>
      <c r="CN256">
        <v>0</v>
      </c>
      <c r="CO256">
        <v>0</v>
      </c>
      <c r="CP256">
        <v>0</v>
      </c>
      <c r="CQ256">
        <v>0</v>
      </c>
      <c r="CR256">
        <v>0</v>
      </c>
      <c r="CS256" t="s">
        <v>360</v>
      </c>
      <c r="CT256" t="s">
        <v>214</v>
      </c>
      <c r="CU256" t="s">
        <v>1683</v>
      </c>
      <c r="CW256">
        <v>-51.837899999999998</v>
      </c>
      <c r="CZ256" s="1">
        <v>46107</v>
      </c>
      <c r="DA256" t="s">
        <v>172</v>
      </c>
      <c r="DB256" t="s">
        <v>172</v>
      </c>
      <c r="DC256" t="s">
        <v>172</v>
      </c>
      <c r="DD256" t="s">
        <v>172</v>
      </c>
      <c r="DG256" s="1">
        <v>46107</v>
      </c>
      <c r="DH256">
        <v>0</v>
      </c>
      <c r="DI256">
        <v>0</v>
      </c>
      <c r="DM256" t="s">
        <v>172</v>
      </c>
      <c r="DN256" t="s">
        <v>201</v>
      </c>
      <c r="DV256" s="3">
        <v>221998.74</v>
      </c>
      <c r="DW256">
        <v>0</v>
      </c>
      <c r="DX256" s="3">
        <v>221998.74</v>
      </c>
      <c r="DY256">
        <v>0</v>
      </c>
      <c r="EF256" s="1">
        <v>46112</v>
      </c>
      <c r="EG256" s="1">
        <v>46111</v>
      </c>
      <c r="EK256" s="1">
        <v>46112</v>
      </c>
    </row>
    <row r="257" spans="1:153" x14ac:dyDescent="0.35">
      <c r="A257" t="str">
        <f>HYPERLINK("https://7lm.cvcrm.com.br/gestor/comercial/reservas/6903/administrar","6903")</f>
        <v>6903</v>
      </c>
      <c r="B257" t="s">
        <v>156</v>
      </c>
      <c r="C257" s="1">
        <v>46107</v>
      </c>
      <c r="D257" s="2">
        <v>0.65571759259259255</v>
      </c>
      <c r="E257" t="s">
        <v>294</v>
      </c>
      <c r="F257" t="s">
        <v>182</v>
      </c>
      <c r="G257" t="s">
        <v>159</v>
      </c>
      <c r="H257" t="s">
        <v>362</v>
      </c>
      <c r="I257" t="s">
        <v>1923</v>
      </c>
      <c r="J257">
        <v>1</v>
      </c>
      <c r="L257">
        <v>30151</v>
      </c>
      <c r="M257" t="s">
        <v>1924</v>
      </c>
      <c r="N257" s="1">
        <v>46113</v>
      </c>
      <c r="O257" s="2">
        <v>0.41215277777777776</v>
      </c>
      <c r="R257" t="str">
        <f>HYPERLINK("https://7lm.cvcrm.com.br/gestor/relatorios/associado/html?q[1|r.idreserva]=6903","RAQUEL DE SOUZA MAIA")</f>
        <v>RAQUEL DE SOUZA MAIA</v>
      </c>
      <c r="S257">
        <v>71673878199</v>
      </c>
      <c r="T257">
        <v>5561996250453</v>
      </c>
      <c r="V257" t="s">
        <v>1925</v>
      </c>
      <c r="W257" t="s">
        <v>187</v>
      </c>
      <c r="X257" t="s">
        <v>1926</v>
      </c>
      <c r="Y257" t="s">
        <v>189</v>
      </c>
      <c r="Z257" t="s">
        <v>190</v>
      </c>
      <c r="AA257" t="s">
        <v>1927</v>
      </c>
      <c r="AB257" t="s">
        <v>1928</v>
      </c>
      <c r="AC257" t="s">
        <v>482</v>
      </c>
      <c r="AF257" t="s">
        <v>194</v>
      </c>
      <c r="AG257" t="s">
        <v>195</v>
      </c>
      <c r="AH257" s="3">
        <v>245656.02</v>
      </c>
      <c r="AI257" s="3">
        <v>245656.02</v>
      </c>
      <c r="AJ257" s="1">
        <v>46107</v>
      </c>
      <c r="AN257" t="s">
        <v>172</v>
      </c>
      <c r="AR257" t="s">
        <v>1715</v>
      </c>
      <c r="AT257" t="s">
        <v>261</v>
      </c>
      <c r="AU257" t="s">
        <v>292</v>
      </c>
      <c r="AW257">
        <v>0</v>
      </c>
      <c r="AX257" s="1">
        <v>46121</v>
      </c>
      <c r="AY257" s="2">
        <v>0.6426736111111111</v>
      </c>
      <c r="AZ257">
        <v>128379</v>
      </c>
      <c r="BA257" s="1">
        <v>45521</v>
      </c>
      <c r="BC257" t="s">
        <v>275</v>
      </c>
      <c r="BD257" s="1">
        <v>46105</v>
      </c>
      <c r="BE257" t="s">
        <v>317</v>
      </c>
      <c r="BL257" s="4">
        <v>0</v>
      </c>
      <c r="BM257" s="1">
        <v>46899</v>
      </c>
      <c r="BN257" s="1">
        <v>46121</v>
      </c>
      <c r="BO257">
        <v>0</v>
      </c>
      <c r="BP257">
        <v>30095</v>
      </c>
      <c r="BQ257" t="s">
        <v>156</v>
      </c>
      <c r="BR257" s="3">
        <v>137679.60999999999</v>
      </c>
      <c r="BS257" s="3">
        <v>23947</v>
      </c>
      <c r="BT257">
        <v>0</v>
      </c>
      <c r="BU257" s="3">
        <v>161626.60999999999</v>
      </c>
      <c r="BV257" s="3">
        <v>245656.02</v>
      </c>
      <c r="BX257">
        <v>0</v>
      </c>
      <c r="BZ257">
        <v>0</v>
      </c>
      <c r="CA257">
        <v>0</v>
      </c>
      <c r="CB257">
        <v>0</v>
      </c>
      <c r="CC257" s="3">
        <v>245656.02</v>
      </c>
      <c r="CD257" s="5">
        <v>0</v>
      </c>
      <c r="CF257" s="6">
        <v>46113</v>
      </c>
      <c r="CH257">
        <v>0</v>
      </c>
      <c r="CI257">
        <v>0</v>
      </c>
      <c r="CJ257">
        <v>0</v>
      </c>
      <c r="CK257">
        <v>0</v>
      </c>
      <c r="CL257">
        <v>0</v>
      </c>
      <c r="CM257">
        <v>0</v>
      </c>
      <c r="CN257">
        <v>0</v>
      </c>
      <c r="CO257">
        <v>0</v>
      </c>
      <c r="CP257">
        <v>0</v>
      </c>
      <c r="CQ257">
        <v>0</v>
      </c>
      <c r="CR257">
        <v>0</v>
      </c>
      <c r="CS257" t="s">
        <v>360</v>
      </c>
      <c r="CT257" t="s">
        <v>190</v>
      </c>
      <c r="CU257" t="s">
        <v>1923</v>
      </c>
      <c r="CW257">
        <v>-49.615600000000001</v>
      </c>
      <c r="CZ257" s="1">
        <v>46107</v>
      </c>
      <c r="DA257" t="s">
        <v>172</v>
      </c>
      <c r="DB257" t="s">
        <v>172</v>
      </c>
      <c r="DC257" t="s">
        <v>172</v>
      </c>
      <c r="DD257" t="s">
        <v>172</v>
      </c>
      <c r="DG257" s="1">
        <v>46107</v>
      </c>
      <c r="DH257">
        <v>0</v>
      </c>
      <c r="DI257">
        <v>0</v>
      </c>
      <c r="DK257" t="s">
        <v>179</v>
      </c>
      <c r="DL257" t="s">
        <v>200</v>
      </c>
      <c r="DM257" t="s">
        <v>172</v>
      </c>
      <c r="DN257" t="s">
        <v>201</v>
      </c>
      <c r="DV257" s="3">
        <v>245656.02</v>
      </c>
      <c r="DW257">
        <v>0</v>
      </c>
      <c r="DX257" s="3">
        <v>245656.02</v>
      </c>
      <c r="DY257">
        <v>0</v>
      </c>
      <c r="EF257" s="1">
        <v>46113</v>
      </c>
      <c r="EG257" s="1">
        <v>46111</v>
      </c>
      <c r="EK257" s="1">
        <v>46113</v>
      </c>
      <c r="EL257" s="1">
        <v>46113</v>
      </c>
      <c r="EN257" t="s">
        <v>156</v>
      </c>
      <c r="EP257" s="1">
        <v>46113</v>
      </c>
      <c r="ER257" s="1">
        <v>46111</v>
      </c>
      <c r="ES257" t="s">
        <v>1929</v>
      </c>
      <c r="ET257" t="s">
        <v>1930</v>
      </c>
      <c r="EW257" s="1">
        <v>46108</v>
      </c>
    </row>
    <row r="258" spans="1:153" x14ac:dyDescent="0.35">
      <c r="A258" t="str">
        <f>HYPERLINK("https://7lm.cvcrm.com.br/gestor/comercial/reservas/6902/administrar","6902")</f>
        <v>6902</v>
      </c>
      <c r="B258" t="s">
        <v>156</v>
      </c>
      <c r="C258" s="1">
        <v>46107</v>
      </c>
      <c r="D258" s="2">
        <v>0.53923611111111114</v>
      </c>
      <c r="E258" t="s">
        <v>527</v>
      </c>
      <c r="F258" t="s">
        <v>182</v>
      </c>
      <c r="G258" t="s">
        <v>159</v>
      </c>
      <c r="H258" t="s">
        <v>538</v>
      </c>
      <c r="I258" t="s">
        <v>539</v>
      </c>
      <c r="J258">
        <v>1</v>
      </c>
      <c r="L258">
        <v>30151</v>
      </c>
      <c r="M258" t="s">
        <v>540</v>
      </c>
      <c r="N258" s="1">
        <v>46114</v>
      </c>
      <c r="O258" s="2">
        <v>0.39405092592592594</v>
      </c>
      <c r="R258" t="str">
        <f>HYPERLINK("https://7lm.cvcrm.com.br/gestor/relatorios/associado/html?q[1|r.idreserva]=6902","DANIELA RODRIGUES BARBOSA")</f>
        <v>DANIELA RODRIGUES BARBOSA</v>
      </c>
      <c r="S258">
        <v>71087757193</v>
      </c>
      <c r="T258">
        <v>5563992386396</v>
      </c>
      <c r="V258" t="s">
        <v>1931</v>
      </c>
      <c r="W258" t="s">
        <v>187</v>
      </c>
      <c r="X258" t="s">
        <v>1932</v>
      </c>
      <c r="Y258" t="s">
        <v>189</v>
      </c>
      <c r="Z258" t="s">
        <v>190</v>
      </c>
      <c r="AA258" t="s">
        <v>1632</v>
      </c>
      <c r="AB258" t="s">
        <v>1933</v>
      </c>
      <c r="AC258" t="s">
        <v>641</v>
      </c>
      <c r="AF258" t="s">
        <v>194</v>
      </c>
      <c r="AG258" t="s">
        <v>251</v>
      </c>
      <c r="AH258" s="3">
        <v>240656.54</v>
      </c>
      <c r="AI258" s="3">
        <v>240656.54</v>
      </c>
      <c r="AJ258" s="1">
        <v>46107</v>
      </c>
      <c r="AN258" t="s">
        <v>172</v>
      </c>
      <c r="AO258" t="s">
        <v>816</v>
      </c>
      <c r="AR258" t="s">
        <v>1824</v>
      </c>
      <c r="AT258" t="s">
        <v>261</v>
      </c>
      <c r="AU258" t="s">
        <v>292</v>
      </c>
      <c r="AW258">
        <v>0</v>
      </c>
      <c r="AX258" s="1">
        <v>46126</v>
      </c>
      <c r="AY258" s="2">
        <v>0.74001157407407403</v>
      </c>
      <c r="AZ258">
        <v>184095</v>
      </c>
      <c r="BA258" s="1">
        <v>46037</v>
      </c>
      <c r="BB258" s="1">
        <v>46106</v>
      </c>
      <c r="BC258" t="s">
        <v>176</v>
      </c>
      <c r="BD258" s="1">
        <v>46106</v>
      </c>
      <c r="BE258" t="s">
        <v>198</v>
      </c>
      <c r="BL258" s="4">
        <v>0</v>
      </c>
      <c r="BM258" s="1">
        <v>46899</v>
      </c>
      <c r="BO258">
        <v>0</v>
      </c>
      <c r="BP258">
        <v>30176</v>
      </c>
      <c r="BQ258" t="s">
        <v>156</v>
      </c>
      <c r="BR258" s="3">
        <v>136096.22</v>
      </c>
      <c r="BS258" s="3">
        <v>18966</v>
      </c>
      <c r="BT258">
        <v>0</v>
      </c>
      <c r="BU258" s="3">
        <v>155062.22</v>
      </c>
      <c r="BV258" s="3">
        <v>240656.54</v>
      </c>
      <c r="BX258">
        <v>0</v>
      </c>
      <c r="BZ258">
        <v>0</v>
      </c>
      <c r="CA258">
        <v>0</v>
      </c>
      <c r="CB258">
        <v>0</v>
      </c>
      <c r="CC258" s="3">
        <v>240656.54</v>
      </c>
      <c r="CD258" s="5">
        <v>0</v>
      </c>
      <c r="CF258" s="6">
        <v>46113</v>
      </c>
      <c r="CH258">
        <v>0</v>
      </c>
      <c r="CI258">
        <v>0</v>
      </c>
      <c r="CJ258">
        <v>0</v>
      </c>
      <c r="CK258">
        <v>0</v>
      </c>
      <c r="CL258">
        <v>0</v>
      </c>
      <c r="CM258">
        <v>0</v>
      </c>
      <c r="CN258">
        <v>0</v>
      </c>
      <c r="CO258">
        <v>0</v>
      </c>
      <c r="CP258">
        <v>0</v>
      </c>
      <c r="CQ258">
        <v>0</v>
      </c>
      <c r="CR258">
        <v>0</v>
      </c>
      <c r="CS258" t="s">
        <v>360</v>
      </c>
      <c r="CT258" t="s">
        <v>190</v>
      </c>
      <c r="CU258" t="s">
        <v>539</v>
      </c>
      <c r="CW258">
        <v>-51.380499999999998</v>
      </c>
      <c r="CZ258" s="1">
        <v>46107</v>
      </c>
      <c r="DA258" t="s">
        <v>172</v>
      </c>
      <c r="DB258" t="s">
        <v>172</v>
      </c>
      <c r="DC258" t="s">
        <v>172</v>
      </c>
      <c r="DD258" t="s">
        <v>172</v>
      </c>
      <c r="DG258" s="1">
        <v>46107</v>
      </c>
      <c r="DH258">
        <v>0</v>
      </c>
      <c r="DI258">
        <v>0</v>
      </c>
      <c r="DK258" t="s">
        <v>179</v>
      </c>
      <c r="DL258" t="s">
        <v>200</v>
      </c>
      <c r="DM258" t="s">
        <v>172</v>
      </c>
      <c r="DN258" t="s">
        <v>201</v>
      </c>
      <c r="DV258" s="3">
        <v>240656.54</v>
      </c>
      <c r="DW258">
        <v>0</v>
      </c>
      <c r="DX258" s="3">
        <v>240656.54</v>
      </c>
      <c r="DY258">
        <v>0</v>
      </c>
      <c r="EF258" s="1">
        <v>46114</v>
      </c>
      <c r="EG258" s="1">
        <v>46113</v>
      </c>
      <c r="EK258" s="1">
        <v>46114</v>
      </c>
      <c r="EL258" s="1">
        <v>46114</v>
      </c>
      <c r="EM258" s="1">
        <v>46113</v>
      </c>
      <c r="EN258" t="s">
        <v>537</v>
      </c>
      <c r="EP258" s="1">
        <v>46108</v>
      </c>
      <c r="ER258" s="1">
        <v>46108</v>
      </c>
      <c r="ES258" t="s">
        <v>1934</v>
      </c>
      <c r="ET258" t="s">
        <v>1930</v>
      </c>
      <c r="EU258" s="1">
        <v>46108</v>
      </c>
      <c r="EW258" s="1">
        <v>46107</v>
      </c>
    </row>
    <row r="259" spans="1:153" x14ac:dyDescent="0.35">
      <c r="A259" t="str">
        <f>HYPERLINK("https://7lm.cvcrm.com.br/gestor/comercial/reservas/6901/administrar","6901")</f>
        <v>6901</v>
      </c>
      <c r="B259" t="s">
        <v>156</v>
      </c>
      <c r="C259" s="1">
        <v>46107</v>
      </c>
      <c r="D259" s="2">
        <v>0.4612384259259259</v>
      </c>
      <c r="E259" t="s">
        <v>1310</v>
      </c>
      <c r="F259" t="s">
        <v>216</v>
      </c>
      <c r="G259" t="s">
        <v>159</v>
      </c>
      <c r="H259" t="s">
        <v>277</v>
      </c>
      <c r="I259" t="s">
        <v>583</v>
      </c>
      <c r="J259">
        <v>1</v>
      </c>
      <c r="L259">
        <v>20061</v>
      </c>
      <c r="M259" t="s">
        <v>1935</v>
      </c>
      <c r="N259" s="1">
        <v>46108</v>
      </c>
      <c r="O259" s="2">
        <v>0.68040509259259263</v>
      </c>
      <c r="R259" t="str">
        <f>HYPERLINK("https://7lm.cvcrm.com.br/gestor/relatorios/associado/html?q[1|r.idreserva]=6901","JANAINA ALMEIDA DE LIMA ROCHA")</f>
        <v>JANAINA ALMEIDA DE LIMA ROCHA</v>
      </c>
      <c r="S259">
        <v>3584077109</v>
      </c>
      <c r="T259">
        <v>556193267303</v>
      </c>
      <c r="V259" t="s">
        <v>1936</v>
      </c>
      <c r="W259" t="s">
        <v>187</v>
      </c>
      <c r="X259" t="s">
        <v>1048</v>
      </c>
      <c r="Y259" t="s">
        <v>189</v>
      </c>
      <c r="Z259" t="s">
        <v>214</v>
      </c>
      <c r="AA259" t="s">
        <v>471</v>
      </c>
      <c r="AB259" t="s">
        <v>1937</v>
      </c>
      <c r="AC259" t="s">
        <v>314</v>
      </c>
      <c r="AF259" t="s">
        <v>634</v>
      </c>
      <c r="AG259" t="s">
        <v>195</v>
      </c>
      <c r="AH259" s="3">
        <v>220838.77</v>
      </c>
      <c r="AI259" s="3">
        <v>220838.77</v>
      </c>
      <c r="AJ259" s="1">
        <v>46107</v>
      </c>
      <c r="AN259" t="s">
        <v>172</v>
      </c>
      <c r="AR259" t="s">
        <v>1938</v>
      </c>
      <c r="AT259" t="s">
        <v>196</v>
      </c>
      <c r="AU259" t="s">
        <v>316</v>
      </c>
      <c r="AW259">
        <v>0</v>
      </c>
      <c r="AX259" s="1">
        <v>46136</v>
      </c>
      <c r="AY259" s="2">
        <v>0.60388888888888892</v>
      </c>
      <c r="AZ259">
        <v>174845</v>
      </c>
      <c r="BA259" s="1">
        <v>45965</v>
      </c>
      <c r="BB259" s="1">
        <v>46051</v>
      </c>
      <c r="BC259" t="s">
        <v>0</v>
      </c>
      <c r="BD259" s="1">
        <v>46107</v>
      </c>
      <c r="BE259" t="s">
        <v>317</v>
      </c>
      <c r="BL259" s="4">
        <v>0</v>
      </c>
      <c r="BM259" s="1">
        <v>46995</v>
      </c>
      <c r="BN259" s="1">
        <v>46111</v>
      </c>
      <c r="BO259">
        <v>0</v>
      </c>
      <c r="BP259">
        <v>30029</v>
      </c>
      <c r="BQ259" t="s">
        <v>156</v>
      </c>
      <c r="BR259" s="3">
        <v>155738.98000000001</v>
      </c>
      <c r="BS259" s="3">
        <v>14372</v>
      </c>
      <c r="BT259">
        <v>0</v>
      </c>
      <c r="BU259" s="3">
        <v>170110.98</v>
      </c>
      <c r="BV259" s="3">
        <v>220838.77</v>
      </c>
      <c r="BX259">
        <v>0</v>
      </c>
      <c r="BZ259">
        <v>0</v>
      </c>
      <c r="CA259">
        <v>0</v>
      </c>
      <c r="CB259">
        <v>0</v>
      </c>
      <c r="CC259" s="3">
        <v>220838.77</v>
      </c>
      <c r="CD259" s="5">
        <v>0</v>
      </c>
      <c r="CF259" s="6">
        <v>46082</v>
      </c>
      <c r="CH259">
        <v>0</v>
      </c>
      <c r="CI259">
        <v>0</v>
      </c>
      <c r="CJ259">
        <v>0</v>
      </c>
      <c r="CK259">
        <v>0</v>
      </c>
      <c r="CL259">
        <v>0</v>
      </c>
      <c r="CM259">
        <v>0</v>
      </c>
      <c r="CN259">
        <v>0</v>
      </c>
      <c r="CO259">
        <v>0</v>
      </c>
      <c r="CP259">
        <v>0</v>
      </c>
      <c r="CQ259">
        <v>0</v>
      </c>
      <c r="CR259">
        <v>0</v>
      </c>
      <c r="CS259" t="s">
        <v>1918</v>
      </c>
      <c r="CT259" t="s">
        <v>214</v>
      </c>
      <c r="CU259" t="s">
        <v>583</v>
      </c>
      <c r="CW259">
        <v>-53.546700000000001</v>
      </c>
      <c r="CZ259" s="1">
        <v>46107</v>
      </c>
      <c r="DA259" t="s">
        <v>172</v>
      </c>
      <c r="DB259" t="s">
        <v>172</v>
      </c>
      <c r="DC259" t="s">
        <v>172</v>
      </c>
      <c r="DD259" t="s">
        <v>172</v>
      </c>
      <c r="DG259" s="1">
        <v>46107</v>
      </c>
      <c r="DH259">
        <v>0</v>
      </c>
      <c r="DI259">
        <v>0</v>
      </c>
      <c r="DK259" t="s">
        <v>179</v>
      </c>
      <c r="DL259" t="s">
        <v>215</v>
      </c>
      <c r="DM259" t="s">
        <v>172</v>
      </c>
      <c r="DN259" t="s">
        <v>201</v>
      </c>
      <c r="DV259" s="3">
        <v>220838.77</v>
      </c>
      <c r="DW259">
        <v>0</v>
      </c>
      <c r="DX259" s="3">
        <v>220838.77</v>
      </c>
      <c r="DY259">
        <v>0</v>
      </c>
      <c r="EF259" s="1">
        <v>46111</v>
      </c>
      <c r="EG259" s="1">
        <v>46108</v>
      </c>
      <c r="EK259" s="1">
        <v>46111</v>
      </c>
      <c r="EN259" t="s">
        <v>156</v>
      </c>
      <c r="EP259" s="1">
        <v>46108</v>
      </c>
      <c r="EU259" s="1">
        <v>46111</v>
      </c>
      <c r="EW259" s="1">
        <v>46107</v>
      </c>
    </row>
    <row r="260" spans="1:153" ht="246.5" x14ac:dyDescent="0.35">
      <c r="A260" t="str">
        <f>HYPERLINK("https://7lm.cvcrm.com.br/gestor/comercial/reservas/6900/administrar","6900")</f>
        <v>6900</v>
      </c>
      <c r="B260" t="s">
        <v>156</v>
      </c>
      <c r="C260" s="1">
        <v>46106</v>
      </c>
      <c r="D260" s="2">
        <v>0.81570601851851854</v>
      </c>
      <c r="E260" t="s">
        <v>294</v>
      </c>
      <c r="F260" t="s">
        <v>216</v>
      </c>
      <c r="G260" t="s">
        <v>159</v>
      </c>
      <c r="H260" t="s">
        <v>204</v>
      </c>
      <c r="I260" t="s">
        <v>205</v>
      </c>
      <c r="J260">
        <v>1</v>
      </c>
      <c r="L260">
        <v>20061</v>
      </c>
      <c r="M260" t="s">
        <v>1939</v>
      </c>
      <c r="N260" s="1">
        <v>46112</v>
      </c>
      <c r="O260" s="2">
        <v>0.57383101851851848</v>
      </c>
      <c r="R260" t="str">
        <f>HYPERLINK("https://7lm.cvcrm.com.br/gestor/relatorios/associado/html?q[1|r.idreserva]=6900","RAYANE DA SILVA BRANDÃO")</f>
        <v>RAYANE DA SILVA BRANDÃO</v>
      </c>
      <c r="S260">
        <v>7717454190</v>
      </c>
      <c r="T260">
        <v>5561994113239</v>
      </c>
      <c r="V260" t="s">
        <v>1940</v>
      </c>
      <c r="W260" t="s">
        <v>187</v>
      </c>
      <c r="X260" t="s">
        <v>452</v>
      </c>
      <c r="Y260" t="s">
        <v>165</v>
      </c>
      <c r="Z260" t="s">
        <v>938</v>
      </c>
      <c r="AA260" t="s">
        <v>938</v>
      </c>
      <c r="AB260" t="s">
        <v>1941</v>
      </c>
      <c r="AC260" t="s">
        <v>411</v>
      </c>
      <c r="AD260" t="s">
        <v>412</v>
      </c>
      <c r="AF260" t="s">
        <v>634</v>
      </c>
      <c r="AG260" t="s">
        <v>195</v>
      </c>
      <c r="AH260" s="3">
        <v>215998.9</v>
      </c>
      <c r="AI260" s="3">
        <v>215998.9</v>
      </c>
      <c r="AJ260" s="1">
        <v>46157</v>
      </c>
      <c r="AN260" t="s">
        <v>172</v>
      </c>
      <c r="AR260" s="7" t="s">
        <v>353</v>
      </c>
      <c r="AT260" t="s">
        <v>196</v>
      </c>
      <c r="AU260" t="s">
        <v>197</v>
      </c>
      <c r="AW260">
        <v>0</v>
      </c>
      <c r="AX260" s="1">
        <v>46112</v>
      </c>
      <c r="AY260" s="2">
        <v>0.4420486111111111</v>
      </c>
      <c r="AZ260">
        <v>174829</v>
      </c>
      <c r="BA260" s="1">
        <v>45965</v>
      </c>
      <c r="BC260" t="s">
        <v>0</v>
      </c>
      <c r="BD260" s="1">
        <v>46106</v>
      </c>
      <c r="BE260" t="s">
        <v>276</v>
      </c>
      <c r="BL260" s="4">
        <v>0</v>
      </c>
      <c r="BM260" s="1">
        <v>46995</v>
      </c>
      <c r="BN260" s="1">
        <v>46112</v>
      </c>
      <c r="BO260">
        <v>0</v>
      </c>
      <c r="BP260">
        <v>29333</v>
      </c>
      <c r="BQ260" t="s">
        <v>156</v>
      </c>
      <c r="BR260" s="3">
        <v>92953.63</v>
      </c>
      <c r="BS260" s="3">
        <v>55000</v>
      </c>
      <c r="BT260">
        <v>0</v>
      </c>
      <c r="BU260" s="3">
        <v>147953.63</v>
      </c>
      <c r="BV260" s="3">
        <v>215998.9</v>
      </c>
      <c r="BX260">
        <v>0</v>
      </c>
      <c r="BZ260">
        <v>0</v>
      </c>
      <c r="CA260">
        <v>0</v>
      </c>
      <c r="CB260">
        <v>0</v>
      </c>
      <c r="CC260" s="3">
        <v>215998.9</v>
      </c>
      <c r="CD260" s="5">
        <v>0</v>
      </c>
      <c r="CF260" s="6">
        <v>46082</v>
      </c>
      <c r="CH260">
        <v>0</v>
      </c>
      <c r="CI260">
        <v>0</v>
      </c>
      <c r="CJ260">
        <v>0</v>
      </c>
      <c r="CK260">
        <v>0</v>
      </c>
      <c r="CL260">
        <v>0</v>
      </c>
      <c r="CM260">
        <v>0</v>
      </c>
      <c r="CN260">
        <v>0</v>
      </c>
      <c r="CO260">
        <v>0</v>
      </c>
      <c r="CP260">
        <v>0</v>
      </c>
      <c r="CQ260">
        <v>0</v>
      </c>
      <c r="CR260">
        <v>0</v>
      </c>
      <c r="CS260" t="s">
        <v>360</v>
      </c>
      <c r="CT260" t="s">
        <v>214</v>
      </c>
      <c r="CU260" t="s">
        <v>205</v>
      </c>
      <c r="CW260">
        <v>-52.514699999999998</v>
      </c>
      <c r="CZ260" s="1">
        <v>46106</v>
      </c>
      <c r="DA260" t="s">
        <v>172</v>
      </c>
      <c r="DB260" t="s">
        <v>172</v>
      </c>
      <c r="DC260" t="s">
        <v>172</v>
      </c>
      <c r="DD260" t="s">
        <v>172</v>
      </c>
      <c r="DG260" s="1">
        <v>46106</v>
      </c>
      <c r="DH260">
        <v>0</v>
      </c>
      <c r="DI260">
        <v>0</v>
      </c>
      <c r="DK260" t="s">
        <v>179</v>
      </c>
      <c r="DL260" t="s">
        <v>224</v>
      </c>
      <c r="DM260" t="s">
        <v>172</v>
      </c>
      <c r="DN260" t="s">
        <v>201</v>
      </c>
      <c r="DV260" s="3">
        <v>215998.9</v>
      </c>
      <c r="DW260">
        <v>0</v>
      </c>
      <c r="DX260" s="3">
        <v>215998.9</v>
      </c>
      <c r="DY260">
        <v>0</v>
      </c>
      <c r="EF260" s="1">
        <v>46112</v>
      </c>
      <c r="EG260" s="1">
        <v>46111</v>
      </c>
      <c r="EK260" s="1">
        <v>46112</v>
      </c>
      <c r="EN260" t="s">
        <v>156</v>
      </c>
      <c r="EP260" s="1">
        <v>46111</v>
      </c>
      <c r="EU260" s="1">
        <v>46111</v>
      </c>
      <c r="EW260" s="1">
        <v>46106</v>
      </c>
    </row>
    <row r="261" spans="1:153" ht="116" x14ac:dyDescent="0.35">
      <c r="A261" t="str">
        <f>HYPERLINK("https://7lm.cvcrm.com.br/gestor/comercial/reservas/6899/administrar","6899")</f>
        <v>6899</v>
      </c>
      <c r="B261" t="s">
        <v>172</v>
      </c>
      <c r="C261" s="1">
        <v>46106</v>
      </c>
      <c r="D261" s="2">
        <v>0.77916666666666667</v>
      </c>
      <c r="E261" t="s">
        <v>527</v>
      </c>
      <c r="F261" t="s">
        <v>182</v>
      </c>
      <c r="G261" t="s">
        <v>159</v>
      </c>
      <c r="H261" t="s">
        <v>636</v>
      </c>
      <c r="I261" t="s">
        <v>1503</v>
      </c>
      <c r="J261">
        <v>1</v>
      </c>
      <c r="L261">
        <v>30151</v>
      </c>
      <c r="M261" t="s">
        <v>1849</v>
      </c>
      <c r="R261" t="str">
        <f>HYPERLINK("https://7lm.cvcrm.com.br/gestor/relatorios/associado/html?q[1|r.idreserva]=6899","RAQUEL DA ROSA DE CARVALHO")</f>
        <v>RAQUEL DA ROSA DE CARVALHO</v>
      </c>
      <c r="S261">
        <v>7307729180</v>
      </c>
      <c r="T261">
        <v>5561996668939</v>
      </c>
      <c r="V261" t="s">
        <v>1942</v>
      </c>
      <c r="W261" t="s">
        <v>187</v>
      </c>
      <c r="X261" t="s">
        <v>376</v>
      </c>
      <c r="Y261" t="s">
        <v>189</v>
      </c>
      <c r="Z261" t="s">
        <v>190</v>
      </c>
      <c r="AA261" t="s">
        <v>799</v>
      </c>
      <c r="AB261" t="s">
        <v>1943</v>
      </c>
      <c r="AC261" t="s">
        <v>1944</v>
      </c>
      <c r="AF261" t="s">
        <v>194</v>
      </c>
      <c r="AG261" t="s">
        <v>251</v>
      </c>
      <c r="AH261" s="3">
        <v>241000</v>
      </c>
      <c r="AI261" s="3">
        <v>241000</v>
      </c>
      <c r="AJ261" s="1">
        <v>46111</v>
      </c>
      <c r="AN261" t="s">
        <v>172</v>
      </c>
      <c r="AO261" t="s">
        <v>816</v>
      </c>
      <c r="AR261" s="7" t="s">
        <v>1945</v>
      </c>
      <c r="AT261" t="s">
        <v>196</v>
      </c>
      <c r="AU261" t="s">
        <v>316</v>
      </c>
      <c r="AW261">
        <v>0</v>
      </c>
      <c r="AX261" s="1">
        <v>46111</v>
      </c>
      <c r="AY261" s="2">
        <v>0.52407407407407403</v>
      </c>
      <c r="AZ261">
        <v>119883</v>
      </c>
      <c r="BA261" s="1">
        <v>45447</v>
      </c>
      <c r="BB261" s="1">
        <v>46104</v>
      </c>
      <c r="BC261" t="s">
        <v>213</v>
      </c>
      <c r="BD261" s="1">
        <v>46104</v>
      </c>
      <c r="BE261" t="s">
        <v>317</v>
      </c>
      <c r="BL261" s="4">
        <v>0</v>
      </c>
      <c r="BM261" s="1">
        <v>46899</v>
      </c>
      <c r="BO261">
        <v>0</v>
      </c>
      <c r="BP261">
        <v>30014</v>
      </c>
      <c r="BQ261" t="s">
        <v>156</v>
      </c>
      <c r="BR261" s="3">
        <v>136016.66</v>
      </c>
      <c r="BS261" s="3">
        <v>18094</v>
      </c>
      <c r="BT261">
        <v>0</v>
      </c>
      <c r="BU261" s="3">
        <v>154110.66</v>
      </c>
      <c r="BV261" s="3">
        <v>241000</v>
      </c>
      <c r="BX261">
        <v>0</v>
      </c>
      <c r="BZ261">
        <v>0</v>
      </c>
      <c r="CA261">
        <v>0</v>
      </c>
      <c r="CB261">
        <v>0</v>
      </c>
      <c r="CC261" s="3">
        <v>241000</v>
      </c>
      <c r="CD261" s="5">
        <v>0</v>
      </c>
      <c r="CF261" s="6">
        <v>46082</v>
      </c>
      <c r="CH261">
        <v>0</v>
      </c>
      <c r="CI261">
        <v>0</v>
      </c>
      <c r="CJ261">
        <v>0</v>
      </c>
      <c r="CK261">
        <v>0</v>
      </c>
      <c r="CL261">
        <v>0</v>
      </c>
      <c r="CM261">
        <v>0</v>
      </c>
      <c r="CN261">
        <v>0</v>
      </c>
      <c r="CO261">
        <v>0</v>
      </c>
      <c r="CP261">
        <v>0</v>
      </c>
      <c r="CQ261">
        <v>0</v>
      </c>
      <c r="CR261">
        <v>0</v>
      </c>
      <c r="CT261" t="s">
        <v>190</v>
      </c>
      <c r="CU261" t="s">
        <v>1503</v>
      </c>
      <c r="CW261">
        <v>0</v>
      </c>
      <c r="CZ261" s="1">
        <v>46106</v>
      </c>
      <c r="DA261" t="s">
        <v>172</v>
      </c>
      <c r="DB261" t="s">
        <v>172</v>
      </c>
      <c r="DC261" t="s">
        <v>172</v>
      </c>
      <c r="DD261" t="s">
        <v>172</v>
      </c>
      <c r="DG261" s="1">
        <v>46106</v>
      </c>
      <c r="DH261">
        <v>0</v>
      </c>
      <c r="DI261">
        <v>0</v>
      </c>
      <c r="DK261" t="s">
        <v>179</v>
      </c>
      <c r="DL261" t="s">
        <v>200</v>
      </c>
      <c r="DM261" t="s">
        <v>172</v>
      </c>
      <c r="DN261" t="s">
        <v>201</v>
      </c>
      <c r="DV261" s="3">
        <v>241000</v>
      </c>
      <c r="DW261">
        <v>0</v>
      </c>
      <c r="DX261" s="3">
        <v>241000</v>
      </c>
      <c r="DY261">
        <v>0</v>
      </c>
      <c r="EN261" t="s">
        <v>156</v>
      </c>
      <c r="ET261" t="s">
        <v>1930</v>
      </c>
      <c r="EU261" s="1">
        <v>46108</v>
      </c>
      <c r="EW261" s="1">
        <v>46106</v>
      </c>
    </row>
    <row r="262" spans="1:153" ht="246.5" x14ac:dyDescent="0.35">
      <c r="A262" t="str">
        <f>HYPERLINK("https://7lm.cvcrm.com.br/gestor/comercial/reservas/6898/administrar","6898")</f>
        <v>6898</v>
      </c>
      <c r="B262" t="s">
        <v>156</v>
      </c>
      <c r="C262" s="1">
        <v>46106</v>
      </c>
      <c r="D262" s="2">
        <v>0.76188657407407412</v>
      </c>
      <c r="E262" t="s">
        <v>294</v>
      </c>
      <c r="F262" t="s">
        <v>182</v>
      </c>
      <c r="G262" t="s">
        <v>159</v>
      </c>
      <c r="H262" t="s">
        <v>538</v>
      </c>
      <c r="I262" t="s">
        <v>1946</v>
      </c>
      <c r="J262">
        <v>1</v>
      </c>
      <c r="L262">
        <v>30151</v>
      </c>
      <c r="M262" t="s">
        <v>1947</v>
      </c>
      <c r="N262" s="1">
        <v>46108</v>
      </c>
      <c r="O262" s="2">
        <v>0.6696064814814815</v>
      </c>
      <c r="R262" t="str">
        <f>HYPERLINK("https://7lm.cvcrm.com.br/gestor/relatorios/associado/html?q[1|r.idreserva]=6898","GABRIEL PEREIRA DE FREITAS")</f>
        <v>GABRIEL PEREIRA DE FREITAS</v>
      </c>
      <c r="S262">
        <v>71406539171</v>
      </c>
      <c r="T262">
        <v>5561996590587</v>
      </c>
      <c r="V262" t="s">
        <v>1948</v>
      </c>
      <c r="W262" t="s">
        <v>163</v>
      </c>
      <c r="Y262" t="s">
        <v>189</v>
      </c>
      <c r="Z262" t="s">
        <v>190</v>
      </c>
      <c r="AA262" t="s">
        <v>300</v>
      </c>
      <c r="AB262" t="s">
        <v>1949</v>
      </c>
      <c r="AC262" t="s">
        <v>845</v>
      </c>
      <c r="AD262" t="s">
        <v>845</v>
      </c>
      <c r="AF262" t="s">
        <v>352</v>
      </c>
      <c r="AG262" t="s">
        <v>251</v>
      </c>
      <c r="AH262" s="3">
        <v>240657.29</v>
      </c>
      <c r="AI262" s="3">
        <v>240657.29</v>
      </c>
      <c r="AJ262" s="1">
        <v>46167</v>
      </c>
      <c r="AN262" t="s">
        <v>172</v>
      </c>
      <c r="AR262" s="7" t="s">
        <v>353</v>
      </c>
      <c r="AT262" t="s">
        <v>261</v>
      </c>
      <c r="AU262" t="s">
        <v>197</v>
      </c>
      <c r="AW262">
        <v>0</v>
      </c>
      <c r="AX262" s="1">
        <v>46108</v>
      </c>
      <c r="AY262" s="2">
        <v>0.60913194444444441</v>
      </c>
      <c r="AZ262">
        <v>197353</v>
      </c>
      <c r="BA262" s="1">
        <v>46106</v>
      </c>
      <c r="BC262" t="s">
        <v>176</v>
      </c>
      <c r="BD262" s="1">
        <v>46106</v>
      </c>
      <c r="BE262" t="s">
        <v>625</v>
      </c>
      <c r="BL262" s="4">
        <v>0</v>
      </c>
      <c r="BM262" s="1">
        <v>46899</v>
      </c>
      <c r="BN262" s="1">
        <v>46108</v>
      </c>
      <c r="BO262">
        <v>0</v>
      </c>
      <c r="BP262">
        <v>30126</v>
      </c>
      <c r="BQ262" t="s">
        <v>156</v>
      </c>
      <c r="BR262" s="3">
        <v>134341.45000000001</v>
      </c>
      <c r="BS262" s="3">
        <v>24960</v>
      </c>
      <c r="BT262">
        <v>0</v>
      </c>
      <c r="BU262" s="3">
        <v>159301.45000000001</v>
      </c>
      <c r="BV262" s="3">
        <v>240657.29</v>
      </c>
      <c r="BX262">
        <v>0</v>
      </c>
      <c r="BZ262">
        <v>0</v>
      </c>
      <c r="CA262">
        <v>0</v>
      </c>
      <c r="CB262">
        <v>0</v>
      </c>
      <c r="CC262" s="3">
        <v>240657.29</v>
      </c>
      <c r="CD262" s="5">
        <v>0</v>
      </c>
      <c r="CF262" s="6">
        <v>46082</v>
      </c>
      <c r="CH262">
        <v>0</v>
      </c>
      <c r="CI262">
        <v>0</v>
      </c>
      <c r="CJ262">
        <v>0</v>
      </c>
      <c r="CK262">
        <v>0</v>
      </c>
      <c r="CL262">
        <v>0</v>
      </c>
      <c r="CM262">
        <v>0</v>
      </c>
      <c r="CN262">
        <v>0</v>
      </c>
      <c r="CO262">
        <v>0</v>
      </c>
      <c r="CP262">
        <v>0</v>
      </c>
      <c r="CQ262">
        <v>0</v>
      </c>
      <c r="CR262">
        <v>0</v>
      </c>
      <c r="CS262" t="s">
        <v>360</v>
      </c>
      <c r="CT262" t="s">
        <v>190</v>
      </c>
      <c r="CU262" t="s">
        <v>1946</v>
      </c>
      <c r="CW262">
        <v>-51.038800000000002</v>
      </c>
      <c r="CZ262" s="1">
        <v>46106</v>
      </c>
      <c r="DA262" t="s">
        <v>172</v>
      </c>
      <c r="DB262" t="s">
        <v>172</v>
      </c>
      <c r="DC262" t="s">
        <v>172</v>
      </c>
      <c r="DD262" t="s">
        <v>172</v>
      </c>
      <c r="DG262" s="1">
        <v>46106</v>
      </c>
      <c r="DH262">
        <v>0</v>
      </c>
      <c r="DI262">
        <v>0</v>
      </c>
      <c r="DK262" t="s">
        <v>179</v>
      </c>
      <c r="DL262" t="s">
        <v>200</v>
      </c>
      <c r="DM262" t="s">
        <v>172</v>
      </c>
      <c r="DN262" t="s">
        <v>201</v>
      </c>
      <c r="DU262" t="s">
        <v>440</v>
      </c>
      <c r="DV262" s="3">
        <v>291742.71000000002</v>
      </c>
      <c r="DW262">
        <v>-54.8</v>
      </c>
      <c r="DX262" s="3">
        <v>291742.71000000002</v>
      </c>
      <c r="DY262">
        <v>-54.8</v>
      </c>
      <c r="EF262" s="1">
        <v>46108</v>
      </c>
      <c r="EG262" s="1">
        <v>46107</v>
      </c>
      <c r="EH262" s="1">
        <v>46107</v>
      </c>
      <c r="EK262" s="1">
        <v>46108</v>
      </c>
      <c r="EN262" t="s">
        <v>156</v>
      </c>
      <c r="EP262" s="1">
        <v>46107</v>
      </c>
      <c r="EQ262" s="1">
        <v>46107</v>
      </c>
      <c r="ER262" s="1">
        <v>46107</v>
      </c>
      <c r="ES262" t="s">
        <v>1950</v>
      </c>
      <c r="EU262" s="1">
        <v>46108</v>
      </c>
      <c r="EV262" s="1">
        <v>46107</v>
      </c>
      <c r="EW262" s="1">
        <v>46106</v>
      </c>
    </row>
    <row r="263" spans="1:153" x14ac:dyDescent="0.35">
      <c r="A263" t="str">
        <f>HYPERLINK("https://7lm.cvcrm.com.br/gestor/comercial/reservas/6897/administrar","6897")</f>
        <v>6897</v>
      </c>
      <c r="B263" t="s">
        <v>156</v>
      </c>
      <c r="C263" s="1">
        <v>46106</v>
      </c>
      <c r="D263" s="2">
        <v>0.74601851851851853</v>
      </c>
      <c r="E263" t="s">
        <v>527</v>
      </c>
      <c r="F263" t="s">
        <v>226</v>
      </c>
      <c r="G263" t="s">
        <v>159</v>
      </c>
      <c r="H263" t="s">
        <v>722</v>
      </c>
      <c r="I263" t="s">
        <v>976</v>
      </c>
      <c r="J263">
        <v>1</v>
      </c>
      <c r="L263">
        <v>10031</v>
      </c>
      <c r="M263" t="s">
        <v>1526</v>
      </c>
      <c r="N263" s="1">
        <v>46107</v>
      </c>
      <c r="O263" s="2">
        <v>0.59453703703703709</v>
      </c>
      <c r="R263" t="str">
        <f>HYPERLINK("https://7lm.cvcrm.com.br/gestor/relatorios/associado/html?q[1|r.idreserva]=6897","GABRIELA DE OLIVEIRA MARTINS CRUZ")</f>
        <v>GABRIELA DE OLIVEIRA MARTINS CRUZ</v>
      </c>
      <c r="S263">
        <v>7655486158</v>
      </c>
      <c r="T263">
        <v>5561993354688</v>
      </c>
      <c r="U263">
        <v>5561993354688</v>
      </c>
      <c r="V263" t="s">
        <v>1951</v>
      </c>
      <c r="W263" t="s">
        <v>187</v>
      </c>
      <c r="X263" t="s">
        <v>1147</v>
      </c>
      <c r="Y263" t="s">
        <v>165</v>
      </c>
      <c r="Z263" t="s">
        <v>257</v>
      </c>
      <c r="AA263" t="s">
        <v>386</v>
      </c>
      <c r="AB263" t="s">
        <v>1952</v>
      </c>
      <c r="AC263" t="s">
        <v>236</v>
      </c>
      <c r="AE263" t="s">
        <v>169</v>
      </c>
      <c r="AF263" t="s">
        <v>170</v>
      </c>
      <c r="AG263" t="s">
        <v>171</v>
      </c>
      <c r="AH263" s="3">
        <v>351190</v>
      </c>
      <c r="AI263" s="3">
        <v>351190</v>
      </c>
      <c r="AJ263" s="1">
        <v>46142</v>
      </c>
      <c r="AN263" t="s">
        <v>172</v>
      </c>
      <c r="AO263" t="s">
        <v>966</v>
      </c>
      <c r="AT263" t="s">
        <v>196</v>
      </c>
      <c r="AU263" t="s">
        <v>292</v>
      </c>
      <c r="AW263">
        <v>0</v>
      </c>
      <c r="AX263" s="1">
        <v>46118</v>
      </c>
      <c r="AY263" s="2">
        <v>0.47056712962962965</v>
      </c>
      <c r="AZ263">
        <v>196640</v>
      </c>
      <c r="BA263" s="1">
        <v>46102</v>
      </c>
      <c r="BC263" t="s">
        <v>0</v>
      </c>
      <c r="BD263" s="1">
        <v>46106</v>
      </c>
      <c r="BE263" t="s">
        <v>401</v>
      </c>
      <c r="BL263" s="4">
        <v>0</v>
      </c>
      <c r="BM263" s="1">
        <v>46698</v>
      </c>
      <c r="BO263">
        <v>0</v>
      </c>
      <c r="BP263">
        <v>29972</v>
      </c>
      <c r="BQ263" t="s">
        <v>156</v>
      </c>
      <c r="BR263" s="3">
        <v>280000</v>
      </c>
      <c r="BS263">
        <v>0</v>
      </c>
      <c r="BT263">
        <v>0</v>
      </c>
      <c r="BU263" s="3">
        <v>280000</v>
      </c>
      <c r="BV263" s="3">
        <v>351190</v>
      </c>
      <c r="BX263">
        <v>0</v>
      </c>
      <c r="BZ263">
        <v>0</v>
      </c>
      <c r="CA263">
        <v>0</v>
      </c>
      <c r="CB263">
        <v>0</v>
      </c>
      <c r="CC263" s="3">
        <v>351190</v>
      </c>
      <c r="CD263" s="5">
        <v>0</v>
      </c>
      <c r="CF263" s="6">
        <v>46113</v>
      </c>
      <c r="CH263">
        <v>0</v>
      </c>
      <c r="CI263">
        <v>0</v>
      </c>
      <c r="CJ263">
        <v>0</v>
      </c>
      <c r="CK263">
        <v>0</v>
      </c>
      <c r="CL263">
        <v>0</v>
      </c>
      <c r="CM263">
        <v>0</v>
      </c>
      <c r="CN263">
        <v>0</v>
      </c>
      <c r="CO263">
        <v>0</v>
      </c>
      <c r="CP263">
        <v>0</v>
      </c>
      <c r="CQ263">
        <v>0</v>
      </c>
      <c r="CR263">
        <v>0</v>
      </c>
      <c r="CS263" t="s">
        <v>177</v>
      </c>
      <c r="CT263" t="s">
        <v>238</v>
      </c>
      <c r="CU263" t="s">
        <v>976</v>
      </c>
      <c r="CW263">
        <v>-60.758000000000003</v>
      </c>
      <c r="CX263" t="s">
        <v>170</v>
      </c>
      <c r="CZ263" s="1">
        <v>46106</v>
      </c>
      <c r="DA263" t="s">
        <v>172</v>
      </c>
      <c r="DB263" t="s">
        <v>172</v>
      </c>
      <c r="DC263" t="s">
        <v>172</v>
      </c>
      <c r="DD263" t="s">
        <v>172</v>
      </c>
      <c r="DG263" s="1">
        <v>46106</v>
      </c>
      <c r="DH263">
        <v>0</v>
      </c>
      <c r="DI263">
        <v>0</v>
      </c>
      <c r="DL263" t="s">
        <v>239</v>
      </c>
      <c r="DM263" t="s">
        <v>172</v>
      </c>
      <c r="DU263" t="s">
        <v>1120</v>
      </c>
      <c r="DV263" s="3">
        <v>563849.12</v>
      </c>
      <c r="DW263">
        <v>-61.62</v>
      </c>
      <c r="DX263" s="3">
        <v>563849.12</v>
      </c>
      <c r="DY263">
        <v>-61.62</v>
      </c>
    </row>
    <row r="264" spans="1:153" ht="246.5" x14ac:dyDescent="0.35">
      <c r="A264" t="str">
        <f>HYPERLINK("https://7lm.cvcrm.com.br/gestor/comercial/reservas/6896/administrar","6896")</f>
        <v>6896</v>
      </c>
      <c r="B264" t="s">
        <v>156</v>
      </c>
      <c r="C264" s="1">
        <v>46106</v>
      </c>
      <c r="D264" s="2">
        <v>0.65586805555555561</v>
      </c>
      <c r="E264" t="s">
        <v>294</v>
      </c>
      <c r="F264" t="s">
        <v>182</v>
      </c>
      <c r="G264" t="s">
        <v>159</v>
      </c>
      <c r="H264" t="s">
        <v>704</v>
      </c>
      <c r="I264" t="s">
        <v>1953</v>
      </c>
      <c r="J264">
        <v>1</v>
      </c>
      <c r="L264">
        <v>30151</v>
      </c>
      <c r="M264" t="s">
        <v>1954</v>
      </c>
      <c r="N264" s="1">
        <v>46112</v>
      </c>
      <c r="O264" s="2">
        <v>0.56518518518518523</v>
      </c>
      <c r="R264" t="str">
        <f>HYPERLINK("https://7lm.cvcrm.com.br/gestor/relatorios/associado/html?q[1|r.idreserva]=6896","JOHNATAN DURAES DA SILVA")</f>
        <v>JOHNATAN DURAES DA SILVA</v>
      </c>
      <c r="S264">
        <v>13496899638</v>
      </c>
      <c r="T264">
        <v>556194661271</v>
      </c>
      <c r="V264" t="s">
        <v>1955</v>
      </c>
      <c r="W264" t="s">
        <v>163</v>
      </c>
      <c r="X264" t="s">
        <v>1956</v>
      </c>
      <c r="Y264" t="s">
        <v>1750</v>
      </c>
      <c r="Z264" t="s">
        <v>1957</v>
      </c>
      <c r="AA264" t="s">
        <v>423</v>
      </c>
      <c r="AB264" t="s">
        <v>1958</v>
      </c>
      <c r="AC264" t="s">
        <v>193</v>
      </c>
      <c r="AF264" t="s">
        <v>194</v>
      </c>
      <c r="AG264" t="s">
        <v>195</v>
      </c>
      <c r="AH264" s="3">
        <v>240645.48</v>
      </c>
      <c r="AI264" s="3">
        <v>240645.48</v>
      </c>
      <c r="AJ264" s="1">
        <v>46106</v>
      </c>
      <c r="AN264" t="s">
        <v>172</v>
      </c>
      <c r="AR264" s="7" t="s">
        <v>353</v>
      </c>
      <c r="AT264" t="s">
        <v>196</v>
      </c>
      <c r="AU264" t="s">
        <v>1403</v>
      </c>
      <c r="AW264">
        <v>0</v>
      </c>
      <c r="AX264" s="1">
        <v>46112</v>
      </c>
      <c r="AY264" s="2">
        <v>0.56688657407407406</v>
      </c>
      <c r="AZ264">
        <v>195167</v>
      </c>
      <c r="BA264" s="1">
        <v>46094</v>
      </c>
      <c r="BC264" t="s">
        <v>0</v>
      </c>
      <c r="BD264" s="1">
        <v>46106</v>
      </c>
      <c r="BE264" t="s">
        <v>615</v>
      </c>
      <c r="BL264" s="4">
        <v>0</v>
      </c>
      <c r="BM264" s="1">
        <v>46899</v>
      </c>
      <c r="BN264" s="1">
        <v>46112</v>
      </c>
      <c r="BO264">
        <v>0</v>
      </c>
      <c r="BP264">
        <v>30052</v>
      </c>
      <c r="BQ264" t="s">
        <v>156</v>
      </c>
      <c r="BR264" s="3">
        <v>123897.06</v>
      </c>
      <c r="BS264" s="3">
        <v>36344</v>
      </c>
      <c r="BT264">
        <v>0</v>
      </c>
      <c r="BU264" s="3">
        <v>160241.06</v>
      </c>
      <c r="BV264" s="3">
        <v>240645.48</v>
      </c>
      <c r="BX264">
        <v>0</v>
      </c>
      <c r="BZ264">
        <v>0</v>
      </c>
      <c r="CA264">
        <v>0</v>
      </c>
      <c r="CB264">
        <v>0</v>
      </c>
      <c r="CC264" s="3">
        <v>240645.48</v>
      </c>
      <c r="CD264" s="5">
        <v>0</v>
      </c>
      <c r="CF264" s="6">
        <v>46082</v>
      </c>
      <c r="CH264">
        <v>0</v>
      </c>
      <c r="CI264">
        <v>0</v>
      </c>
      <c r="CJ264">
        <v>0</v>
      </c>
      <c r="CK264">
        <v>0</v>
      </c>
      <c r="CL264">
        <v>0</v>
      </c>
      <c r="CM264">
        <v>0</v>
      </c>
      <c r="CN264">
        <v>0</v>
      </c>
      <c r="CO264">
        <v>0</v>
      </c>
      <c r="CP264">
        <v>0</v>
      </c>
      <c r="CQ264">
        <v>0</v>
      </c>
      <c r="CR264">
        <v>0</v>
      </c>
      <c r="CS264" t="s">
        <v>360</v>
      </c>
      <c r="CT264" t="s">
        <v>190</v>
      </c>
      <c r="CU264" t="s">
        <v>1953</v>
      </c>
      <c r="CW264">
        <v>-51.841900000000003</v>
      </c>
      <c r="CZ264" s="1">
        <v>46106</v>
      </c>
      <c r="DA264" t="s">
        <v>172</v>
      </c>
      <c r="DB264" t="s">
        <v>172</v>
      </c>
      <c r="DC264" t="s">
        <v>172</v>
      </c>
      <c r="DD264" t="s">
        <v>172</v>
      </c>
      <c r="DG264" s="1">
        <v>46106</v>
      </c>
      <c r="DH264">
        <v>0</v>
      </c>
      <c r="DI264">
        <v>0</v>
      </c>
      <c r="DK264" t="s">
        <v>179</v>
      </c>
      <c r="DL264" t="s">
        <v>200</v>
      </c>
      <c r="DM264" t="s">
        <v>172</v>
      </c>
      <c r="DN264" t="s">
        <v>201</v>
      </c>
      <c r="DV264" s="3">
        <v>240645.48</v>
      </c>
      <c r="DW264">
        <v>0</v>
      </c>
      <c r="DX264" s="3">
        <v>240645.48</v>
      </c>
      <c r="DY264">
        <v>0</v>
      </c>
      <c r="EG264" s="1">
        <v>46111</v>
      </c>
      <c r="EN264" t="s">
        <v>172</v>
      </c>
      <c r="EP264" s="1">
        <v>46111</v>
      </c>
      <c r="EQ264" s="1">
        <v>46111</v>
      </c>
      <c r="ER264" s="1">
        <v>46111</v>
      </c>
      <c r="ES264" t="s">
        <v>1959</v>
      </c>
      <c r="ET264" t="s">
        <v>1930</v>
      </c>
      <c r="EU264" s="1">
        <v>46108</v>
      </c>
      <c r="EV264" s="1">
        <v>46111</v>
      </c>
    </row>
    <row r="265" spans="1:153" ht="246.5" x14ac:dyDescent="0.35">
      <c r="A265" t="str">
        <f>HYPERLINK("https://7lm.cvcrm.com.br/gestor/comercial/reservas/6895/administrar","6895")</f>
        <v>6895</v>
      </c>
      <c r="B265" t="s">
        <v>156</v>
      </c>
      <c r="C265" s="1">
        <v>46106</v>
      </c>
      <c r="D265" s="2">
        <v>0.49496527777777777</v>
      </c>
      <c r="E265" t="s">
        <v>294</v>
      </c>
      <c r="F265" t="s">
        <v>182</v>
      </c>
      <c r="G265" t="s">
        <v>159</v>
      </c>
      <c r="H265" t="s">
        <v>759</v>
      </c>
      <c r="I265" t="s">
        <v>489</v>
      </c>
      <c r="J265">
        <v>1</v>
      </c>
      <c r="L265">
        <v>30151</v>
      </c>
      <c r="M265" t="s">
        <v>1960</v>
      </c>
      <c r="N265" s="1">
        <v>46112</v>
      </c>
      <c r="O265" s="2">
        <v>0.55153935185185188</v>
      </c>
      <c r="R265" t="str">
        <f>HYPERLINK("https://7lm.cvcrm.com.br/gestor/relatorios/associado/html?q[1|r.idreserva]=6895","DIEGO ANTONIO DE FARIAS")</f>
        <v>DIEGO ANTONIO DE FARIAS</v>
      </c>
      <c r="S265">
        <v>7472577103</v>
      </c>
      <c r="T265">
        <v>5561999693849</v>
      </c>
      <c r="V265" t="s">
        <v>1961</v>
      </c>
      <c r="W265" t="s">
        <v>163</v>
      </c>
      <c r="X265" t="s">
        <v>376</v>
      </c>
      <c r="Y265" t="s">
        <v>189</v>
      </c>
      <c r="Z265" t="s">
        <v>190</v>
      </c>
      <c r="AA265" t="s">
        <v>902</v>
      </c>
      <c r="AB265" t="s">
        <v>1962</v>
      </c>
      <c r="AC265" t="s">
        <v>1741</v>
      </c>
      <c r="AF265" t="s">
        <v>194</v>
      </c>
      <c r="AG265" t="s">
        <v>195</v>
      </c>
      <c r="AH265" s="3">
        <v>240622.72</v>
      </c>
      <c r="AI265" s="3">
        <v>240622.72</v>
      </c>
      <c r="AJ265" s="1">
        <v>46106</v>
      </c>
      <c r="AN265" t="s">
        <v>172</v>
      </c>
      <c r="AR265" s="7" t="s">
        <v>353</v>
      </c>
      <c r="AT265" t="s">
        <v>173</v>
      </c>
      <c r="AU265" t="s">
        <v>1403</v>
      </c>
      <c r="AW265">
        <v>0</v>
      </c>
      <c r="AX265" s="1">
        <v>46112</v>
      </c>
      <c r="AY265" s="2">
        <v>0.57003472222222218</v>
      </c>
      <c r="AZ265">
        <v>146579</v>
      </c>
      <c r="BA265" s="1">
        <v>45682</v>
      </c>
      <c r="BC265" t="s">
        <v>0</v>
      </c>
      <c r="BD265" s="1">
        <v>46106</v>
      </c>
      <c r="BE265" t="s">
        <v>317</v>
      </c>
      <c r="BL265" s="4">
        <v>0</v>
      </c>
      <c r="BM265" s="1">
        <v>46899</v>
      </c>
      <c r="BN265" s="1">
        <v>46112</v>
      </c>
      <c r="BO265">
        <v>0</v>
      </c>
      <c r="BP265">
        <v>30051</v>
      </c>
      <c r="BQ265" t="s">
        <v>156</v>
      </c>
      <c r="BR265" s="3">
        <v>120267.54</v>
      </c>
      <c r="BS265" s="3">
        <v>45050</v>
      </c>
      <c r="BT265">
        <v>0</v>
      </c>
      <c r="BU265" s="3">
        <v>165317.54</v>
      </c>
      <c r="BV265" s="3">
        <v>240622.72</v>
      </c>
      <c r="BX265">
        <v>0</v>
      </c>
      <c r="BZ265">
        <v>0</v>
      </c>
      <c r="CA265">
        <v>0</v>
      </c>
      <c r="CB265">
        <v>0</v>
      </c>
      <c r="CC265" s="3">
        <v>240622.72</v>
      </c>
      <c r="CD265" s="5">
        <v>0</v>
      </c>
      <c r="CF265" s="6">
        <v>46082</v>
      </c>
      <c r="CH265">
        <v>0</v>
      </c>
      <c r="CI265">
        <v>0</v>
      </c>
      <c r="CJ265">
        <v>0</v>
      </c>
      <c r="CK265">
        <v>0</v>
      </c>
      <c r="CL265">
        <v>0</v>
      </c>
      <c r="CM265">
        <v>0</v>
      </c>
      <c r="CN265">
        <v>0</v>
      </c>
      <c r="CO265">
        <v>0</v>
      </c>
      <c r="CP265">
        <v>0</v>
      </c>
      <c r="CQ265">
        <v>0</v>
      </c>
      <c r="CR265">
        <v>0</v>
      </c>
      <c r="CS265" t="s">
        <v>649</v>
      </c>
      <c r="CT265" t="s">
        <v>190</v>
      </c>
      <c r="CU265" t="s">
        <v>489</v>
      </c>
      <c r="CW265">
        <v>-51.551099999999998</v>
      </c>
      <c r="CZ265" s="1">
        <v>46106</v>
      </c>
      <c r="DA265" t="s">
        <v>172</v>
      </c>
      <c r="DB265" t="s">
        <v>172</v>
      </c>
      <c r="DC265" t="s">
        <v>172</v>
      </c>
      <c r="DD265" t="s">
        <v>172</v>
      </c>
      <c r="DG265" s="1">
        <v>46106</v>
      </c>
      <c r="DH265">
        <v>0</v>
      </c>
      <c r="DI265">
        <v>0</v>
      </c>
      <c r="DK265" t="s">
        <v>179</v>
      </c>
      <c r="DL265" t="s">
        <v>200</v>
      </c>
      <c r="DM265" t="s">
        <v>172</v>
      </c>
      <c r="DN265" t="s">
        <v>201</v>
      </c>
      <c r="DV265" s="3">
        <v>240622.72</v>
      </c>
      <c r="DW265">
        <v>0</v>
      </c>
      <c r="DX265" s="3">
        <v>240622.72</v>
      </c>
      <c r="DY265">
        <v>0</v>
      </c>
      <c r="EG265" s="1">
        <v>46111</v>
      </c>
      <c r="EN265" t="s">
        <v>156</v>
      </c>
      <c r="EP265" s="1">
        <v>46112</v>
      </c>
      <c r="ER265" s="1">
        <v>46111</v>
      </c>
      <c r="ES265" t="s">
        <v>1963</v>
      </c>
      <c r="ET265" t="s">
        <v>1930</v>
      </c>
      <c r="EU265" s="1">
        <v>46108</v>
      </c>
      <c r="EW265" s="1">
        <v>46106</v>
      </c>
    </row>
    <row r="266" spans="1:153" ht="87" x14ac:dyDescent="0.35">
      <c r="A266" t="str">
        <f>HYPERLINK("https://7lm.cvcrm.com.br/gestor/comercial/reservas/6894/administrar","6894")</f>
        <v>6894</v>
      </c>
      <c r="B266" t="s">
        <v>156</v>
      </c>
      <c r="C266" s="1">
        <v>46106</v>
      </c>
      <c r="D266" s="2">
        <v>0.43697916666666664</v>
      </c>
      <c r="E266" t="s">
        <v>294</v>
      </c>
      <c r="F266" t="s">
        <v>158</v>
      </c>
      <c r="G266" t="s">
        <v>159</v>
      </c>
      <c r="H266" t="s">
        <v>160</v>
      </c>
      <c r="I266">
        <v>104</v>
      </c>
      <c r="J266">
        <v>1</v>
      </c>
      <c r="L266">
        <v>10001</v>
      </c>
      <c r="M266" t="s">
        <v>1964</v>
      </c>
      <c r="N266" s="1">
        <v>46119</v>
      </c>
      <c r="O266" s="2">
        <v>0.68969907407407405</v>
      </c>
      <c r="R266" t="str">
        <f>HYPERLINK("https://7lm.cvcrm.com.br/gestor/relatorios/associado/html?q[1|r.idreserva]=6894","THAISSA ARAUJO RAMOS OLIVEIRA")</f>
        <v>THAISSA ARAUJO RAMOS OLIVEIRA</v>
      </c>
      <c r="S266">
        <v>2985643198</v>
      </c>
      <c r="T266">
        <v>5561982485450</v>
      </c>
      <c r="U266">
        <v>5561982485450</v>
      </c>
      <c r="V266" t="s">
        <v>1965</v>
      </c>
      <c r="W266" t="s">
        <v>187</v>
      </c>
      <c r="X266" t="s">
        <v>1559</v>
      </c>
      <c r="Y266" t="s">
        <v>165</v>
      </c>
      <c r="Z266" t="s">
        <v>257</v>
      </c>
      <c r="AA266" t="s">
        <v>770</v>
      </c>
      <c r="AB266" t="s">
        <v>1966</v>
      </c>
      <c r="AC266" t="s">
        <v>1967</v>
      </c>
      <c r="AE266" t="s">
        <v>733</v>
      </c>
      <c r="AF266" t="s">
        <v>170</v>
      </c>
      <c r="AG266" t="s">
        <v>171</v>
      </c>
      <c r="AH266" s="3">
        <v>405000.1</v>
      </c>
      <c r="AI266" s="3">
        <v>405000.1</v>
      </c>
      <c r="AJ266" s="1">
        <v>46102</v>
      </c>
      <c r="AN266" t="s">
        <v>172</v>
      </c>
      <c r="AR266" s="7" t="s">
        <v>1687</v>
      </c>
      <c r="AT266" t="s">
        <v>173</v>
      </c>
      <c r="AU266" t="s">
        <v>262</v>
      </c>
      <c r="AW266">
        <v>0</v>
      </c>
      <c r="AX266" s="1">
        <v>46112</v>
      </c>
      <c r="AY266" s="2">
        <v>0.58770833333333339</v>
      </c>
      <c r="AZ266">
        <v>196991</v>
      </c>
      <c r="BA266" s="1">
        <v>46104</v>
      </c>
      <c r="BC266" t="s">
        <v>175</v>
      </c>
      <c r="BD266" s="1">
        <v>46104</v>
      </c>
      <c r="BE266" t="s">
        <v>262</v>
      </c>
      <c r="BL266" s="4">
        <v>0</v>
      </c>
      <c r="BM266" s="1">
        <v>46387</v>
      </c>
      <c r="BN266" s="1">
        <v>46112</v>
      </c>
      <c r="BO266">
        <v>0</v>
      </c>
      <c r="BP266">
        <v>30012</v>
      </c>
      <c r="BQ266" t="s">
        <v>156</v>
      </c>
      <c r="BR266" s="3">
        <v>280459.57</v>
      </c>
      <c r="BS266">
        <v>0</v>
      </c>
      <c r="BT266" s="3">
        <v>16795.84</v>
      </c>
      <c r="BU266" s="3">
        <v>297255.40999999997</v>
      </c>
      <c r="BV266" s="3">
        <v>405000.1</v>
      </c>
      <c r="BX266">
        <v>0</v>
      </c>
      <c r="BZ266">
        <v>0</v>
      </c>
      <c r="CA266">
        <v>0</v>
      </c>
      <c r="CB266">
        <v>0</v>
      </c>
      <c r="CC266" s="3">
        <v>405000.1</v>
      </c>
      <c r="CD266" s="5">
        <v>0</v>
      </c>
      <c r="CF266" s="6">
        <v>46082</v>
      </c>
      <c r="CH266">
        <v>0</v>
      </c>
      <c r="CI266">
        <v>0</v>
      </c>
      <c r="CJ266">
        <v>0</v>
      </c>
      <c r="CK266">
        <v>0</v>
      </c>
      <c r="CL266">
        <v>0</v>
      </c>
      <c r="CM266">
        <v>0</v>
      </c>
      <c r="CN266">
        <v>0</v>
      </c>
      <c r="CO266">
        <v>0</v>
      </c>
      <c r="CP266">
        <v>0</v>
      </c>
      <c r="CQ266">
        <v>0</v>
      </c>
      <c r="CR266">
        <v>0</v>
      </c>
      <c r="CS266" t="s">
        <v>360</v>
      </c>
      <c r="CT266" t="s">
        <v>178</v>
      </c>
      <c r="CU266">
        <v>104</v>
      </c>
      <c r="CW266">
        <v>-56.488599999999998</v>
      </c>
      <c r="CZ266" s="1">
        <v>46106</v>
      </c>
      <c r="DA266" t="s">
        <v>172</v>
      </c>
      <c r="DB266" t="s">
        <v>172</v>
      </c>
      <c r="DC266" t="s">
        <v>172</v>
      </c>
      <c r="DD266" t="s">
        <v>172</v>
      </c>
      <c r="DG266" s="1">
        <v>46106</v>
      </c>
      <c r="DH266">
        <v>0</v>
      </c>
      <c r="DI266">
        <v>0</v>
      </c>
      <c r="DK266" t="s">
        <v>179</v>
      </c>
      <c r="DM266" t="s">
        <v>172</v>
      </c>
      <c r="DN266" t="s">
        <v>553</v>
      </c>
      <c r="DU266" t="s">
        <v>734</v>
      </c>
      <c r="DV266" s="3">
        <v>595499.9</v>
      </c>
      <c r="DW266">
        <v>-59.52</v>
      </c>
      <c r="DX266" s="3">
        <v>595499.9</v>
      </c>
      <c r="DY266">
        <v>-59.52</v>
      </c>
    </row>
    <row r="267" spans="1:153" ht="87" x14ac:dyDescent="0.35">
      <c r="A267" t="str">
        <f>HYPERLINK("https://7lm.cvcrm.com.br/gestor/comercial/reservas/6893/administrar","6893")</f>
        <v>6893</v>
      </c>
      <c r="B267" t="s">
        <v>156</v>
      </c>
      <c r="C267" s="1">
        <v>46105</v>
      </c>
      <c r="D267" s="2">
        <v>0.73452546296296295</v>
      </c>
      <c r="E267" t="s">
        <v>294</v>
      </c>
      <c r="F267" t="s">
        <v>158</v>
      </c>
      <c r="G267" t="s">
        <v>159</v>
      </c>
      <c r="H267" t="s">
        <v>160</v>
      </c>
      <c r="I267">
        <v>402</v>
      </c>
      <c r="J267">
        <v>1</v>
      </c>
      <c r="L267">
        <v>10001</v>
      </c>
      <c r="M267" t="s">
        <v>1968</v>
      </c>
      <c r="N267" s="1">
        <v>46147</v>
      </c>
      <c r="O267" s="2">
        <v>0.64456018518518521</v>
      </c>
      <c r="R267" t="str">
        <f>HYPERLINK("https://7lm.cvcrm.com.br/gestor/relatorios/associado/html?q[1|r.idreserva]=6893","FELIPE THIAGO TERENCIO CRUZEIRO LIRA")</f>
        <v>FELIPE THIAGO TERENCIO CRUZEIRO LIRA</v>
      </c>
      <c r="S267">
        <v>4150320160</v>
      </c>
      <c r="T267">
        <v>5561982430315</v>
      </c>
      <c r="U267">
        <v>5561982430315</v>
      </c>
      <c r="V267" t="s">
        <v>1969</v>
      </c>
      <c r="W267" t="s">
        <v>163</v>
      </c>
      <c r="X267" t="s">
        <v>1147</v>
      </c>
      <c r="Y267" t="s">
        <v>165</v>
      </c>
      <c r="Z267" t="s">
        <v>166</v>
      </c>
      <c r="AA267" t="s">
        <v>730</v>
      </c>
      <c r="AB267" t="s">
        <v>1970</v>
      </c>
      <c r="AC267" t="s">
        <v>169</v>
      </c>
      <c r="AE267" t="s">
        <v>169</v>
      </c>
      <c r="AF267" t="s">
        <v>170</v>
      </c>
      <c r="AG267" t="s">
        <v>171</v>
      </c>
      <c r="AH267" s="3">
        <v>352499.99</v>
      </c>
      <c r="AI267" s="3">
        <v>352499.99</v>
      </c>
      <c r="AJ267" s="1">
        <v>46117</v>
      </c>
      <c r="AN267" t="s">
        <v>172</v>
      </c>
      <c r="AR267" s="7" t="s">
        <v>1149</v>
      </c>
      <c r="AT267" t="s">
        <v>196</v>
      </c>
      <c r="AU267" t="s">
        <v>197</v>
      </c>
      <c r="AW267">
        <v>0</v>
      </c>
      <c r="AX267" s="1">
        <v>46112</v>
      </c>
      <c r="AY267" s="2">
        <v>0.44667824074074075</v>
      </c>
      <c r="AZ267">
        <v>196389</v>
      </c>
      <c r="BA267" s="1">
        <v>46100</v>
      </c>
      <c r="BC267" t="s">
        <v>175</v>
      </c>
      <c r="BD267" s="1">
        <v>46100</v>
      </c>
      <c r="BE267" t="s">
        <v>817</v>
      </c>
      <c r="BL267" s="4">
        <v>0</v>
      </c>
      <c r="BM267" s="1">
        <v>46387</v>
      </c>
      <c r="BN267" s="1">
        <v>46112</v>
      </c>
      <c r="BO267">
        <v>0</v>
      </c>
      <c r="BP267">
        <v>29917</v>
      </c>
      <c r="BQ267" t="s">
        <v>156</v>
      </c>
      <c r="BR267" s="3">
        <v>294816.11</v>
      </c>
      <c r="BS267">
        <v>0</v>
      </c>
      <c r="BT267">
        <v>0</v>
      </c>
      <c r="BU267" s="3">
        <v>294816.11</v>
      </c>
      <c r="BV267" s="3">
        <v>352499.99</v>
      </c>
      <c r="BX267">
        <v>0</v>
      </c>
      <c r="BZ267">
        <v>0</v>
      </c>
      <c r="CA267">
        <v>0</v>
      </c>
      <c r="CB267">
        <v>0</v>
      </c>
      <c r="CC267" s="3">
        <v>352499.99</v>
      </c>
      <c r="CD267" s="5">
        <v>0</v>
      </c>
      <c r="CF267" s="6">
        <v>46082</v>
      </c>
      <c r="CH267">
        <v>0</v>
      </c>
      <c r="CI267">
        <v>0</v>
      </c>
      <c r="CJ267">
        <v>0</v>
      </c>
      <c r="CK267">
        <v>0</v>
      </c>
      <c r="CL267">
        <v>0</v>
      </c>
      <c r="CM267">
        <v>0</v>
      </c>
      <c r="CN267">
        <v>0</v>
      </c>
      <c r="CO267">
        <v>0</v>
      </c>
      <c r="CP267">
        <v>0</v>
      </c>
      <c r="CQ267">
        <v>0</v>
      </c>
      <c r="CR267">
        <v>0</v>
      </c>
      <c r="CS267" t="s">
        <v>360</v>
      </c>
      <c r="CT267" t="s">
        <v>178</v>
      </c>
      <c r="CU267">
        <v>402</v>
      </c>
      <c r="CW267">
        <v>-59.28</v>
      </c>
      <c r="CZ267" s="1">
        <v>46105</v>
      </c>
      <c r="DA267" t="s">
        <v>172</v>
      </c>
      <c r="DB267" t="s">
        <v>172</v>
      </c>
      <c r="DC267" t="s">
        <v>172</v>
      </c>
      <c r="DD267" t="s">
        <v>172</v>
      </c>
      <c r="DG267" s="1">
        <v>46105</v>
      </c>
      <c r="DH267">
        <v>0</v>
      </c>
      <c r="DI267">
        <v>0</v>
      </c>
      <c r="DK267" t="s">
        <v>179</v>
      </c>
      <c r="DM267" t="s">
        <v>172</v>
      </c>
      <c r="DN267" t="s">
        <v>553</v>
      </c>
      <c r="DU267" t="s">
        <v>734</v>
      </c>
      <c r="DV267" s="3">
        <v>527500.01</v>
      </c>
      <c r="DW267">
        <v>-59.94</v>
      </c>
      <c r="DX267" s="3">
        <v>527500.01</v>
      </c>
      <c r="DY267">
        <v>-59.94</v>
      </c>
    </row>
    <row r="268" spans="1:153" ht="246.5" x14ac:dyDescent="0.35">
      <c r="A268" t="str">
        <f>HYPERLINK("https://7lm.cvcrm.com.br/gestor/comercial/reservas/6892/administrar","6892")</f>
        <v>6892</v>
      </c>
      <c r="B268" t="s">
        <v>156</v>
      </c>
      <c r="C268" s="1">
        <v>46105</v>
      </c>
      <c r="D268" s="2">
        <v>0.708125</v>
      </c>
      <c r="E268" t="s">
        <v>294</v>
      </c>
      <c r="F268" t="s">
        <v>458</v>
      </c>
      <c r="G268" t="s">
        <v>203</v>
      </c>
      <c r="H268" t="s">
        <v>513</v>
      </c>
      <c r="I268" t="s">
        <v>637</v>
      </c>
      <c r="J268">
        <v>1</v>
      </c>
      <c r="K268">
        <v>8312</v>
      </c>
      <c r="L268">
        <v>20001</v>
      </c>
      <c r="M268" t="s">
        <v>1971</v>
      </c>
      <c r="N268" s="1">
        <v>46129</v>
      </c>
      <c r="O268" s="2">
        <v>0.59347222222222218</v>
      </c>
      <c r="R268" t="str">
        <f>HYPERLINK("https://7lm.cvcrm.com.br/gestor/relatorios/associado/html?q[1|r.idreserva]=6892","ANA LAVINIA MAGALHAES PORTUGUES")</f>
        <v>ANA LAVINIA MAGALHAES PORTUGUES</v>
      </c>
      <c r="S268">
        <v>5013567386</v>
      </c>
      <c r="T268">
        <v>556181029691</v>
      </c>
      <c r="V268" t="s">
        <v>1972</v>
      </c>
      <c r="W268" t="s">
        <v>187</v>
      </c>
      <c r="X268" t="s">
        <v>1973</v>
      </c>
      <c r="Y268" t="s">
        <v>165</v>
      </c>
      <c r="Z268" t="s">
        <v>1030</v>
      </c>
      <c r="AA268" t="s">
        <v>1031</v>
      </c>
      <c r="AB268" t="s">
        <v>1974</v>
      </c>
      <c r="AC268" t="s">
        <v>425</v>
      </c>
      <c r="AF268" t="s">
        <v>389</v>
      </c>
      <c r="AG268" t="s">
        <v>195</v>
      </c>
      <c r="AH268" s="3">
        <v>225956.78</v>
      </c>
      <c r="AI268" s="3">
        <v>225956.78</v>
      </c>
      <c r="AJ268" s="1">
        <v>46157</v>
      </c>
      <c r="AN268" t="s">
        <v>172</v>
      </c>
      <c r="AR268" s="7" t="s">
        <v>353</v>
      </c>
      <c r="AT268" t="s">
        <v>196</v>
      </c>
      <c r="AU268" t="s">
        <v>316</v>
      </c>
      <c r="AW268">
        <v>0</v>
      </c>
      <c r="AX268" s="1">
        <v>46121</v>
      </c>
      <c r="AY268" s="2">
        <v>0.64778935185185182</v>
      </c>
      <c r="AZ268">
        <v>197238</v>
      </c>
      <c r="BA268" s="1">
        <v>46105</v>
      </c>
      <c r="BC268" t="s">
        <v>0</v>
      </c>
      <c r="BD268" s="1">
        <v>46105</v>
      </c>
      <c r="BE268" t="s">
        <v>213</v>
      </c>
      <c r="BL268" s="4">
        <v>0</v>
      </c>
      <c r="BM268" s="1">
        <v>46572</v>
      </c>
      <c r="BN268" s="1">
        <v>46121</v>
      </c>
      <c r="BO268">
        <v>0</v>
      </c>
      <c r="BP268">
        <v>29684</v>
      </c>
      <c r="BQ268" t="s">
        <v>156</v>
      </c>
      <c r="BR268" s="3">
        <v>126338.13</v>
      </c>
      <c r="BS268" s="3">
        <v>35683</v>
      </c>
      <c r="BT268">
        <v>0</v>
      </c>
      <c r="BU268" s="3">
        <v>162021.13</v>
      </c>
      <c r="BV268" s="3">
        <v>225956.78</v>
      </c>
      <c r="BX268">
        <v>0</v>
      </c>
      <c r="BZ268">
        <v>0</v>
      </c>
      <c r="CA268">
        <v>0</v>
      </c>
      <c r="CB268">
        <v>0</v>
      </c>
      <c r="CC268" s="3">
        <v>225956.78</v>
      </c>
      <c r="CD268" s="5">
        <v>0</v>
      </c>
      <c r="CE268" t="s">
        <v>467</v>
      </c>
      <c r="CF268" s="6">
        <v>46113</v>
      </c>
      <c r="CH268">
        <v>0</v>
      </c>
      <c r="CI268">
        <v>0</v>
      </c>
      <c r="CJ268">
        <v>0</v>
      </c>
      <c r="CK268">
        <v>0</v>
      </c>
      <c r="CL268">
        <v>0</v>
      </c>
      <c r="CM268">
        <v>0</v>
      </c>
      <c r="CN268">
        <v>0</v>
      </c>
      <c r="CO268">
        <v>0</v>
      </c>
      <c r="CP268">
        <v>0</v>
      </c>
      <c r="CQ268">
        <v>0</v>
      </c>
      <c r="CR268">
        <v>0</v>
      </c>
      <c r="CS268" t="s">
        <v>360</v>
      </c>
      <c r="CT268" t="s">
        <v>214</v>
      </c>
      <c r="CU268" t="s">
        <v>637</v>
      </c>
      <c r="CW268">
        <v>-58.494199999999999</v>
      </c>
      <c r="CZ268" s="1">
        <v>46105</v>
      </c>
      <c r="DA268" t="s">
        <v>172</v>
      </c>
      <c r="DB268" t="s">
        <v>172</v>
      </c>
      <c r="DC268" t="s">
        <v>172</v>
      </c>
      <c r="DD268" t="s">
        <v>172</v>
      </c>
      <c r="DG268" s="1">
        <v>46105</v>
      </c>
      <c r="DH268">
        <v>0</v>
      </c>
      <c r="DI268">
        <v>0</v>
      </c>
      <c r="DL268" t="s">
        <v>200</v>
      </c>
      <c r="DM268" t="s">
        <v>172</v>
      </c>
      <c r="DN268" t="s">
        <v>201</v>
      </c>
      <c r="DV268" s="3">
        <v>225956.78</v>
      </c>
      <c r="DW268">
        <v>0</v>
      </c>
      <c r="DX268" s="3">
        <v>225956.78</v>
      </c>
      <c r="DY268">
        <v>0</v>
      </c>
      <c r="EF268" s="1">
        <v>46129</v>
      </c>
      <c r="EG268" s="1">
        <v>46126</v>
      </c>
      <c r="EK268" s="1">
        <v>46129</v>
      </c>
      <c r="EP268" s="1">
        <v>46120</v>
      </c>
    </row>
    <row r="269" spans="1:153" ht="246.5" x14ac:dyDescent="0.35">
      <c r="A269" t="str">
        <f>HYPERLINK("https://7lm.cvcrm.com.br/gestor/comercial/reservas/6891/administrar","6891")</f>
        <v>6891</v>
      </c>
      <c r="B269" t="s">
        <v>156</v>
      </c>
      <c r="C269" s="1">
        <v>46105</v>
      </c>
      <c r="D269" s="2">
        <v>0.70709490740740744</v>
      </c>
      <c r="E269" t="s">
        <v>294</v>
      </c>
      <c r="F269" t="s">
        <v>182</v>
      </c>
      <c r="G269" t="s">
        <v>159</v>
      </c>
      <c r="H269" t="s">
        <v>372</v>
      </c>
      <c r="I269" t="s">
        <v>1975</v>
      </c>
      <c r="J269">
        <v>1</v>
      </c>
      <c r="K269">
        <v>8228</v>
      </c>
      <c r="L269">
        <v>30151</v>
      </c>
      <c r="M269" t="s">
        <v>1976</v>
      </c>
      <c r="N269" s="1">
        <v>46108</v>
      </c>
      <c r="O269" s="2">
        <v>0.64083333333333337</v>
      </c>
      <c r="R269" t="str">
        <f>HYPERLINK("https://7lm.cvcrm.com.br/gestor/relatorios/associado/html?q[1|r.idreserva]=6891","VITORIA EDUARDA RODRIGUES PEREIRA")</f>
        <v>VITORIA EDUARDA RODRIGUES PEREIRA</v>
      </c>
      <c r="S269">
        <v>11588940152</v>
      </c>
      <c r="T269">
        <v>5562996492878</v>
      </c>
      <c r="V269" t="s">
        <v>1977</v>
      </c>
      <c r="W269" t="s">
        <v>187</v>
      </c>
      <c r="X269" t="s">
        <v>1978</v>
      </c>
      <c r="Y269" t="s">
        <v>189</v>
      </c>
      <c r="Z269" t="s">
        <v>1979</v>
      </c>
      <c r="AA269" t="s">
        <v>1980</v>
      </c>
      <c r="AB269" t="s">
        <v>1981</v>
      </c>
      <c r="AC269" t="s">
        <v>598</v>
      </c>
      <c r="AD269" t="s">
        <v>598</v>
      </c>
      <c r="AF269" t="s">
        <v>250</v>
      </c>
      <c r="AG269" t="s">
        <v>251</v>
      </c>
      <c r="AH269" s="3">
        <v>240655.96</v>
      </c>
      <c r="AI269" s="3">
        <v>240655.96</v>
      </c>
      <c r="AJ269" s="1">
        <v>46112</v>
      </c>
      <c r="AN269" t="s">
        <v>172</v>
      </c>
      <c r="AR269" s="7" t="s">
        <v>353</v>
      </c>
      <c r="AT269" t="s">
        <v>173</v>
      </c>
      <c r="AU269" t="s">
        <v>292</v>
      </c>
      <c r="AW269">
        <v>0</v>
      </c>
      <c r="AX269" s="1">
        <v>46112</v>
      </c>
      <c r="AY269" s="2">
        <v>0.455625</v>
      </c>
      <c r="AZ269">
        <v>171738</v>
      </c>
      <c r="BA269" s="1">
        <v>45937</v>
      </c>
      <c r="BC269" t="s">
        <v>0</v>
      </c>
      <c r="BD269" s="1">
        <v>46091</v>
      </c>
      <c r="BE269" t="s">
        <v>625</v>
      </c>
      <c r="BL269" s="4">
        <v>0</v>
      </c>
      <c r="BM269" s="1">
        <v>46899</v>
      </c>
      <c r="BN269" s="1">
        <v>46112</v>
      </c>
      <c r="BO269">
        <v>0</v>
      </c>
      <c r="BP269">
        <v>30106</v>
      </c>
      <c r="BQ269" t="s">
        <v>156</v>
      </c>
      <c r="BR269">
        <v>0</v>
      </c>
      <c r="BS269">
        <v>0</v>
      </c>
      <c r="BT269">
        <v>0</v>
      </c>
      <c r="BU269">
        <v>0</v>
      </c>
      <c r="BV269" s="3">
        <v>240655.96</v>
      </c>
      <c r="BX269">
        <v>0</v>
      </c>
      <c r="BZ269">
        <v>0</v>
      </c>
      <c r="CA269">
        <v>0</v>
      </c>
      <c r="CB269">
        <v>0</v>
      </c>
      <c r="CC269" s="3">
        <v>240655.96</v>
      </c>
      <c r="CD269" s="5">
        <v>0</v>
      </c>
      <c r="CF269" s="6">
        <v>46082</v>
      </c>
      <c r="CH269">
        <v>0</v>
      </c>
      <c r="CI269">
        <v>0</v>
      </c>
      <c r="CJ269">
        <v>0</v>
      </c>
      <c r="CK269">
        <v>0</v>
      </c>
      <c r="CL269">
        <v>0</v>
      </c>
      <c r="CM269">
        <v>0</v>
      </c>
      <c r="CN269">
        <v>0</v>
      </c>
      <c r="CO269">
        <v>0</v>
      </c>
      <c r="CP269">
        <v>0</v>
      </c>
      <c r="CQ269">
        <v>0</v>
      </c>
      <c r="CR269">
        <v>0</v>
      </c>
      <c r="CS269" t="s">
        <v>360</v>
      </c>
      <c r="CT269" t="s">
        <v>190</v>
      </c>
      <c r="CU269" t="s">
        <v>1975</v>
      </c>
      <c r="CW269">
        <v>-50.385199999999998</v>
      </c>
      <c r="CZ269" s="1">
        <v>46105</v>
      </c>
      <c r="DA269" t="s">
        <v>172</v>
      </c>
      <c r="DB269" t="s">
        <v>172</v>
      </c>
      <c r="DC269" t="s">
        <v>172</v>
      </c>
      <c r="DD269" t="s">
        <v>172</v>
      </c>
      <c r="DG269" s="1">
        <v>46105</v>
      </c>
      <c r="DH269">
        <v>0</v>
      </c>
      <c r="DI269">
        <v>0</v>
      </c>
      <c r="DK269" t="s">
        <v>179</v>
      </c>
      <c r="DL269" t="s">
        <v>200</v>
      </c>
      <c r="DM269" t="s">
        <v>172</v>
      </c>
      <c r="DN269" t="s">
        <v>201</v>
      </c>
      <c r="DV269" s="3">
        <v>240655.96</v>
      </c>
      <c r="DW269">
        <v>0</v>
      </c>
      <c r="DX269" s="3">
        <v>240655.96</v>
      </c>
      <c r="DY269">
        <v>0</v>
      </c>
      <c r="EF269" s="1">
        <v>46108</v>
      </c>
      <c r="EG269" s="1">
        <v>46107</v>
      </c>
      <c r="EK269" s="1">
        <v>46108</v>
      </c>
      <c r="EL269" s="1">
        <v>46108</v>
      </c>
      <c r="EN269" t="s">
        <v>156</v>
      </c>
      <c r="EP269" s="1">
        <v>46111</v>
      </c>
      <c r="ER269" s="1">
        <v>46107</v>
      </c>
      <c r="ES269" t="s">
        <v>1982</v>
      </c>
      <c r="EU269" s="1">
        <v>46107</v>
      </c>
    </row>
    <row r="270" spans="1:153" x14ac:dyDescent="0.35">
      <c r="A270" t="str">
        <f>HYPERLINK("https://7lm.cvcrm.com.br/gestor/comercial/reservas/6890/administrar","6890")</f>
        <v>6890</v>
      </c>
      <c r="B270" t="s">
        <v>172</v>
      </c>
      <c r="C270" s="1">
        <v>46105</v>
      </c>
      <c r="D270" s="2">
        <v>0.68184027777777778</v>
      </c>
      <c r="E270" t="s">
        <v>527</v>
      </c>
      <c r="F270" t="s">
        <v>458</v>
      </c>
      <c r="G270" t="s">
        <v>203</v>
      </c>
      <c r="H270" t="s">
        <v>1431</v>
      </c>
      <c r="I270" t="s">
        <v>1432</v>
      </c>
      <c r="J270">
        <v>1</v>
      </c>
      <c r="K270">
        <v>8312</v>
      </c>
      <c r="L270">
        <v>20001</v>
      </c>
      <c r="M270" t="s">
        <v>1433</v>
      </c>
      <c r="R270" t="str">
        <f>HYPERLINK("https://7lm.cvcrm.com.br/gestor/relatorios/associado/html?q[1|r.idreserva]=6890","ANA LAVINIA MAGALHAES PORTUGUES")</f>
        <v>ANA LAVINIA MAGALHAES PORTUGUES</v>
      </c>
      <c r="S270">
        <v>5013567386</v>
      </c>
      <c r="T270">
        <v>556181029691</v>
      </c>
      <c r="V270" t="s">
        <v>1972</v>
      </c>
      <c r="W270" t="s">
        <v>187</v>
      </c>
      <c r="X270" t="s">
        <v>1973</v>
      </c>
      <c r="Y270" t="s">
        <v>165</v>
      </c>
      <c r="Z270" t="s">
        <v>1030</v>
      </c>
      <c r="AA270" t="s">
        <v>1031</v>
      </c>
      <c r="AB270" t="s">
        <v>1974</v>
      </c>
      <c r="AC270" t="s">
        <v>425</v>
      </c>
      <c r="AF270" t="s">
        <v>389</v>
      </c>
      <c r="AG270" t="s">
        <v>195</v>
      </c>
      <c r="AH270" s="3">
        <v>246000</v>
      </c>
      <c r="AI270" s="3">
        <v>246000</v>
      </c>
      <c r="AJ270" s="1">
        <v>46108</v>
      </c>
      <c r="AN270" t="s">
        <v>172</v>
      </c>
      <c r="AO270" t="s">
        <v>725</v>
      </c>
      <c r="AP270" t="s">
        <v>1425</v>
      </c>
      <c r="AT270" t="s">
        <v>196</v>
      </c>
      <c r="AU270" t="s">
        <v>316</v>
      </c>
      <c r="AW270">
        <v>0</v>
      </c>
      <c r="AX270" s="1">
        <v>46105</v>
      </c>
      <c r="AY270" s="2">
        <v>0.7176851851851852</v>
      </c>
      <c r="AZ270">
        <v>197238</v>
      </c>
      <c r="BA270" s="1">
        <v>46105</v>
      </c>
      <c r="BC270" t="s">
        <v>0</v>
      </c>
      <c r="BD270" s="1">
        <v>46105</v>
      </c>
      <c r="BE270" t="s">
        <v>213</v>
      </c>
      <c r="BL270" s="4">
        <v>0</v>
      </c>
      <c r="BM270" s="1">
        <v>46572</v>
      </c>
      <c r="BO270">
        <v>0</v>
      </c>
      <c r="BP270">
        <v>29684</v>
      </c>
      <c r="BQ270" t="s">
        <v>156</v>
      </c>
      <c r="BR270" s="3">
        <v>126338.13</v>
      </c>
      <c r="BS270" s="3">
        <v>35683</v>
      </c>
      <c r="BT270">
        <v>0</v>
      </c>
      <c r="BU270" s="3">
        <v>162021.13</v>
      </c>
      <c r="BV270" s="3">
        <v>246000</v>
      </c>
      <c r="BX270">
        <v>0</v>
      </c>
      <c r="BZ270">
        <v>0</v>
      </c>
      <c r="CA270">
        <v>0</v>
      </c>
      <c r="CB270">
        <v>0</v>
      </c>
      <c r="CC270" s="3">
        <v>246000</v>
      </c>
      <c r="CD270" s="5">
        <v>0</v>
      </c>
      <c r="CE270" t="s">
        <v>467</v>
      </c>
      <c r="CF270" s="6">
        <v>46082</v>
      </c>
      <c r="CH270">
        <v>0</v>
      </c>
      <c r="CI270">
        <v>0</v>
      </c>
      <c r="CJ270">
        <v>0</v>
      </c>
      <c r="CK270">
        <v>0</v>
      </c>
      <c r="CL270">
        <v>0</v>
      </c>
      <c r="CM270">
        <v>0</v>
      </c>
      <c r="CN270">
        <v>0</v>
      </c>
      <c r="CO270">
        <v>0</v>
      </c>
      <c r="CP270">
        <v>0</v>
      </c>
      <c r="CQ270">
        <v>0</v>
      </c>
      <c r="CR270">
        <v>0</v>
      </c>
      <c r="CT270" t="s">
        <v>214</v>
      </c>
      <c r="CU270" t="s">
        <v>1432</v>
      </c>
      <c r="CW270">
        <v>0</v>
      </c>
      <c r="CZ270" s="1">
        <v>46105</v>
      </c>
      <c r="DA270" t="s">
        <v>172</v>
      </c>
      <c r="DB270" t="s">
        <v>172</v>
      </c>
      <c r="DC270" t="s">
        <v>172</v>
      </c>
      <c r="DD270" t="s">
        <v>172</v>
      </c>
      <c r="DG270" s="1">
        <v>46105</v>
      </c>
      <c r="DH270">
        <v>0</v>
      </c>
      <c r="DI270">
        <v>0</v>
      </c>
      <c r="DL270" t="s">
        <v>200</v>
      </c>
      <c r="DM270" t="s">
        <v>172</v>
      </c>
      <c r="DN270" t="s">
        <v>511</v>
      </c>
      <c r="DV270" s="3">
        <v>246000</v>
      </c>
      <c r="DW270">
        <v>0</v>
      </c>
      <c r="DX270" s="3">
        <v>246000</v>
      </c>
      <c r="DY270">
        <v>0</v>
      </c>
    </row>
    <row r="271" spans="1:153" x14ac:dyDescent="0.35">
      <c r="A271" t="str">
        <f>HYPERLINK("https://7lm.cvcrm.com.br/gestor/comercial/reservas/6889/administrar","6889")</f>
        <v>6889</v>
      </c>
      <c r="B271" t="s">
        <v>172</v>
      </c>
      <c r="C271" s="1">
        <v>46105</v>
      </c>
      <c r="D271" s="2">
        <v>0.57862268518518523</v>
      </c>
      <c r="E271" t="s">
        <v>527</v>
      </c>
      <c r="F271" t="s">
        <v>216</v>
      </c>
      <c r="G271" t="s">
        <v>159</v>
      </c>
      <c r="H271" t="s">
        <v>217</v>
      </c>
      <c r="I271" t="s">
        <v>253</v>
      </c>
      <c r="J271">
        <v>1</v>
      </c>
      <c r="L271">
        <v>20061</v>
      </c>
      <c r="M271" t="s">
        <v>1983</v>
      </c>
      <c r="R271" t="str">
        <f>HYPERLINK("https://7lm.cvcrm.com.br/gestor/relatorios/associado/html?q[1|r.idreserva]=6889","LUCAS FELIX DE MACEDO")</f>
        <v>LUCAS FELIX DE MACEDO</v>
      </c>
      <c r="S271">
        <v>2698465140</v>
      </c>
      <c r="T271">
        <v>5561983475035</v>
      </c>
      <c r="V271" t="s">
        <v>1984</v>
      </c>
      <c r="W271" t="s">
        <v>163</v>
      </c>
      <c r="Y271" t="s">
        <v>189</v>
      </c>
      <c r="Z271" t="s">
        <v>214</v>
      </c>
      <c r="AA271" t="s">
        <v>1985</v>
      </c>
      <c r="AB271" t="s">
        <v>1986</v>
      </c>
      <c r="AC271" t="s">
        <v>1987</v>
      </c>
      <c r="AD271" t="s">
        <v>1987</v>
      </c>
      <c r="AF271" t="s">
        <v>212</v>
      </c>
      <c r="AG271" t="s">
        <v>195</v>
      </c>
      <c r="AH271" s="3">
        <v>230000</v>
      </c>
      <c r="AI271" s="3">
        <v>230000</v>
      </c>
      <c r="AJ271" s="1">
        <v>47036</v>
      </c>
      <c r="AN271" t="s">
        <v>172</v>
      </c>
      <c r="AO271" t="s">
        <v>816</v>
      </c>
      <c r="AR271" t="s">
        <v>1988</v>
      </c>
      <c r="AT271" t="s">
        <v>196</v>
      </c>
      <c r="AU271" t="s">
        <v>175</v>
      </c>
      <c r="AW271">
        <v>0</v>
      </c>
      <c r="AX271" s="1">
        <v>46105</v>
      </c>
      <c r="AY271" s="2">
        <v>0.72248842592592588</v>
      </c>
      <c r="AZ271">
        <v>196745</v>
      </c>
      <c r="BA271" s="1">
        <v>46103</v>
      </c>
      <c r="BC271" t="s">
        <v>213</v>
      </c>
      <c r="BD271" s="1">
        <v>46103</v>
      </c>
      <c r="BE271" t="s">
        <v>175</v>
      </c>
      <c r="BL271" s="4">
        <v>0</v>
      </c>
      <c r="BM271" s="1">
        <v>46995</v>
      </c>
      <c r="BO271">
        <v>0</v>
      </c>
      <c r="BP271">
        <v>29973</v>
      </c>
      <c r="BQ271" t="s">
        <v>156</v>
      </c>
      <c r="BR271" s="3">
        <v>181978</v>
      </c>
      <c r="BS271">
        <v>0</v>
      </c>
      <c r="BT271">
        <v>0</v>
      </c>
      <c r="BU271" s="3">
        <v>181978</v>
      </c>
      <c r="BV271" s="3">
        <v>230000</v>
      </c>
      <c r="BX271">
        <v>0</v>
      </c>
      <c r="BZ271">
        <v>0</v>
      </c>
      <c r="CA271">
        <v>0</v>
      </c>
      <c r="CB271">
        <v>0</v>
      </c>
      <c r="CC271" s="3">
        <v>230000</v>
      </c>
      <c r="CD271" s="5">
        <v>0</v>
      </c>
      <c r="CF271" s="6">
        <v>46082</v>
      </c>
      <c r="CH271">
        <v>0</v>
      </c>
      <c r="CI271">
        <v>0</v>
      </c>
      <c r="CJ271">
        <v>0</v>
      </c>
      <c r="CK271">
        <v>0</v>
      </c>
      <c r="CL271">
        <v>0</v>
      </c>
      <c r="CM271">
        <v>0</v>
      </c>
      <c r="CN271">
        <v>0</v>
      </c>
      <c r="CO271">
        <v>0</v>
      </c>
      <c r="CP271">
        <v>0</v>
      </c>
      <c r="CQ271">
        <v>0</v>
      </c>
      <c r="CR271">
        <v>0</v>
      </c>
      <c r="CT271" t="s">
        <v>214</v>
      </c>
      <c r="CU271" t="s">
        <v>253</v>
      </c>
      <c r="CW271">
        <v>0</v>
      </c>
      <c r="CZ271" s="1">
        <v>46105</v>
      </c>
      <c r="DA271" t="s">
        <v>172</v>
      </c>
      <c r="DB271" t="s">
        <v>172</v>
      </c>
      <c r="DC271" t="s">
        <v>172</v>
      </c>
      <c r="DD271" t="s">
        <v>172</v>
      </c>
      <c r="DG271" s="1">
        <v>46105</v>
      </c>
      <c r="DH271">
        <v>0</v>
      </c>
      <c r="DI271">
        <v>0</v>
      </c>
      <c r="DK271" t="s">
        <v>179</v>
      </c>
      <c r="DL271" t="s">
        <v>224</v>
      </c>
      <c r="DM271" t="s">
        <v>172</v>
      </c>
      <c r="DN271" t="s">
        <v>525</v>
      </c>
      <c r="DV271" s="3">
        <v>230000</v>
      </c>
      <c r="DW271">
        <v>0</v>
      </c>
      <c r="DX271" s="3">
        <v>230000</v>
      </c>
      <c r="DY271">
        <v>0</v>
      </c>
      <c r="EN271" t="s">
        <v>172</v>
      </c>
      <c r="EU271" s="1">
        <v>46108</v>
      </c>
      <c r="EW271" s="1">
        <v>46105</v>
      </c>
    </row>
    <row r="272" spans="1:153" ht="246.5" x14ac:dyDescent="0.35">
      <c r="A272" t="str">
        <f>HYPERLINK("https://7lm.cvcrm.com.br/gestor/comercial/reservas/6888/administrar","6888")</f>
        <v>6888</v>
      </c>
      <c r="B272" t="s">
        <v>156</v>
      </c>
      <c r="C272" s="1">
        <v>46105</v>
      </c>
      <c r="D272" s="2">
        <v>0.56822916666666667</v>
      </c>
      <c r="E272" t="s">
        <v>294</v>
      </c>
      <c r="F272" t="s">
        <v>182</v>
      </c>
      <c r="G272" t="s">
        <v>159</v>
      </c>
      <c r="H272" t="s">
        <v>241</v>
      </c>
      <c r="I272" t="s">
        <v>1989</v>
      </c>
      <c r="J272">
        <v>1</v>
      </c>
      <c r="L272">
        <v>30151</v>
      </c>
      <c r="M272" t="s">
        <v>1990</v>
      </c>
      <c r="N272" s="1">
        <v>46108</v>
      </c>
      <c r="O272" s="2">
        <v>0.44972222222222225</v>
      </c>
      <c r="R272" t="str">
        <f>HYPERLINK("https://7lm.cvcrm.com.br/gestor/relatorios/associado/html?q[1|r.idreserva]=6888","GISLENE APARECIDA MENDONCA COSTA")</f>
        <v>GISLENE APARECIDA MENDONCA COSTA</v>
      </c>
      <c r="S272">
        <v>5572334103</v>
      </c>
      <c r="T272">
        <v>5561996871098</v>
      </c>
      <c r="V272" t="s">
        <v>1991</v>
      </c>
      <c r="W272" t="s">
        <v>187</v>
      </c>
      <c r="X272" t="s">
        <v>366</v>
      </c>
      <c r="Y272" t="s">
        <v>189</v>
      </c>
      <c r="Z272" t="s">
        <v>190</v>
      </c>
      <c r="AA272" t="s">
        <v>433</v>
      </c>
      <c r="AB272" t="s">
        <v>1992</v>
      </c>
      <c r="AC272" t="s">
        <v>1993</v>
      </c>
      <c r="AD272" t="s">
        <v>1994</v>
      </c>
      <c r="AF272" t="s">
        <v>250</v>
      </c>
      <c r="AG272" t="s">
        <v>251</v>
      </c>
      <c r="AH272" s="3">
        <v>261000.25</v>
      </c>
      <c r="AI272" s="3">
        <v>261000.25</v>
      </c>
      <c r="AJ272" s="1">
        <v>46106</v>
      </c>
      <c r="AN272" t="s">
        <v>172</v>
      </c>
      <c r="AR272" s="7" t="s">
        <v>353</v>
      </c>
      <c r="AT272" t="s">
        <v>261</v>
      </c>
      <c r="AU272" t="s">
        <v>175</v>
      </c>
      <c r="AW272">
        <v>0</v>
      </c>
      <c r="AX272" s="1">
        <v>46112</v>
      </c>
      <c r="AY272" s="2">
        <v>0.57309027777777777</v>
      </c>
      <c r="AZ272">
        <v>80759</v>
      </c>
      <c r="BA272" s="1">
        <v>44880</v>
      </c>
      <c r="BB272" s="1">
        <v>45316</v>
      </c>
      <c r="BC272" t="s">
        <v>1995</v>
      </c>
      <c r="BD272" s="1">
        <v>45316</v>
      </c>
      <c r="BE272" t="s">
        <v>317</v>
      </c>
      <c r="BL272" s="4">
        <v>0</v>
      </c>
      <c r="BM272" s="1">
        <v>46899</v>
      </c>
      <c r="BN272" s="1">
        <v>46112</v>
      </c>
      <c r="BO272">
        <v>0</v>
      </c>
      <c r="BP272">
        <v>30088</v>
      </c>
      <c r="BQ272" t="s">
        <v>156</v>
      </c>
      <c r="BR272">
        <v>0</v>
      </c>
      <c r="BS272">
        <v>0</v>
      </c>
      <c r="BT272">
        <v>0</v>
      </c>
      <c r="BU272">
        <v>0</v>
      </c>
      <c r="BV272" s="3">
        <v>261000.25</v>
      </c>
      <c r="BX272">
        <v>0</v>
      </c>
      <c r="BZ272">
        <v>0</v>
      </c>
      <c r="CA272">
        <v>0</v>
      </c>
      <c r="CB272">
        <v>0</v>
      </c>
      <c r="CC272" s="3">
        <v>261000.25</v>
      </c>
      <c r="CD272" s="5">
        <v>0</v>
      </c>
      <c r="CF272" s="6">
        <v>46082</v>
      </c>
      <c r="CH272">
        <v>0</v>
      </c>
      <c r="CI272">
        <v>0</v>
      </c>
      <c r="CJ272">
        <v>0</v>
      </c>
      <c r="CK272">
        <v>0</v>
      </c>
      <c r="CL272">
        <v>0</v>
      </c>
      <c r="CM272">
        <v>0</v>
      </c>
      <c r="CN272">
        <v>0</v>
      </c>
      <c r="CO272">
        <v>0</v>
      </c>
      <c r="CP272">
        <v>0</v>
      </c>
      <c r="CQ272">
        <v>0</v>
      </c>
      <c r="CR272">
        <v>0</v>
      </c>
      <c r="CS272" t="s">
        <v>599</v>
      </c>
      <c r="CT272" t="s">
        <v>190</v>
      </c>
      <c r="CU272" t="s">
        <v>1989</v>
      </c>
      <c r="CW272">
        <v>-52.32</v>
      </c>
      <c r="CZ272" s="1">
        <v>46105</v>
      </c>
      <c r="DA272" t="s">
        <v>172</v>
      </c>
      <c r="DB272" t="s">
        <v>172</v>
      </c>
      <c r="DC272" t="s">
        <v>172</v>
      </c>
      <c r="DD272" t="s">
        <v>172</v>
      </c>
      <c r="DG272" s="1">
        <v>46105</v>
      </c>
      <c r="DH272">
        <v>0</v>
      </c>
      <c r="DI272">
        <v>0</v>
      </c>
      <c r="DK272" t="s">
        <v>179</v>
      </c>
      <c r="DL272" t="s">
        <v>200</v>
      </c>
      <c r="DM272" t="s">
        <v>172</v>
      </c>
      <c r="DN272" t="s">
        <v>511</v>
      </c>
      <c r="DU272" t="s">
        <v>440</v>
      </c>
      <c r="DV272" s="3">
        <v>286399.75</v>
      </c>
      <c r="DW272">
        <v>-52.32</v>
      </c>
      <c r="DX272" s="3">
        <v>286399.75</v>
      </c>
      <c r="DY272">
        <v>-52.32</v>
      </c>
      <c r="EG272" s="1">
        <v>46111</v>
      </c>
      <c r="EN272" t="s">
        <v>172</v>
      </c>
      <c r="EP272" s="1">
        <v>46111</v>
      </c>
      <c r="EQ272" s="1">
        <v>46111</v>
      </c>
      <c r="ER272" s="1">
        <v>46108</v>
      </c>
      <c r="ES272" t="s">
        <v>1996</v>
      </c>
      <c r="EU272" s="1">
        <v>46108</v>
      </c>
      <c r="EV272" s="1">
        <v>46111</v>
      </c>
      <c r="EW272" s="1">
        <v>46106</v>
      </c>
    </row>
    <row r="273" spans="1:153" ht="246.5" x14ac:dyDescent="0.35">
      <c r="A273" t="str">
        <f>HYPERLINK("https://7lm.cvcrm.com.br/gestor/comercial/reservas/6887/administrar","6887")</f>
        <v>6887</v>
      </c>
      <c r="B273" t="s">
        <v>156</v>
      </c>
      <c r="C273" s="1">
        <v>46105</v>
      </c>
      <c r="D273" s="2">
        <v>0.56380787037037039</v>
      </c>
      <c r="E273" t="s">
        <v>294</v>
      </c>
      <c r="F273" t="s">
        <v>202</v>
      </c>
      <c r="G273" t="s">
        <v>203</v>
      </c>
      <c r="H273" t="s">
        <v>513</v>
      </c>
      <c r="I273" t="s">
        <v>1997</v>
      </c>
      <c r="J273">
        <v>1</v>
      </c>
      <c r="L273">
        <v>20031</v>
      </c>
      <c r="M273" t="s">
        <v>1998</v>
      </c>
      <c r="N273" s="1">
        <v>46106</v>
      </c>
      <c r="O273" s="2">
        <v>0.69456018518518514</v>
      </c>
      <c r="R273" t="str">
        <f>HYPERLINK("https://7lm.cvcrm.com.br/gestor/relatorios/associado/html?q[1|r.idreserva]=6887","JULIANA PEREIRA DA MATA")</f>
        <v>JULIANA PEREIRA DA MATA</v>
      </c>
      <c r="S273">
        <v>5070386140</v>
      </c>
      <c r="T273">
        <v>5561993674500</v>
      </c>
      <c r="V273" t="s">
        <v>1999</v>
      </c>
      <c r="W273" t="s">
        <v>187</v>
      </c>
      <c r="X273" t="s">
        <v>1978</v>
      </c>
      <c r="Y273" t="s">
        <v>165</v>
      </c>
      <c r="Z273" t="s">
        <v>1088</v>
      </c>
      <c r="AA273" t="s">
        <v>1787</v>
      </c>
      <c r="AB273" t="s">
        <v>2000</v>
      </c>
      <c r="AC273" t="s">
        <v>633</v>
      </c>
      <c r="AF273" t="s">
        <v>413</v>
      </c>
      <c r="AG273" t="s">
        <v>195</v>
      </c>
      <c r="AH273" s="3">
        <v>217004.15</v>
      </c>
      <c r="AI273" s="3">
        <v>217004.15</v>
      </c>
      <c r="AJ273" s="1">
        <v>46167</v>
      </c>
      <c r="AN273" t="s">
        <v>172</v>
      </c>
      <c r="AR273" s="7" t="s">
        <v>353</v>
      </c>
      <c r="AT273" t="s">
        <v>196</v>
      </c>
      <c r="AU273" t="s">
        <v>292</v>
      </c>
      <c r="AW273">
        <v>0</v>
      </c>
      <c r="AX273" s="1">
        <v>46106</v>
      </c>
      <c r="AY273" s="2">
        <v>0.66519675925925925</v>
      </c>
      <c r="AZ273">
        <v>184340</v>
      </c>
      <c r="BA273" s="1">
        <v>46038</v>
      </c>
      <c r="BC273" t="s">
        <v>176</v>
      </c>
      <c r="BD273" s="1">
        <v>46038</v>
      </c>
      <c r="BE273" t="s">
        <v>176</v>
      </c>
      <c r="BL273" s="4">
        <v>0</v>
      </c>
      <c r="BM273" s="1">
        <v>46808</v>
      </c>
      <c r="BN273" s="1">
        <v>46106</v>
      </c>
      <c r="BO273">
        <v>0</v>
      </c>
      <c r="BP273">
        <v>29988</v>
      </c>
      <c r="BQ273" t="s">
        <v>156</v>
      </c>
      <c r="BR273" s="3">
        <v>107024.87</v>
      </c>
      <c r="BS273" s="3">
        <v>55000</v>
      </c>
      <c r="BT273">
        <v>0</v>
      </c>
      <c r="BU273" s="3">
        <v>162024.87</v>
      </c>
      <c r="BV273" s="3">
        <v>217004.15</v>
      </c>
      <c r="BX273">
        <v>0</v>
      </c>
      <c r="BZ273">
        <v>0</v>
      </c>
      <c r="CA273">
        <v>0</v>
      </c>
      <c r="CB273">
        <v>0</v>
      </c>
      <c r="CC273" s="3">
        <v>217004.15</v>
      </c>
      <c r="CD273" s="5">
        <v>0</v>
      </c>
      <c r="CF273" s="6">
        <v>46082</v>
      </c>
      <c r="CH273">
        <v>0</v>
      </c>
      <c r="CI273">
        <v>0</v>
      </c>
      <c r="CJ273">
        <v>0</v>
      </c>
      <c r="CK273">
        <v>0</v>
      </c>
      <c r="CL273">
        <v>0</v>
      </c>
      <c r="CM273">
        <v>0</v>
      </c>
      <c r="CN273">
        <v>0</v>
      </c>
      <c r="CO273">
        <v>0</v>
      </c>
      <c r="CP273">
        <v>0</v>
      </c>
      <c r="CQ273">
        <v>0</v>
      </c>
      <c r="CR273">
        <v>0</v>
      </c>
      <c r="CS273" t="s">
        <v>360</v>
      </c>
      <c r="CT273" t="s">
        <v>214</v>
      </c>
      <c r="CU273" t="s">
        <v>1997</v>
      </c>
      <c r="CW273">
        <v>-53.6813</v>
      </c>
      <c r="CZ273" s="1">
        <v>46105</v>
      </c>
      <c r="DA273" t="s">
        <v>172</v>
      </c>
      <c r="DB273" t="s">
        <v>172</v>
      </c>
      <c r="DC273" t="s">
        <v>172</v>
      </c>
      <c r="DD273" t="s">
        <v>172</v>
      </c>
      <c r="DG273" s="1">
        <v>46105</v>
      </c>
      <c r="DH273">
        <v>0</v>
      </c>
      <c r="DI273">
        <v>0</v>
      </c>
      <c r="DL273" t="s">
        <v>215</v>
      </c>
      <c r="DM273" t="s">
        <v>172</v>
      </c>
      <c r="DN273" t="s">
        <v>201</v>
      </c>
      <c r="DV273" s="3">
        <v>217004.15</v>
      </c>
      <c r="DW273">
        <v>0</v>
      </c>
      <c r="DX273" s="3">
        <v>217004.15</v>
      </c>
      <c r="DY273">
        <v>0</v>
      </c>
      <c r="EF273" s="1">
        <v>46106</v>
      </c>
      <c r="EG273" s="1">
        <v>46105</v>
      </c>
      <c r="EK273" s="1">
        <v>46106</v>
      </c>
      <c r="EN273" t="s">
        <v>156</v>
      </c>
      <c r="EP273" s="1">
        <v>46105</v>
      </c>
      <c r="ET273" t="s">
        <v>1074</v>
      </c>
      <c r="EU273" s="1">
        <v>46111</v>
      </c>
      <c r="EW273" s="1">
        <v>46105</v>
      </c>
    </row>
    <row r="274" spans="1:153" ht="246.5" x14ac:dyDescent="0.35">
      <c r="A274" t="str">
        <f>HYPERLINK("https://7lm.cvcrm.com.br/gestor/comercial/reservas/6886/administrar","6886")</f>
        <v>6886</v>
      </c>
      <c r="B274" t="s">
        <v>156</v>
      </c>
      <c r="C274" s="1">
        <v>46105</v>
      </c>
      <c r="D274" s="2">
        <v>0.52222222222222225</v>
      </c>
      <c r="E274" t="s">
        <v>294</v>
      </c>
      <c r="F274" t="s">
        <v>202</v>
      </c>
      <c r="G274" t="s">
        <v>203</v>
      </c>
      <c r="H274" t="s">
        <v>217</v>
      </c>
      <c r="I274" t="s">
        <v>2001</v>
      </c>
      <c r="J274">
        <v>1</v>
      </c>
      <c r="L274">
        <v>20031</v>
      </c>
      <c r="M274" t="s">
        <v>2002</v>
      </c>
      <c r="N274" s="1">
        <v>46108</v>
      </c>
      <c r="O274" s="2">
        <v>0.64101851851851854</v>
      </c>
      <c r="R274" t="str">
        <f>HYPERLINK("https://7lm.cvcrm.com.br/gestor/relatorios/associado/html?q[1|r.idreserva]=6886","ERICA ALVES DO NASCIMENTO")</f>
        <v>ERICA ALVES DO NASCIMENTO</v>
      </c>
      <c r="S274">
        <v>11868232166</v>
      </c>
      <c r="T274">
        <v>5561999988178</v>
      </c>
      <c r="V274" t="s">
        <v>2003</v>
      </c>
      <c r="W274" t="s">
        <v>187</v>
      </c>
      <c r="X274" t="s">
        <v>521</v>
      </c>
      <c r="Y274" t="s">
        <v>189</v>
      </c>
      <c r="Z274" t="s">
        <v>214</v>
      </c>
      <c r="AA274" t="s">
        <v>1191</v>
      </c>
      <c r="AB274" t="s">
        <v>2004</v>
      </c>
      <c r="AC274" t="s">
        <v>613</v>
      </c>
      <c r="AF274" t="s">
        <v>389</v>
      </c>
      <c r="AG274" t="s">
        <v>195</v>
      </c>
      <c r="AH274" s="3">
        <v>234999.71</v>
      </c>
      <c r="AI274" s="3">
        <v>234999.71</v>
      </c>
      <c r="AJ274" s="1">
        <v>46167</v>
      </c>
      <c r="AN274" t="s">
        <v>172</v>
      </c>
      <c r="AR274" s="7" t="s">
        <v>353</v>
      </c>
      <c r="AT274" t="s">
        <v>196</v>
      </c>
      <c r="AU274" t="s">
        <v>316</v>
      </c>
      <c r="AW274">
        <v>0</v>
      </c>
      <c r="AX274" s="1">
        <v>46111</v>
      </c>
      <c r="AY274" s="2">
        <v>0.46872685185185187</v>
      </c>
      <c r="AZ274">
        <v>150601</v>
      </c>
      <c r="BA274" s="1">
        <v>45714</v>
      </c>
      <c r="BC274" t="s">
        <v>0</v>
      </c>
      <c r="BD274" s="1">
        <v>46105</v>
      </c>
      <c r="BE274" t="s">
        <v>427</v>
      </c>
      <c r="BL274" s="4">
        <v>0</v>
      </c>
      <c r="BM274" s="1">
        <v>46808</v>
      </c>
      <c r="BN274" s="1">
        <v>46111</v>
      </c>
      <c r="BO274">
        <v>0</v>
      </c>
      <c r="BP274">
        <v>29351</v>
      </c>
      <c r="BQ274" t="s">
        <v>156</v>
      </c>
      <c r="BR274" s="3">
        <v>125512.91</v>
      </c>
      <c r="BS274" s="3">
        <v>39443</v>
      </c>
      <c r="BT274">
        <v>0</v>
      </c>
      <c r="BU274" s="3">
        <v>164955.91</v>
      </c>
      <c r="BV274" s="3">
        <v>234999.71</v>
      </c>
      <c r="BX274">
        <v>0</v>
      </c>
      <c r="BZ274">
        <v>0</v>
      </c>
      <c r="CA274">
        <v>0</v>
      </c>
      <c r="CB274">
        <v>0</v>
      </c>
      <c r="CC274" s="3">
        <v>234999.71</v>
      </c>
      <c r="CD274" s="5">
        <v>0</v>
      </c>
      <c r="CF274" s="6">
        <v>46082</v>
      </c>
      <c r="CH274">
        <v>0</v>
      </c>
      <c r="CI274">
        <v>0</v>
      </c>
      <c r="CJ274">
        <v>0</v>
      </c>
      <c r="CK274">
        <v>0</v>
      </c>
      <c r="CL274">
        <v>0</v>
      </c>
      <c r="CM274">
        <v>0</v>
      </c>
      <c r="CN274">
        <v>0</v>
      </c>
      <c r="CO274">
        <v>0</v>
      </c>
      <c r="CP274">
        <v>0</v>
      </c>
      <c r="CQ274">
        <v>0</v>
      </c>
      <c r="CR274">
        <v>0</v>
      </c>
      <c r="CS274" t="s">
        <v>428</v>
      </c>
      <c r="CT274" t="s">
        <v>214</v>
      </c>
      <c r="CU274" t="s">
        <v>2001</v>
      </c>
      <c r="CW274">
        <v>-51.982100000000003</v>
      </c>
      <c r="CZ274" s="1">
        <v>46105</v>
      </c>
      <c r="DA274" t="s">
        <v>172</v>
      </c>
      <c r="DB274" t="s">
        <v>172</v>
      </c>
      <c r="DC274" t="s">
        <v>172</v>
      </c>
      <c r="DD274" t="s">
        <v>172</v>
      </c>
      <c r="DG274" s="1">
        <v>46105</v>
      </c>
      <c r="DH274">
        <v>0</v>
      </c>
      <c r="DI274">
        <v>0</v>
      </c>
      <c r="DL274" t="s">
        <v>224</v>
      </c>
      <c r="DM274" t="s">
        <v>172</v>
      </c>
      <c r="DN274" t="s">
        <v>525</v>
      </c>
      <c r="DV274" s="3">
        <v>234999.71</v>
      </c>
      <c r="DW274">
        <v>0</v>
      </c>
      <c r="DX274" s="3">
        <v>234999.71</v>
      </c>
      <c r="DY274">
        <v>0</v>
      </c>
      <c r="EF274" s="1">
        <v>46112</v>
      </c>
      <c r="EG274" s="1">
        <v>46108</v>
      </c>
      <c r="EK274" s="1">
        <v>46112</v>
      </c>
      <c r="EP274" s="1">
        <v>46108</v>
      </c>
    </row>
    <row r="275" spans="1:153" ht="246.5" x14ac:dyDescent="0.35">
      <c r="A275" t="str">
        <f>HYPERLINK("https://7lm.cvcrm.com.br/gestor/comercial/reservas/6885/administrar","6885")</f>
        <v>6885</v>
      </c>
      <c r="B275" t="s">
        <v>156</v>
      </c>
      <c r="C275" s="1">
        <v>46105</v>
      </c>
      <c r="D275" s="2">
        <v>0.52196759259259262</v>
      </c>
      <c r="E275" t="s">
        <v>294</v>
      </c>
      <c r="F275" t="s">
        <v>182</v>
      </c>
      <c r="G275" t="s">
        <v>159</v>
      </c>
      <c r="H275" t="s">
        <v>1371</v>
      </c>
      <c r="I275" t="s">
        <v>2005</v>
      </c>
      <c r="J275">
        <v>1</v>
      </c>
      <c r="L275">
        <v>30151</v>
      </c>
      <c r="M275" t="s">
        <v>2006</v>
      </c>
      <c r="N275" s="1">
        <v>46113</v>
      </c>
      <c r="O275" s="2">
        <v>0.67495370370370367</v>
      </c>
      <c r="R275" t="str">
        <f>HYPERLINK("https://7lm.cvcrm.com.br/gestor/relatorios/associado/html?q[1|r.idreserva]=6885","ANA SOFIA BRITO MARTINS DA SILVA")</f>
        <v>ANA SOFIA BRITO MARTINS DA SILVA</v>
      </c>
      <c r="S275">
        <v>9042593156</v>
      </c>
      <c r="T275">
        <v>5561996345447</v>
      </c>
      <c r="V275" t="s">
        <v>2007</v>
      </c>
      <c r="W275" t="s">
        <v>187</v>
      </c>
      <c r="X275" t="s">
        <v>2008</v>
      </c>
      <c r="Y275" t="s">
        <v>189</v>
      </c>
      <c r="Z275" t="s">
        <v>190</v>
      </c>
      <c r="AA275" t="s">
        <v>902</v>
      </c>
      <c r="AB275" t="s">
        <v>2009</v>
      </c>
      <c r="AC275" t="s">
        <v>2010</v>
      </c>
      <c r="AD275" t="s">
        <v>2011</v>
      </c>
      <c r="AF275" t="s">
        <v>250</v>
      </c>
      <c r="AG275" t="s">
        <v>251</v>
      </c>
      <c r="AH275" s="3">
        <v>240933.24</v>
      </c>
      <c r="AI275" s="3">
        <v>240933.24</v>
      </c>
      <c r="AJ275" s="1">
        <v>46106</v>
      </c>
      <c r="AN275" t="s">
        <v>172</v>
      </c>
      <c r="AR275" s="7" t="s">
        <v>353</v>
      </c>
      <c r="AT275" t="s">
        <v>173</v>
      </c>
      <c r="AU275" t="s">
        <v>175</v>
      </c>
      <c r="AW275">
        <v>0</v>
      </c>
      <c r="AX275" s="1">
        <v>46112</v>
      </c>
      <c r="AY275" s="2">
        <v>0.57609953703703709</v>
      </c>
      <c r="AZ275">
        <v>197178</v>
      </c>
      <c r="BA275" s="1">
        <v>46105</v>
      </c>
      <c r="BC275" t="s">
        <v>213</v>
      </c>
      <c r="BD275" s="1">
        <v>46105</v>
      </c>
      <c r="BE275" t="s">
        <v>175</v>
      </c>
      <c r="BL275" s="4">
        <v>0</v>
      </c>
      <c r="BM275" s="1">
        <v>46899</v>
      </c>
      <c r="BN275" s="1">
        <v>46112</v>
      </c>
      <c r="BO275">
        <v>0</v>
      </c>
      <c r="BP275">
        <v>30085</v>
      </c>
      <c r="BQ275" t="s">
        <v>156</v>
      </c>
      <c r="BR275">
        <v>0</v>
      </c>
      <c r="BS275">
        <v>0</v>
      </c>
      <c r="BT275">
        <v>0</v>
      </c>
      <c r="BU275">
        <v>0</v>
      </c>
      <c r="BV275" s="3">
        <v>240933.24</v>
      </c>
      <c r="BX275">
        <v>0</v>
      </c>
      <c r="BZ275">
        <v>0</v>
      </c>
      <c r="CA275">
        <v>0</v>
      </c>
      <c r="CB275">
        <v>0</v>
      </c>
      <c r="CC275" s="3">
        <v>240933.24</v>
      </c>
      <c r="CD275" s="5">
        <v>0</v>
      </c>
      <c r="CF275" s="6">
        <v>46082</v>
      </c>
      <c r="CH275">
        <v>0</v>
      </c>
      <c r="CI275">
        <v>0</v>
      </c>
      <c r="CJ275">
        <v>0</v>
      </c>
      <c r="CK275">
        <v>0</v>
      </c>
      <c r="CL275">
        <v>0</v>
      </c>
      <c r="CM275">
        <v>0</v>
      </c>
      <c r="CN275">
        <v>0</v>
      </c>
      <c r="CO275">
        <v>0</v>
      </c>
      <c r="CP275">
        <v>0</v>
      </c>
      <c r="CQ275">
        <v>0</v>
      </c>
      <c r="CR275">
        <v>0</v>
      </c>
      <c r="CS275" t="s">
        <v>360</v>
      </c>
      <c r="CT275" t="s">
        <v>190</v>
      </c>
      <c r="CU275" t="s">
        <v>2005</v>
      </c>
      <c r="CW275">
        <v>-51.851300000000002</v>
      </c>
      <c r="CZ275" s="1">
        <v>46105</v>
      </c>
      <c r="DA275" t="s">
        <v>172</v>
      </c>
      <c r="DB275" t="s">
        <v>172</v>
      </c>
      <c r="DC275" t="s">
        <v>172</v>
      </c>
      <c r="DD275" t="s">
        <v>172</v>
      </c>
      <c r="DG275" s="1">
        <v>46105</v>
      </c>
      <c r="DH275">
        <v>0</v>
      </c>
      <c r="DI275">
        <v>0</v>
      </c>
      <c r="DK275" t="s">
        <v>179</v>
      </c>
      <c r="DL275" t="s">
        <v>200</v>
      </c>
      <c r="DM275" t="s">
        <v>172</v>
      </c>
      <c r="DN275" t="s">
        <v>201</v>
      </c>
      <c r="DV275" s="3">
        <v>240933.24</v>
      </c>
      <c r="DW275">
        <v>0</v>
      </c>
      <c r="DX275" s="3">
        <v>240933.24</v>
      </c>
      <c r="DY275">
        <v>0</v>
      </c>
      <c r="EN275" t="s">
        <v>156</v>
      </c>
      <c r="EP275" s="1">
        <v>46111</v>
      </c>
      <c r="EQ275" s="1">
        <v>46111</v>
      </c>
      <c r="ER275" s="1">
        <v>46111</v>
      </c>
      <c r="ES275" t="s">
        <v>2012</v>
      </c>
      <c r="ET275" t="s">
        <v>2013</v>
      </c>
      <c r="EU275" s="1">
        <v>46108</v>
      </c>
      <c r="EV275" s="1">
        <v>46111</v>
      </c>
      <c r="EW275" s="1">
        <v>46106</v>
      </c>
    </row>
    <row r="276" spans="1:153" ht="116" x14ac:dyDescent="0.35">
      <c r="A276" t="str">
        <f>HYPERLINK("https://7lm.cvcrm.com.br/gestor/comercial/reservas/6884/administrar","6884")</f>
        <v>6884</v>
      </c>
      <c r="B276" t="s">
        <v>172</v>
      </c>
      <c r="C276" s="1">
        <v>46105</v>
      </c>
      <c r="D276" s="2">
        <v>0.4954513888888889</v>
      </c>
      <c r="E276" t="s">
        <v>527</v>
      </c>
      <c r="F276" t="s">
        <v>182</v>
      </c>
      <c r="G276" t="s">
        <v>159</v>
      </c>
      <c r="H276" t="s">
        <v>183</v>
      </c>
      <c r="I276" t="s">
        <v>1283</v>
      </c>
      <c r="J276">
        <v>1</v>
      </c>
      <c r="L276">
        <v>30151</v>
      </c>
      <c r="M276" t="s">
        <v>1284</v>
      </c>
      <c r="R276" t="str">
        <f>HYPERLINK("https://7lm.cvcrm.com.br/gestor/relatorios/associado/html?q[1|r.idreserva]=6884","JHENNYFER DO CARMO BORGES")</f>
        <v>JHENNYFER DO CARMO BORGES</v>
      </c>
      <c r="S276">
        <v>9273010164</v>
      </c>
      <c r="T276">
        <v>5561999121240</v>
      </c>
      <c r="V276" t="s">
        <v>2014</v>
      </c>
      <c r="W276" t="s">
        <v>187</v>
      </c>
      <c r="X276" t="s">
        <v>376</v>
      </c>
      <c r="Y276" t="s">
        <v>189</v>
      </c>
      <c r="Z276" t="s">
        <v>190</v>
      </c>
      <c r="AA276" t="s">
        <v>980</v>
      </c>
      <c r="AB276" t="s">
        <v>2015</v>
      </c>
      <c r="AC276" t="s">
        <v>589</v>
      </c>
      <c r="AF276" t="s">
        <v>194</v>
      </c>
      <c r="AG276" t="s">
        <v>251</v>
      </c>
      <c r="AH276" s="3">
        <v>243000.42</v>
      </c>
      <c r="AI276" s="3">
        <v>243000.42</v>
      </c>
      <c r="AJ276" s="1">
        <v>46105</v>
      </c>
      <c r="AN276" t="s">
        <v>172</v>
      </c>
      <c r="AO276" t="s">
        <v>816</v>
      </c>
      <c r="AR276" s="7" t="s">
        <v>2016</v>
      </c>
      <c r="AT276" t="s">
        <v>261</v>
      </c>
      <c r="AU276" t="s">
        <v>292</v>
      </c>
      <c r="AW276">
        <v>0</v>
      </c>
      <c r="AX276" s="1">
        <v>46111</v>
      </c>
      <c r="AY276" s="2">
        <v>0.52509259259259256</v>
      </c>
      <c r="AZ276">
        <v>182553</v>
      </c>
      <c r="BA276" s="1">
        <v>46028</v>
      </c>
      <c r="BC276" t="s">
        <v>0</v>
      </c>
      <c r="BD276" s="1">
        <v>46105</v>
      </c>
      <c r="BE276" t="s">
        <v>262</v>
      </c>
      <c r="BL276" s="4">
        <v>0</v>
      </c>
      <c r="BM276" s="1">
        <v>46899</v>
      </c>
      <c r="BO276">
        <v>0</v>
      </c>
      <c r="BP276">
        <v>27211</v>
      </c>
      <c r="BQ276" t="s">
        <v>156</v>
      </c>
      <c r="BR276" s="3">
        <v>117495.72</v>
      </c>
      <c r="BS276" s="3">
        <v>43762</v>
      </c>
      <c r="BT276">
        <v>0</v>
      </c>
      <c r="BU276" s="3">
        <v>161257.72</v>
      </c>
      <c r="BV276" s="3">
        <v>243000.42</v>
      </c>
      <c r="BX276">
        <v>0</v>
      </c>
      <c r="BZ276">
        <v>0</v>
      </c>
      <c r="CA276">
        <v>0</v>
      </c>
      <c r="CB276">
        <v>0</v>
      </c>
      <c r="CC276" s="3">
        <v>243000.42</v>
      </c>
      <c r="CD276" s="5">
        <v>0</v>
      </c>
      <c r="CF276" s="6">
        <v>46082</v>
      </c>
      <c r="CH276">
        <v>0</v>
      </c>
      <c r="CI276">
        <v>0</v>
      </c>
      <c r="CJ276">
        <v>0</v>
      </c>
      <c r="CK276">
        <v>0</v>
      </c>
      <c r="CL276">
        <v>0</v>
      </c>
      <c r="CM276">
        <v>0</v>
      </c>
      <c r="CN276">
        <v>0</v>
      </c>
      <c r="CO276">
        <v>0</v>
      </c>
      <c r="CP276">
        <v>0</v>
      </c>
      <c r="CQ276">
        <v>0</v>
      </c>
      <c r="CR276">
        <v>0</v>
      </c>
      <c r="CT276" t="s">
        <v>190</v>
      </c>
      <c r="CU276" t="s">
        <v>1283</v>
      </c>
      <c r="CW276">
        <v>0</v>
      </c>
      <c r="CZ276" s="1">
        <v>46105</v>
      </c>
      <c r="DA276" t="s">
        <v>172</v>
      </c>
      <c r="DB276" t="s">
        <v>172</v>
      </c>
      <c r="DC276" t="s">
        <v>172</v>
      </c>
      <c r="DD276" t="s">
        <v>172</v>
      </c>
      <c r="DG276" s="1">
        <v>46105</v>
      </c>
      <c r="DH276">
        <v>0</v>
      </c>
      <c r="DI276">
        <v>0</v>
      </c>
      <c r="DK276" t="s">
        <v>179</v>
      </c>
      <c r="DL276" t="s">
        <v>200</v>
      </c>
      <c r="DM276" t="s">
        <v>172</v>
      </c>
      <c r="DN276" t="s">
        <v>201</v>
      </c>
      <c r="DV276" s="3">
        <v>243000.42</v>
      </c>
      <c r="DW276">
        <v>0</v>
      </c>
      <c r="DX276" s="3">
        <v>243000.42</v>
      </c>
      <c r="DY276">
        <v>0</v>
      </c>
      <c r="EN276" t="s">
        <v>156</v>
      </c>
      <c r="ET276" t="s">
        <v>2017</v>
      </c>
      <c r="EW276" s="1">
        <v>46105</v>
      </c>
    </row>
    <row r="277" spans="1:153" x14ac:dyDescent="0.35">
      <c r="A277" t="str">
        <f>HYPERLINK("https://7lm.cvcrm.com.br/gestor/comercial/reservas/6883/administrar","6883")</f>
        <v>6883</v>
      </c>
      <c r="B277" t="s">
        <v>172</v>
      </c>
      <c r="C277" s="1">
        <v>46105</v>
      </c>
      <c r="D277" s="2">
        <v>0.46313657407407405</v>
      </c>
      <c r="E277" t="s">
        <v>527</v>
      </c>
      <c r="F277" t="s">
        <v>182</v>
      </c>
      <c r="G277" t="s">
        <v>159</v>
      </c>
      <c r="H277" t="s">
        <v>241</v>
      </c>
      <c r="I277" t="s">
        <v>1214</v>
      </c>
      <c r="J277">
        <v>1</v>
      </c>
      <c r="L277">
        <v>30151</v>
      </c>
      <c r="M277" t="s">
        <v>1215</v>
      </c>
      <c r="R277" t="str">
        <f>HYPERLINK("https://7lm.cvcrm.com.br/gestor/relatorios/associado/html?q[1|r.idreserva]=6883","ALEXANDRE RIBEIRO DA SILVA")</f>
        <v>ALEXANDRE RIBEIRO DA SILVA</v>
      </c>
      <c r="S277">
        <v>12114142990</v>
      </c>
      <c r="T277">
        <v>5547996862244</v>
      </c>
      <c r="V277" t="s">
        <v>2018</v>
      </c>
      <c r="W277" t="s">
        <v>163</v>
      </c>
      <c r="X277" t="s">
        <v>2019</v>
      </c>
      <c r="Y277" t="s">
        <v>189</v>
      </c>
      <c r="Z277" t="s">
        <v>842</v>
      </c>
      <c r="AA277" t="s">
        <v>1865</v>
      </c>
      <c r="AB277" t="s">
        <v>2020</v>
      </c>
      <c r="AC277" t="s">
        <v>193</v>
      </c>
      <c r="AF277" t="s">
        <v>194</v>
      </c>
      <c r="AG277" t="s">
        <v>195</v>
      </c>
      <c r="AH277" s="3">
        <v>242049.44</v>
      </c>
      <c r="AI277" s="3">
        <v>242049.44</v>
      </c>
      <c r="AJ277" s="1">
        <v>46105</v>
      </c>
      <c r="AN277" t="s">
        <v>172</v>
      </c>
      <c r="AO277" t="s">
        <v>716</v>
      </c>
      <c r="AR277" t="s">
        <v>2021</v>
      </c>
      <c r="AT277" t="s">
        <v>261</v>
      </c>
      <c r="AU277" t="s">
        <v>292</v>
      </c>
      <c r="AW277">
        <v>0</v>
      </c>
      <c r="AX277" s="1">
        <v>46135</v>
      </c>
      <c r="AY277" s="2">
        <v>0.40424768518518517</v>
      </c>
      <c r="AZ277">
        <v>189448</v>
      </c>
      <c r="BA277" s="1">
        <v>46067</v>
      </c>
      <c r="BC277" t="s">
        <v>0</v>
      </c>
      <c r="BD277" s="1">
        <v>46105</v>
      </c>
      <c r="BE277" t="s">
        <v>198</v>
      </c>
      <c r="BL277" s="4">
        <v>0</v>
      </c>
      <c r="BM277" s="1">
        <v>46899</v>
      </c>
      <c r="BO277">
        <v>0</v>
      </c>
      <c r="BP277">
        <v>29960</v>
      </c>
      <c r="BQ277" t="s">
        <v>156</v>
      </c>
      <c r="BR277" s="3">
        <v>153847.35999999999</v>
      </c>
      <c r="BS277" s="3">
        <v>9257</v>
      </c>
      <c r="BT277">
        <v>0</v>
      </c>
      <c r="BU277" s="3">
        <v>163104.35999999999</v>
      </c>
      <c r="BV277" s="3">
        <v>242049.44</v>
      </c>
      <c r="BX277">
        <v>0</v>
      </c>
      <c r="BZ277">
        <v>0</v>
      </c>
      <c r="CA277">
        <v>0</v>
      </c>
      <c r="CB277">
        <v>0</v>
      </c>
      <c r="CC277" s="3">
        <v>242049.44</v>
      </c>
      <c r="CD277" s="5">
        <v>0</v>
      </c>
      <c r="CF277" s="6">
        <v>46113</v>
      </c>
      <c r="CH277">
        <v>0</v>
      </c>
      <c r="CI277">
        <v>0</v>
      </c>
      <c r="CJ277">
        <v>0</v>
      </c>
      <c r="CK277">
        <v>0</v>
      </c>
      <c r="CL277">
        <v>0</v>
      </c>
      <c r="CM277">
        <v>0</v>
      </c>
      <c r="CN277">
        <v>0</v>
      </c>
      <c r="CO277">
        <v>0</v>
      </c>
      <c r="CP277">
        <v>0</v>
      </c>
      <c r="CQ277">
        <v>0</v>
      </c>
      <c r="CR277">
        <v>0</v>
      </c>
      <c r="CT277" t="s">
        <v>190</v>
      </c>
      <c r="CU277" t="s">
        <v>1214</v>
      </c>
      <c r="CW277">
        <v>0</v>
      </c>
      <c r="CZ277" s="1">
        <v>46105</v>
      </c>
      <c r="DA277" t="s">
        <v>172</v>
      </c>
      <c r="DB277" t="s">
        <v>172</v>
      </c>
      <c r="DC277" t="s">
        <v>172</v>
      </c>
      <c r="DD277" t="s">
        <v>172</v>
      </c>
      <c r="DG277" s="1">
        <v>46105</v>
      </c>
      <c r="DH277">
        <v>0</v>
      </c>
      <c r="DI277">
        <v>0</v>
      </c>
      <c r="DK277" t="s">
        <v>179</v>
      </c>
      <c r="DL277" t="s">
        <v>200</v>
      </c>
      <c r="DM277" t="s">
        <v>172</v>
      </c>
      <c r="DN277" t="s">
        <v>201</v>
      </c>
      <c r="DU277" t="s">
        <v>440</v>
      </c>
      <c r="DV277" s="3">
        <v>290350.56</v>
      </c>
      <c r="DW277">
        <v>-54.54</v>
      </c>
      <c r="DX277" s="3">
        <v>290350.56</v>
      </c>
      <c r="DY277">
        <v>-54.54</v>
      </c>
      <c r="EN277" t="s">
        <v>537</v>
      </c>
      <c r="ET277" t="s">
        <v>802</v>
      </c>
      <c r="EW277" s="1">
        <v>46105</v>
      </c>
    </row>
    <row r="278" spans="1:153" ht="409.5" x14ac:dyDescent="0.35">
      <c r="A278" t="str">
        <f>HYPERLINK("https://7lm.cvcrm.com.br/gestor/comercial/reservas/6882/administrar","6882")</f>
        <v>6882</v>
      </c>
      <c r="B278" t="s">
        <v>172</v>
      </c>
      <c r="C278" s="1">
        <v>46104</v>
      </c>
      <c r="D278" s="2">
        <v>0.7941435185185185</v>
      </c>
      <c r="E278" t="s">
        <v>527</v>
      </c>
      <c r="F278" t="s">
        <v>202</v>
      </c>
      <c r="G278" t="s">
        <v>203</v>
      </c>
      <c r="H278" t="s">
        <v>319</v>
      </c>
      <c r="I278" t="s">
        <v>1188</v>
      </c>
      <c r="J278">
        <v>1</v>
      </c>
      <c r="L278">
        <v>20031</v>
      </c>
      <c r="M278" t="s">
        <v>1189</v>
      </c>
      <c r="R278" t="str">
        <f>HYPERLINK("https://7lm.cvcrm.com.br/gestor/relatorios/associado/html?q[1|r.idreserva]=6882","ALEXANDRE SOUZA DE FIGUEREDO")</f>
        <v>ALEXANDRE SOUZA DE FIGUEREDO</v>
      </c>
      <c r="S278">
        <v>8800825508</v>
      </c>
      <c r="T278">
        <v>556199297608</v>
      </c>
      <c r="V278" t="s">
        <v>2022</v>
      </c>
      <c r="W278" t="s">
        <v>163</v>
      </c>
      <c r="X278" t="s">
        <v>521</v>
      </c>
      <c r="Y278" t="s">
        <v>165</v>
      </c>
      <c r="Z278" t="s">
        <v>257</v>
      </c>
      <c r="AA278" t="s">
        <v>386</v>
      </c>
      <c r="AB278" t="s">
        <v>2023</v>
      </c>
      <c r="AC278" t="s">
        <v>398</v>
      </c>
      <c r="AF278" t="s">
        <v>399</v>
      </c>
      <c r="AG278" t="s">
        <v>195</v>
      </c>
      <c r="AH278" s="3">
        <v>228000.66</v>
      </c>
      <c r="AI278" s="3">
        <v>228000.66</v>
      </c>
      <c r="AJ278" s="1">
        <v>46157</v>
      </c>
      <c r="AN278" t="s">
        <v>172</v>
      </c>
      <c r="AO278" t="s">
        <v>1334</v>
      </c>
      <c r="AR278" s="7" t="s">
        <v>2024</v>
      </c>
      <c r="AT278" t="s">
        <v>196</v>
      </c>
      <c r="AU278" t="s">
        <v>316</v>
      </c>
      <c r="AW278">
        <v>0</v>
      </c>
      <c r="AX278" s="1">
        <v>46111</v>
      </c>
      <c r="AY278" s="2">
        <v>0.51541666666666663</v>
      </c>
      <c r="AZ278">
        <v>197009</v>
      </c>
      <c r="BA278" s="1">
        <v>46104</v>
      </c>
      <c r="BC278" t="s">
        <v>0</v>
      </c>
      <c r="BD278" s="1">
        <v>46104</v>
      </c>
      <c r="BE278" t="s">
        <v>276</v>
      </c>
      <c r="BL278" s="4">
        <v>0</v>
      </c>
      <c r="BM278" s="1">
        <v>46808</v>
      </c>
      <c r="BO278">
        <v>0</v>
      </c>
      <c r="BP278">
        <v>30015</v>
      </c>
      <c r="BQ278" t="s">
        <v>156</v>
      </c>
      <c r="BR278" s="3">
        <v>115087.14</v>
      </c>
      <c r="BS278" s="3">
        <v>49038</v>
      </c>
      <c r="BT278">
        <v>0</v>
      </c>
      <c r="BU278" s="3">
        <v>164125.14000000001</v>
      </c>
      <c r="BV278" s="3">
        <v>228000.66</v>
      </c>
      <c r="BX278">
        <v>0</v>
      </c>
      <c r="BZ278">
        <v>0</v>
      </c>
      <c r="CA278">
        <v>0</v>
      </c>
      <c r="CB278">
        <v>0</v>
      </c>
      <c r="CC278" s="3">
        <v>228000.66</v>
      </c>
      <c r="CD278" s="5">
        <v>0</v>
      </c>
      <c r="CF278" s="6">
        <v>46082</v>
      </c>
      <c r="CH278">
        <v>0</v>
      </c>
      <c r="CI278">
        <v>0</v>
      </c>
      <c r="CJ278">
        <v>0</v>
      </c>
      <c r="CK278">
        <v>0</v>
      </c>
      <c r="CL278">
        <v>0</v>
      </c>
      <c r="CM278">
        <v>0</v>
      </c>
      <c r="CN278">
        <v>0</v>
      </c>
      <c r="CO278">
        <v>0</v>
      </c>
      <c r="CP278">
        <v>0</v>
      </c>
      <c r="CQ278">
        <v>0</v>
      </c>
      <c r="CR278">
        <v>0</v>
      </c>
      <c r="CT278" t="s">
        <v>214</v>
      </c>
      <c r="CU278" t="s">
        <v>1188</v>
      </c>
      <c r="CW278">
        <v>0</v>
      </c>
      <c r="CZ278" s="1">
        <v>46104</v>
      </c>
      <c r="DA278" t="s">
        <v>172</v>
      </c>
      <c r="DB278" t="s">
        <v>172</v>
      </c>
      <c r="DC278" t="s">
        <v>172</v>
      </c>
      <c r="DD278" t="s">
        <v>172</v>
      </c>
      <c r="DG278" s="1">
        <v>46104</v>
      </c>
      <c r="DH278">
        <v>0</v>
      </c>
      <c r="DI278">
        <v>0</v>
      </c>
      <c r="DL278" t="s">
        <v>224</v>
      </c>
      <c r="DM278" t="s">
        <v>172</v>
      </c>
      <c r="DN278" t="s">
        <v>225</v>
      </c>
      <c r="DV278" s="3">
        <v>228000.66</v>
      </c>
      <c r="DW278">
        <v>0</v>
      </c>
      <c r="DX278" s="3">
        <v>228000.66</v>
      </c>
      <c r="DY278">
        <v>0</v>
      </c>
      <c r="EN278" t="s">
        <v>537</v>
      </c>
    </row>
    <row r="279" spans="1:153" ht="246.5" x14ac:dyDescent="0.35">
      <c r="A279" t="str">
        <f>HYPERLINK("https://7lm.cvcrm.com.br/gestor/comercial/reservas/6881/administrar","6881")</f>
        <v>6881</v>
      </c>
      <c r="B279" t="s">
        <v>156</v>
      </c>
      <c r="C279" s="1">
        <v>46104</v>
      </c>
      <c r="D279" s="2">
        <v>0.63775462962962959</v>
      </c>
      <c r="E279" t="s">
        <v>294</v>
      </c>
      <c r="F279" t="s">
        <v>182</v>
      </c>
      <c r="G279" t="s">
        <v>159</v>
      </c>
      <c r="H279" t="s">
        <v>418</v>
      </c>
      <c r="I279" t="s">
        <v>2025</v>
      </c>
      <c r="J279">
        <v>1</v>
      </c>
      <c r="L279">
        <v>30151</v>
      </c>
      <c r="M279" t="s">
        <v>2026</v>
      </c>
      <c r="N279" s="1">
        <v>46111</v>
      </c>
      <c r="O279" s="2">
        <v>0.63400462962962967</v>
      </c>
      <c r="R279" t="str">
        <f>HYPERLINK("https://7lm.cvcrm.com.br/gestor/relatorios/associado/html?q[1|r.idreserva]=6881","TATIANE GOMES DE MELO")</f>
        <v>TATIANE GOMES DE MELO</v>
      </c>
      <c r="S279">
        <v>835995178</v>
      </c>
      <c r="T279">
        <v>556198049198</v>
      </c>
      <c r="V279" t="s">
        <v>2027</v>
      </c>
      <c r="W279" t="s">
        <v>187</v>
      </c>
      <c r="X279" t="s">
        <v>288</v>
      </c>
      <c r="Y279" t="s">
        <v>189</v>
      </c>
      <c r="Z279" t="s">
        <v>190</v>
      </c>
      <c r="AA279" t="s">
        <v>1131</v>
      </c>
      <c r="AB279" t="s">
        <v>2028</v>
      </c>
      <c r="AC279" t="s">
        <v>896</v>
      </c>
      <c r="AF279" t="s">
        <v>194</v>
      </c>
      <c r="AG279" t="s">
        <v>251</v>
      </c>
      <c r="AH279" s="3">
        <v>241000.35</v>
      </c>
      <c r="AI279" s="3">
        <v>241000.35</v>
      </c>
      <c r="AJ279" s="1">
        <v>46104</v>
      </c>
      <c r="AN279" t="s">
        <v>172</v>
      </c>
      <c r="AR279" s="7" t="s">
        <v>353</v>
      </c>
      <c r="AT279" t="s">
        <v>261</v>
      </c>
      <c r="AU279" t="s">
        <v>1403</v>
      </c>
      <c r="AW279">
        <v>0</v>
      </c>
      <c r="AX279" s="1">
        <v>46112</v>
      </c>
      <c r="AY279" s="2">
        <v>0.57915509259259257</v>
      </c>
      <c r="AZ279">
        <v>84934</v>
      </c>
      <c r="BA279" s="1">
        <v>45004</v>
      </c>
      <c r="BB279" s="1">
        <v>46068</v>
      </c>
      <c r="BC279" t="s">
        <v>275</v>
      </c>
      <c r="BD279" s="1">
        <v>46069</v>
      </c>
      <c r="BE279" t="s">
        <v>317</v>
      </c>
      <c r="BL279" s="4">
        <v>0</v>
      </c>
      <c r="BM279" s="1">
        <v>46899</v>
      </c>
      <c r="BN279" s="1">
        <v>46112</v>
      </c>
      <c r="BO279">
        <v>0</v>
      </c>
      <c r="BP279">
        <v>29967</v>
      </c>
      <c r="BQ279" t="s">
        <v>156</v>
      </c>
      <c r="BR279" s="3">
        <v>121115.72</v>
      </c>
      <c r="BS279" s="3">
        <v>35316</v>
      </c>
      <c r="BT279">
        <v>0</v>
      </c>
      <c r="BU279" s="3">
        <v>156431.72</v>
      </c>
      <c r="BV279" s="3">
        <v>241000.35</v>
      </c>
      <c r="BX279">
        <v>0</v>
      </c>
      <c r="BZ279">
        <v>0</v>
      </c>
      <c r="CA279">
        <v>0</v>
      </c>
      <c r="CB279">
        <v>0</v>
      </c>
      <c r="CC279" s="3">
        <v>241000.35</v>
      </c>
      <c r="CD279" s="5">
        <v>0</v>
      </c>
      <c r="CF279" s="6">
        <v>46082</v>
      </c>
      <c r="CH279">
        <v>0</v>
      </c>
      <c r="CI279">
        <v>0</v>
      </c>
      <c r="CJ279">
        <v>0</v>
      </c>
      <c r="CK279">
        <v>0</v>
      </c>
      <c r="CL279">
        <v>0</v>
      </c>
      <c r="CM279">
        <v>0</v>
      </c>
      <c r="CN279">
        <v>0</v>
      </c>
      <c r="CO279">
        <v>0</v>
      </c>
      <c r="CP279">
        <v>0</v>
      </c>
      <c r="CQ279">
        <v>0</v>
      </c>
      <c r="CR279">
        <v>0</v>
      </c>
      <c r="CS279" t="s">
        <v>2029</v>
      </c>
      <c r="CT279" t="s">
        <v>190</v>
      </c>
      <c r="CU279" t="s">
        <v>2025</v>
      </c>
      <c r="CW279">
        <v>-54.733199999999997</v>
      </c>
      <c r="CZ279" s="1">
        <v>46104</v>
      </c>
      <c r="DA279" t="s">
        <v>172</v>
      </c>
      <c r="DB279" t="s">
        <v>172</v>
      </c>
      <c r="DC279" t="s">
        <v>172</v>
      </c>
      <c r="DD279" t="s">
        <v>172</v>
      </c>
      <c r="DG279" s="1">
        <v>46104</v>
      </c>
      <c r="DH279">
        <v>0</v>
      </c>
      <c r="DI279">
        <v>0</v>
      </c>
      <c r="DK279" t="s">
        <v>179</v>
      </c>
      <c r="DL279" t="s">
        <v>200</v>
      </c>
      <c r="DM279" t="s">
        <v>172</v>
      </c>
      <c r="DN279" t="s">
        <v>201</v>
      </c>
      <c r="DV279" s="3">
        <v>241000.35</v>
      </c>
      <c r="DW279">
        <v>0</v>
      </c>
      <c r="DX279" s="3">
        <v>241000.35</v>
      </c>
      <c r="DY279">
        <v>0</v>
      </c>
      <c r="EG279" s="1">
        <v>46111</v>
      </c>
      <c r="EN279" t="s">
        <v>156</v>
      </c>
      <c r="EP279" s="1">
        <v>46111</v>
      </c>
      <c r="ER279" s="1">
        <v>46111</v>
      </c>
      <c r="ES279" t="s">
        <v>2030</v>
      </c>
      <c r="ET279" t="s">
        <v>2031</v>
      </c>
      <c r="EU279" s="1">
        <v>46107</v>
      </c>
      <c r="EW279" s="1">
        <v>46104</v>
      </c>
    </row>
    <row r="280" spans="1:153" ht="246.5" x14ac:dyDescent="0.35">
      <c r="A280" t="str">
        <f>HYPERLINK("https://7lm.cvcrm.com.br/gestor/comercial/reservas/6880/administrar","6880")</f>
        <v>6880</v>
      </c>
      <c r="B280" t="s">
        <v>156</v>
      </c>
      <c r="C280" s="1">
        <v>46102</v>
      </c>
      <c r="D280" s="2">
        <v>0.77601851851851855</v>
      </c>
      <c r="E280" t="s">
        <v>294</v>
      </c>
      <c r="F280" t="s">
        <v>182</v>
      </c>
      <c r="G280" t="s">
        <v>159</v>
      </c>
      <c r="H280" t="s">
        <v>759</v>
      </c>
      <c r="I280" t="s">
        <v>2032</v>
      </c>
      <c r="J280">
        <v>1</v>
      </c>
      <c r="L280">
        <v>30151</v>
      </c>
      <c r="M280" t="s">
        <v>2033</v>
      </c>
      <c r="N280" s="1">
        <v>46108</v>
      </c>
      <c r="O280" s="2">
        <v>0.45118055555555553</v>
      </c>
      <c r="R280" t="str">
        <f>HYPERLINK("https://7lm.cvcrm.com.br/gestor/relatorios/associado/html?q[1|r.idreserva]=6880","DANIELA LACERDA NASCIMENTO")</f>
        <v>DANIELA LACERDA NASCIMENTO</v>
      </c>
      <c r="S280">
        <v>7427219147</v>
      </c>
      <c r="T280">
        <v>556196546791</v>
      </c>
      <c r="V280" t="s">
        <v>2034</v>
      </c>
      <c r="W280" t="s">
        <v>187</v>
      </c>
      <c r="X280" t="s">
        <v>299</v>
      </c>
      <c r="Y280" t="s">
        <v>189</v>
      </c>
      <c r="Z280" t="s">
        <v>190</v>
      </c>
      <c r="AA280" t="s">
        <v>707</v>
      </c>
      <c r="AB280" t="s">
        <v>2035</v>
      </c>
      <c r="AC280" t="s">
        <v>435</v>
      </c>
      <c r="AD280" t="s">
        <v>435</v>
      </c>
      <c r="AF280" t="s">
        <v>352</v>
      </c>
      <c r="AG280" t="s">
        <v>251</v>
      </c>
      <c r="AH280" s="3">
        <v>239658.55</v>
      </c>
      <c r="AI280" s="3">
        <v>239658.55</v>
      </c>
      <c r="AJ280" s="1">
        <v>46112</v>
      </c>
      <c r="AN280" t="s">
        <v>172</v>
      </c>
      <c r="AR280" s="7" t="s">
        <v>353</v>
      </c>
      <c r="AT280" t="s">
        <v>173</v>
      </c>
      <c r="AU280" t="s">
        <v>292</v>
      </c>
      <c r="AW280">
        <v>0</v>
      </c>
      <c r="AX280" s="1">
        <v>46107</v>
      </c>
      <c r="AY280" s="2">
        <v>0.60261574074074076</v>
      </c>
      <c r="AZ280">
        <v>112316</v>
      </c>
      <c r="BA280" s="1">
        <v>45375</v>
      </c>
      <c r="BB280" s="1">
        <v>45433</v>
      </c>
      <c r="BC280" t="s">
        <v>213</v>
      </c>
      <c r="BD280" s="1">
        <v>45433</v>
      </c>
      <c r="BE280" t="s">
        <v>317</v>
      </c>
      <c r="BL280" s="4">
        <v>0</v>
      </c>
      <c r="BM280" s="1">
        <v>46899</v>
      </c>
      <c r="BN280" s="1">
        <v>46107</v>
      </c>
      <c r="BO280">
        <v>0</v>
      </c>
      <c r="BP280">
        <v>27452</v>
      </c>
      <c r="BQ280" t="s">
        <v>156</v>
      </c>
      <c r="BR280" s="3">
        <v>127795.49</v>
      </c>
      <c r="BS280" s="3">
        <v>27421</v>
      </c>
      <c r="BT280">
        <v>0</v>
      </c>
      <c r="BU280" s="3">
        <v>155216.49</v>
      </c>
      <c r="BV280" s="3">
        <v>239658.55</v>
      </c>
      <c r="BX280">
        <v>0</v>
      </c>
      <c r="BZ280">
        <v>0</v>
      </c>
      <c r="CA280">
        <v>0</v>
      </c>
      <c r="CB280">
        <v>0</v>
      </c>
      <c r="CC280" s="3">
        <v>239658.55</v>
      </c>
      <c r="CD280" s="5">
        <v>0</v>
      </c>
      <c r="CF280" s="6">
        <v>46082</v>
      </c>
      <c r="CH280">
        <v>0</v>
      </c>
      <c r="CI280">
        <v>0</v>
      </c>
      <c r="CJ280">
        <v>0</v>
      </c>
      <c r="CK280">
        <v>0</v>
      </c>
      <c r="CL280">
        <v>0</v>
      </c>
      <c r="CM280">
        <v>0</v>
      </c>
      <c r="CN280">
        <v>0</v>
      </c>
      <c r="CO280">
        <v>0</v>
      </c>
      <c r="CP280">
        <v>0</v>
      </c>
      <c r="CQ280">
        <v>0</v>
      </c>
      <c r="CR280">
        <v>0</v>
      </c>
      <c r="CS280" t="s">
        <v>360</v>
      </c>
      <c r="CT280" t="s">
        <v>190</v>
      </c>
      <c r="CU280" t="s">
        <v>2032</v>
      </c>
      <c r="CW280">
        <v>-50.8157</v>
      </c>
      <c r="CZ280" s="1">
        <v>46102</v>
      </c>
      <c r="DA280" t="s">
        <v>172</v>
      </c>
      <c r="DB280" t="s">
        <v>172</v>
      </c>
      <c r="DC280" t="s">
        <v>172</v>
      </c>
      <c r="DD280" t="s">
        <v>172</v>
      </c>
      <c r="DG280" s="1">
        <v>46102</v>
      </c>
      <c r="DH280">
        <v>0</v>
      </c>
      <c r="DI280">
        <v>0</v>
      </c>
      <c r="DK280" t="s">
        <v>179</v>
      </c>
      <c r="DL280" t="s">
        <v>200</v>
      </c>
      <c r="DM280" t="s">
        <v>172</v>
      </c>
      <c r="DN280" t="s">
        <v>201</v>
      </c>
      <c r="DV280" s="3">
        <v>239658.55</v>
      </c>
      <c r="DW280">
        <v>0</v>
      </c>
      <c r="DX280" s="3">
        <v>239658.55</v>
      </c>
      <c r="DY280">
        <v>0</v>
      </c>
      <c r="EG280" s="1">
        <v>46106</v>
      </c>
      <c r="EH280" s="1">
        <v>46107</v>
      </c>
      <c r="EN280" t="s">
        <v>156</v>
      </c>
      <c r="EP280" s="1">
        <v>46106</v>
      </c>
      <c r="EQ280" s="1">
        <v>46106</v>
      </c>
      <c r="ER280" s="1">
        <v>46106</v>
      </c>
      <c r="ES280" t="s">
        <v>2036</v>
      </c>
      <c r="EV280" s="1">
        <v>46106</v>
      </c>
    </row>
    <row r="281" spans="1:153" ht="304.5" x14ac:dyDescent="0.35">
      <c r="A281" t="str">
        <f>HYPERLINK("https://7lm.cvcrm.com.br/gestor/comercial/reservas/6879/administrar","6879")</f>
        <v>6879</v>
      </c>
      <c r="B281" t="s">
        <v>172</v>
      </c>
      <c r="C281" s="1">
        <v>46102</v>
      </c>
      <c r="D281" s="2">
        <v>0.76484953703703706</v>
      </c>
      <c r="E281" t="s">
        <v>527</v>
      </c>
      <c r="F281" t="s">
        <v>216</v>
      </c>
      <c r="G281" t="s">
        <v>159</v>
      </c>
      <c r="H281" t="s">
        <v>217</v>
      </c>
      <c r="I281" t="s">
        <v>218</v>
      </c>
      <c r="J281">
        <v>1</v>
      </c>
      <c r="L281">
        <v>20061</v>
      </c>
      <c r="M281" t="s">
        <v>219</v>
      </c>
      <c r="R281" t="str">
        <f>HYPERLINK("https://7lm.cvcrm.com.br/gestor/relatorios/associado/html?q[1|r.idreserva]=6879","MARIA EDUARDA BORGES DE SANTANA")</f>
        <v>MARIA EDUARDA BORGES DE SANTANA</v>
      </c>
      <c r="S281">
        <v>7417134114</v>
      </c>
      <c r="T281">
        <v>5561998654120</v>
      </c>
      <c r="V281" t="s">
        <v>2037</v>
      </c>
      <c r="W281" t="s">
        <v>187</v>
      </c>
      <c r="X281" t="s">
        <v>299</v>
      </c>
      <c r="Y281" t="s">
        <v>165</v>
      </c>
      <c r="Z281" t="s">
        <v>565</v>
      </c>
      <c r="AA281" t="s">
        <v>566</v>
      </c>
      <c r="AB281" t="s">
        <v>2038</v>
      </c>
      <c r="AC281" t="s">
        <v>1466</v>
      </c>
      <c r="AF281" t="s">
        <v>413</v>
      </c>
      <c r="AG281" t="s">
        <v>195</v>
      </c>
      <c r="AH281" s="3">
        <v>223740.01</v>
      </c>
      <c r="AI281" s="3">
        <v>223740.01</v>
      </c>
      <c r="AJ281" s="1">
        <v>46157</v>
      </c>
      <c r="AN281" t="s">
        <v>172</v>
      </c>
      <c r="AO281" t="s">
        <v>816</v>
      </c>
      <c r="AR281" s="7" t="s">
        <v>2039</v>
      </c>
      <c r="AT281" t="s">
        <v>196</v>
      </c>
      <c r="AU281" t="s">
        <v>292</v>
      </c>
      <c r="AW281">
        <v>0</v>
      </c>
      <c r="AX281" s="1">
        <v>46113</v>
      </c>
      <c r="AY281" s="2">
        <v>0.49229166666666668</v>
      </c>
      <c r="AZ281">
        <v>196667</v>
      </c>
      <c r="BA281" s="1">
        <v>46102</v>
      </c>
      <c r="BC281" t="s">
        <v>0</v>
      </c>
      <c r="BD281" s="1">
        <v>46102</v>
      </c>
      <c r="BE281" t="s">
        <v>213</v>
      </c>
      <c r="BL281" s="4">
        <v>0</v>
      </c>
      <c r="BM281" s="1">
        <v>46995</v>
      </c>
      <c r="BO281">
        <v>0</v>
      </c>
      <c r="BP281">
        <v>29828</v>
      </c>
      <c r="BQ281" t="s">
        <v>156</v>
      </c>
      <c r="BR281" s="3">
        <v>104183.34</v>
      </c>
      <c r="BS281" s="3">
        <v>55000</v>
      </c>
      <c r="BT281">
        <v>0</v>
      </c>
      <c r="BU281" s="3">
        <v>159183.34</v>
      </c>
      <c r="BV281" s="3">
        <v>223740.01</v>
      </c>
      <c r="BX281">
        <v>0</v>
      </c>
      <c r="BZ281">
        <v>0</v>
      </c>
      <c r="CA281">
        <v>0</v>
      </c>
      <c r="CB281">
        <v>0</v>
      </c>
      <c r="CC281" s="3">
        <v>223740.01</v>
      </c>
      <c r="CD281" s="5">
        <v>0</v>
      </c>
      <c r="CF281" s="6">
        <v>46113</v>
      </c>
      <c r="CH281">
        <v>0</v>
      </c>
      <c r="CI281">
        <v>0</v>
      </c>
      <c r="CJ281">
        <v>0</v>
      </c>
      <c r="CK281">
        <v>0</v>
      </c>
      <c r="CL281">
        <v>0</v>
      </c>
      <c r="CM281">
        <v>0</v>
      </c>
      <c r="CN281">
        <v>0</v>
      </c>
      <c r="CO281">
        <v>0</v>
      </c>
      <c r="CP281">
        <v>0</v>
      </c>
      <c r="CQ281">
        <v>0</v>
      </c>
      <c r="CR281">
        <v>0</v>
      </c>
      <c r="CT281" t="s">
        <v>214</v>
      </c>
      <c r="CU281" t="s">
        <v>218</v>
      </c>
      <c r="CW281">
        <v>0</v>
      </c>
      <c r="CZ281" s="1">
        <v>46102</v>
      </c>
      <c r="DA281" t="s">
        <v>172</v>
      </c>
      <c r="DB281" t="s">
        <v>172</v>
      </c>
      <c r="DC281" t="s">
        <v>172</v>
      </c>
      <c r="DD281" t="s">
        <v>172</v>
      </c>
      <c r="DG281" s="1">
        <v>46102</v>
      </c>
      <c r="DH281">
        <v>0</v>
      </c>
      <c r="DI281">
        <v>0</v>
      </c>
      <c r="DK281" t="s">
        <v>179</v>
      </c>
      <c r="DL281" t="s">
        <v>224</v>
      </c>
      <c r="DM281" t="s">
        <v>172</v>
      </c>
      <c r="DN281" t="s">
        <v>225</v>
      </c>
      <c r="DV281" s="3">
        <v>223740.01</v>
      </c>
      <c r="DW281">
        <v>0</v>
      </c>
      <c r="DX281" s="3">
        <v>223740.01</v>
      </c>
      <c r="DY281">
        <v>0</v>
      </c>
      <c r="EN281" t="s">
        <v>172</v>
      </c>
      <c r="ET281" t="s">
        <v>2040</v>
      </c>
      <c r="EW281" s="1">
        <v>46102</v>
      </c>
    </row>
    <row r="282" spans="1:153" ht="275.5" x14ac:dyDescent="0.35">
      <c r="A282" t="str">
        <f>HYPERLINK("https://7lm.cvcrm.com.br/gestor/comercial/reservas/6878/administrar","6878")</f>
        <v>6878</v>
      </c>
      <c r="B282" t="s">
        <v>172</v>
      </c>
      <c r="C282" s="1">
        <v>46102</v>
      </c>
      <c r="D282" s="2">
        <v>0.62201388888888887</v>
      </c>
      <c r="E282" t="s">
        <v>527</v>
      </c>
      <c r="F282" t="s">
        <v>202</v>
      </c>
      <c r="G282" t="s">
        <v>203</v>
      </c>
      <c r="H282" t="s">
        <v>277</v>
      </c>
      <c r="I282" t="s">
        <v>934</v>
      </c>
      <c r="J282">
        <v>1</v>
      </c>
      <c r="L282">
        <v>20031</v>
      </c>
      <c r="M282" t="s">
        <v>1530</v>
      </c>
      <c r="R282" t="str">
        <f>HYPERLINK("https://7lm.cvcrm.com.br/gestor/relatorios/associado/html?q[1|r.idreserva]=6878","JOSUENE VIEIRA")</f>
        <v>JOSUENE VIEIRA</v>
      </c>
      <c r="S282">
        <v>4888386307</v>
      </c>
      <c r="T282">
        <v>556192790156</v>
      </c>
      <c r="V282" t="s">
        <v>2041</v>
      </c>
      <c r="W282" t="s">
        <v>187</v>
      </c>
      <c r="X282" t="s">
        <v>2042</v>
      </c>
      <c r="Y282" t="s">
        <v>189</v>
      </c>
      <c r="Z282" t="s">
        <v>208</v>
      </c>
      <c r="AA282" t="s">
        <v>2043</v>
      </c>
      <c r="AB282" t="s">
        <v>2044</v>
      </c>
      <c r="AC282" t="s">
        <v>398</v>
      </c>
      <c r="AF282" t="s">
        <v>399</v>
      </c>
      <c r="AG282" t="s">
        <v>195</v>
      </c>
      <c r="AH282" s="3">
        <v>234250.07</v>
      </c>
      <c r="AI282" s="3">
        <v>234250.07</v>
      </c>
      <c r="AJ282" s="1">
        <v>46167</v>
      </c>
      <c r="AN282" t="s">
        <v>172</v>
      </c>
      <c r="AO282" t="s">
        <v>1334</v>
      </c>
      <c r="AR282" s="7" t="s">
        <v>2045</v>
      </c>
      <c r="AT282" t="s">
        <v>196</v>
      </c>
      <c r="AU282" t="s">
        <v>316</v>
      </c>
      <c r="AW282">
        <v>0</v>
      </c>
      <c r="AX282" s="1">
        <v>46113</v>
      </c>
      <c r="AY282" s="2">
        <v>0.49305555555555558</v>
      </c>
      <c r="AZ282">
        <v>194751</v>
      </c>
      <c r="BA282" s="1">
        <v>46092</v>
      </c>
      <c r="BC282" t="s">
        <v>0</v>
      </c>
      <c r="BD282" s="1">
        <v>46102</v>
      </c>
      <c r="BE282" t="s">
        <v>198</v>
      </c>
      <c r="BL282" s="4">
        <v>0</v>
      </c>
      <c r="BM282" s="1">
        <v>46808</v>
      </c>
      <c r="BO282">
        <v>0</v>
      </c>
      <c r="BP282">
        <v>29525</v>
      </c>
      <c r="BQ282" t="s">
        <v>156</v>
      </c>
      <c r="BR282" s="3">
        <v>131149.01999999999</v>
      </c>
      <c r="BS282" s="3">
        <v>36479</v>
      </c>
      <c r="BT282">
        <v>0</v>
      </c>
      <c r="BU282" s="3">
        <v>167628.01999999999</v>
      </c>
      <c r="BV282" s="3">
        <v>234250.07</v>
      </c>
      <c r="BX282">
        <v>0</v>
      </c>
      <c r="BZ282">
        <v>0</v>
      </c>
      <c r="CA282">
        <v>0</v>
      </c>
      <c r="CB282">
        <v>0</v>
      </c>
      <c r="CC282" s="3">
        <v>234250.07</v>
      </c>
      <c r="CD282" s="5">
        <v>0</v>
      </c>
      <c r="CF282" s="6">
        <v>46113</v>
      </c>
      <c r="CH282">
        <v>0</v>
      </c>
      <c r="CI282">
        <v>0</v>
      </c>
      <c r="CJ282">
        <v>0</v>
      </c>
      <c r="CK282">
        <v>0</v>
      </c>
      <c r="CL282">
        <v>0</v>
      </c>
      <c r="CM282">
        <v>0</v>
      </c>
      <c r="CN282">
        <v>0</v>
      </c>
      <c r="CO282">
        <v>0</v>
      </c>
      <c r="CP282">
        <v>0</v>
      </c>
      <c r="CQ282">
        <v>0</v>
      </c>
      <c r="CR282">
        <v>0</v>
      </c>
      <c r="CT282" t="s">
        <v>214</v>
      </c>
      <c r="CU282" t="s">
        <v>934</v>
      </c>
      <c r="CW282">
        <v>0</v>
      </c>
      <c r="CZ282" s="1">
        <v>46102</v>
      </c>
      <c r="DA282" t="s">
        <v>172</v>
      </c>
      <c r="DB282" t="s">
        <v>172</v>
      </c>
      <c r="DC282" t="s">
        <v>172</v>
      </c>
      <c r="DD282" t="s">
        <v>172</v>
      </c>
      <c r="DG282" s="1">
        <v>46102</v>
      </c>
      <c r="DH282">
        <v>0</v>
      </c>
      <c r="DI282">
        <v>0</v>
      </c>
      <c r="DL282" t="s">
        <v>215</v>
      </c>
      <c r="DM282" t="s">
        <v>172</v>
      </c>
      <c r="DN282" t="s">
        <v>525</v>
      </c>
      <c r="DV282" s="3">
        <v>234250.07</v>
      </c>
      <c r="DW282">
        <v>0</v>
      </c>
      <c r="DX282" s="3">
        <v>234250.07</v>
      </c>
      <c r="DY282">
        <v>0</v>
      </c>
      <c r="EN282" t="s">
        <v>537</v>
      </c>
    </row>
    <row r="283" spans="1:153" x14ac:dyDescent="0.35">
      <c r="A283" t="str">
        <f>HYPERLINK("https://7lm.cvcrm.com.br/gestor/comercial/reservas/6877/administrar","6877")</f>
        <v>6877</v>
      </c>
      <c r="B283" t="s">
        <v>172</v>
      </c>
      <c r="C283" s="1">
        <v>46102</v>
      </c>
      <c r="D283" s="2">
        <v>0.60636574074074079</v>
      </c>
      <c r="E283" t="s">
        <v>527</v>
      </c>
      <c r="F283" t="s">
        <v>158</v>
      </c>
      <c r="G283" t="s">
        <v>159</v>
      </c>
      <c r="H283" t="s">
        <v>160</v>
      </c>
      <c r="I283">
        <v>104</v>
      </c>
      <c r="J283">
        <v>1</v>
      </c>
      <c r="L283">
        <v>10001</v>
      </c>
      <c r="M283" t="s">
        <v>1964</v>
      </c>
      <c r="R283" t="str">
        <f>HYPERLINK("https://7lm.cvcrm.com.br/gestor/relatorios/associado/html?q[1|r.idreserva]=6877","TIAGO PINHEIRO OLIVEIRA")</f>
        <v>TIAGO PINHEIRO OLIVEIRA</v>
      </c>
      <c r="S283">
        <v>4662667585</v>
      </c>
      <c r="T283">
        <v>5561983390331</v>
      </c>
      <c r="U283">
        <v>5561983390331</v>
      </c>
      <c r="V283" t="s">
        <v>2046</v>
      </c>
      <c r="W283" t="s">
        <v>163</v>
      </c>
      <c r="X283" t="s">
        <v>2047</v>
      </c>
      <c r="Y283" t="s">
        <v>165</v>
      </c>
      <c r="Z283" t="s">
        <v>257</v>
      </c>
      <c r="AA283" t="s">
        <v>770</v>
      </c>
      <c r="AB283" t="s">
        <v>1966</v>
      </c>
      <c r="AC283" t="s">
        <v>1967</v>
      </c>
      <c r="AE283" t="s">
        <v>733</v>
      </c>
      <c r="AF283" t="s">
        <v>170</v>
      </c>
      <c r="AG283" t="s">
        <v>171</v>
      </c>
      <c r="AH283" s="3">
        <v>405000.1</v>
      </c>
      <c r="AI283" s="3">
        <v>405000.1</v>
      </c>
      <c r="AJ283" s="1">
        <v>46102</v>
      </c>
      <c r="AN283" t="s">
        <v>172</v>
      </c>
      <c r="AO283" t="s">
        <v>932</v>
      </c>
      <c r="AP283" t="s">
        <v>2048</v>
      </c>
      <c r="AT283" t="s">
        <v>173</v>
      </c>
      <c r="AU283" t="s">
        <v>292</v>
      </c>
      <c r="AW283">
        <v>0</v>
      </c>
      <c r="AX283" s="1">
        <v>46104</v>
      </c>
      <c r="AY283" s="2">
        <v>0.50792824074074072</v>
      </c>
      <c r="AZ283" t="s">
        <v>2049</v>
      </c>
      <c r="BA283" t="s">
        <v>2050</v>
      </c>
      <c r="BB283" t="s">
        <v>356</v>
      </c>
      <c r="BC283" t="s">
        <v>2051</v>
      </c>
      <c r="BD283" t="s">
        <v>2050</v>
      </c>
      <c r="BE283" t="s">
        <v>2052</v>
      </c>
      <c r="BL283" s="4">
        <v>0</v>
      </c>
      <c r="BM283" s="1">
        <v>46387</v>
      </c>
      <c r="BO283">
        <v>0</v>
      </c>
      <c r="BP283">
        <v>27312</v>
      </c>
      <c r="BQ283" t="s">
        <v>156</v>
      </c>
      <c r="BR283">
        <v>0</v>
      </c>
      <c r="BS283">
        <v>0</v>
      </c>
      <c r="BT283" s="3">
        <v>16191</v>
      </c>
      <c r="BU283" s="3">
        <v>16191</v>
      </c>
      <c r="BV283" s="3">
        <v>405000.1</v>
      </c>
      <c r="BX283">
        <v>0</v>
      </c>
      <c r="BZ283">
        <v>0</v>
      </c>
      <c r="CA283">
        <v>0</v>
      </c>
      <c r="CB283">
        <v>0</v>
      </c>
      <c r="CC283" s="3">
        <v>405000.1</v>
      </c>
      <c r="CD283" s="5">
        <v>0</v>
      </c>
      <c r="CF283" s="6">
        <v>46082</v>
      </c>
      <c r="CH283">
        <v>0</v>
      </c>
      <c r="CI283">
        <v>0</v>
      </c>
      <c r="CJ283">
        <v>0</v>
      </c>
      <c r="CK283">
        <v>0</v>
      </c>
      <c r="CL283">
        <v>0</v>
      </c>
      <c r="CM283">
        <v>0</v>
      </c>
      <c r="CN283">
        <v>0</v>
      </c>
      <c r="CO283">
        <v>0</v>
      </c>
      <c r="CP283">
        <v>0</v>
      </c>
      <c r="CQ283">
        <v>0</v>
      </c>
      <c r="CR283">
        <v>0</v>
      </c>
      <c r="CT283" t="s">
        <v>178</v>
      </c>
      <c r="CU283">
        <v>104</v>
      </c>
      <c r="CW283">
        <v>0</v>
      </c>
      <c r="CZ283" s="1">
        <v>46102</v>
      </c>
      <c r="DA283" t="s">
        <v>172</v>
      </c>
      <c r="DB283" t="s">
        <v>172</v>
      </c>
      <c r="DC283" t="s">
        <v>172</v>
      </c>
      <c r="DD283" t="s">
        <v>172</v>
      </c>
      <c r="DG283" s="1">
        <v>46102</v>
      </c>
      <c r="DH283">
        <v>0</v>
      </c>
      <c r="DI283">
        <v>0</v>
      </c>
      <c r="DK283" t="s">
        <v>179</v>
      </c>
      <c r="DM283" t="s">
        <v>172</v>
      </c>
      <c r="DN283" t="s">
        <v>553</v>
      </c>
      <c r="DU283" t="s">
        <v>734</v>
      </c>
      <c r="DV283" s="3">
        <v>595499.9</v>
      </c>
      <c r="DW283">
        <v>-59.52</v>
      </c>
      <c r="DX283" s="3">
        <v>595499.9</v>
      </c>
      <c r="DY283">
        <v>-59.52</v>
      </c>
    </row>
    <row r="284" spans="1:153" x14ac:dyDescent="0.35">
      <c r="A284" t="str">
        <f>HYPERLINK("https://7lm.cvcrm.com.br/gestor/comercial/reservas/6876/administrar","6876")</f>
        <v>6876</v>
      </c>
      <c r="B284" t="s">
        <v>172</v>
      </c>
      <c r="C284" s="1">
        <v>46102</v>
      </c>
      <c r="D284" s="2">
        <v>0.55043981481481485</v>
      </c>
      <c r="E284" t="s">
        <v>527</v>
      </c>
      <c r="F284" t="s">
        <v>182</v>
      </c>
      <c r="G284" t="s">
        <v>159</v>
      </c>
      <c r="H284" t="s">
        <v>759</v>
      </c>
      <c r="I284" t="s">
        <v>760</v>
      </c>
      <c r="J284">
        <v>1</v>
      </c>
      <c r="L284">
        <v>30151</v>
      </c>
      <c r="M284" t="s">
        <v>761</v>
      </c>
      <c r="R284" t="str">
        <f>HYPERLINK("https://7lm.cvcrm.com.br/gestor/relatorios/associado/html?q[1|r.idreserva]=6876","MARIA VITORIA BRITO COSTA")</f>
        <v>MARIA VITORIA BRITO COSTA</v>
      </c>
      <c r="S284">
        <v>9505116179</v>
      </c>
      <c r="T284">
        <v>5561996734135</v>
      </c>
      <c r="V284" t="s">
        <v>2053</v>
      </c>
      <c r="W284" t="s">
        <v>163</v>
      </c>
      <c r="X284" t="s">
        <v>366</v>
      </c>
      <c r="Y284" t="s">
        <v>189</v>
      </c>
      <c r="Z284" t="s">
        <v>190</v>
      </c>
      <c r="AA284" t="s">
        <v>246</v>
      </c>
      <c r="AB284" t="s">
        <v>2054</v>
      </c>
      <c r="AC284" t="s">
        <v>988</v>
      </c>
      <c r="AF284" t="s">
        <v>250</v>
      </c>
      <c r="AG284" t="s">
        <v>251</v>
      </c>
      <c r="AH284" s="3">
        <v>241000.42</v>
      </c>
      <c r="AI284" s="3">
        <v>241000.42</v>
      </c>
      <c r="AJ284" s="1">
        <v>46133</v>
      </c>
      <c r="AN284" t="s">
        <v>172</v>
      </c>
      <c r="AO284" t="s">
        <v>816</v>
      </c>
      <c r="AR284" t="s">
        <v>2055</v>
      </c>
      <c r="AT284" t="s">
        <v>173</v>
      </c>
      <c r="AU284" t="s">
        <v>175</v>
      </c>
      <c r="AW284">
        <v>0</v>
      </c>
      <c r="AX284" s="1">
        <v>46118</v>
      </c>
      <c r="AY284" s="2">
        <v>0.44136574074074075</v>
      </c>
      <c r="AZ284">
        <v>184321</v>
      </c>
      <c r="BA284" s="1">
        <v>46038</v>
      </c>
      <c r="BC284" t="s">
        <v>0</v>
      </c>
      <c r="BD284" s="1">
        <v>46102</v>
      </c>
      <c r="BE284" t="s">
        <v>175</v>
      </c>
      <c r="BL284" s="4">
        <v>0</v>
      </c>
      <c r="BM284" s="1">
        <v>46899</v>
      </c>
      <c r="BO284">
        <v>0</v>
      </c>
      <c r="BP284">
        <v>27572</v>
      </c>
      <c r="BQ284" t="s">
        <v>156</v>
      </c>
      <c r="BR284" s="3">
        <v>136096.22</v>
      </c>
      <c r="BS284" s="3">
        <v>24961</v>
      </c>
      <c r="BT284">
        <v>0</v>
      </c>
      <c r="BU284" s="3">
        <v>161057.22</v>
      </c>
      <c r="BV284" s="3">
        <v>241000.42</v>
      </c>
      <c r="BX284">
        <v>0</v>
      </c>
      <c r="BZ284">
        <v>0</v>
      </c>
      <c r="CA284">
        <v>0</v>
      </c>
      <c r="CB284">
        <v>0</v>
      </c>
      <c r="CC284" s="3">
        <v>241000.42</v>
      </c>
      <c r="CD284" s="5">
        <v>0</v>
      </c>
      <c r="CF284" s="6">
        <v>46113</v>
      </c>
      <c r="CH284">
        <v>0</v>
      </c>
      <c r="CI284">
        <v>0</v>
      </c>
      <c r="CJ284">
        <v>0</v>
      </c>
      <c r="CK284">
        <v>0</v>
      </c>
      <c r="CL284">
        <v>0</v>
      </c>
      <c r="CM284">
        <v>0</v>
      </c>
      <c r="CN284">
        <v>0</v>
      </c>
      <c r="CO284">
        <v>0</v>
      </c>
      <c r="CP284">
        <v>0</v>
      </c>
      <c r="CQ284">
        <v>0</v>
      </c>
      <c r="CR284">
        <v>0</v>
      </c>
      <c r="CT284" t="s">
        <v>190</v>
      </c>
      <c r="CU284" t="s">
        <v>760</v>
      </c>
      <c r="CW284">
        <v>0</v>
      </c>
      <c r="CZ284" s="1">
        <v>46102</v>
      </c>
      <c r="DA284" t="s">
        <v>172</v>
      </c>
      <c r="DB284" t="s">
        <v>172</v>
      </c>
      <c r="DC284" t="s">
        <v>172</v>
      </c>
      <c r="DD284" t="s">
        <v>172</v>
      </c>
      <c r="DG284" s="1">
        <v>46102</v>
      </c>
      <c r="DH284">
        <v>0</v>
      </c>
      <c r="DI284">
        <v>0</v>
      </c>
      <c r="DK284" t="s">
        <v>179</v>
      </c>
      <c r="DL284" t="s">
        <v>200</v>
      </c>
      <c r="DM284" t="s">
        <v>172</v>
      </c>
      <c r="DN284" t="s">
        <v>201</v>
      </c>
      <c r="DV284" s="3">
        <v>241000.42</v>
      </c>
      <c r="DW284">
        <v>0</v>
      </c>
      <c r="DX284" s="3">
        <v>241000.42</v>
      </c>
      <c r="DY284">
        <v>0</v>
      </c>
      <c r="EN284" t="s">
        <v>537</v>
      </c>
      <c r="EU284" s="1">
        <v>46107</v>
      </c>
    </row>
    <row r="285" spans="1:153" ht="87" x14ac:dyDescent="0.35">
      <c r="A285" t="str">
        <f>HYPERLINK("https://7lm.cvcrm.com.br/gestor/comercial/reservas/6875/administrar","6875")</f>
        <v>6875</v>
      </c>
      <c r="B285" t="s">
        <v>156</v>
      </c>
      <c r="C285" s="1">
        <v>46102</v>
      </c>
      <c r="D285" s="2">
        <v>0.50329861111111107</v>
      </c>
      <c r="E285" t="s">
        <v>294</v>
      </c>
      <c r="F285" t="s">
        <v>158</v>
      </c>
      <c r="G285" t="s">
        <v>159</v>
      </c>
      <c r="H285" t="s">
        <v>160</v>
      </c>
      <c r="I285">
        <v>302</v>
      </c>
      <c r="J285">
        <v>1</v>
      </c>
      <c r="L285">
        <v>10001</v>
      </c>
      <c r="M285" t="s">
        <v>2056</v>
      </c>
      <c r="N285" s="1">
        <v>46104</v>
      </c>
      <c r="O285" s="2">
        <v>0.57285879629629632</v>
      </c>
      <c r="R285" t="str">
        <f>HYPERLINK("https://7lm.cvcrm.com.br/gestor/relatorios/associado/html?q[1|r.idreserva]=6875","GABRIELA COSTA DOS SANTOS")</f>
        <v>GABRIELA COSTA DOS SANTOS</v>
      </c>
      <c r="S285">
        <v>5577563160</v>
      </c>
      <c r="T285">
        <v>5561992376371</v>
      </c>
      <c r="U285">
        <v>5561992376371</v>
      </c>
      <c r="V285" t="s">
        <v>2057</v>
      </c>
      <c r="W285" t="s">
        <v>187</v>
      </c>
      <c r="X285" t="s">
        <v>299</v>
      </c>
      <c r="Y285" t="s">
        <v>165</v>
      </c>
      <c r="Z285" t="s">
        <v>257</v>
      </c>
      <c r="AA285" t="s">
        <v>2058</v>
      </c>
      <c r="AB285" t="s">
        <v>2059</v>
      </c>
      <c r="AC285" t="s">
        <v>177</v>
      </c>
      <c r="AF285" t="s">
        <v>170</v>
      </c>
      <c r="AG285" t="s">
        <v>171</v>
      </c>
      <c r="AH285" s="3">
        <v>352500</v>
      </c>
      <c r="AI285" s="3">
        <v>352500</v>
      </c>
      <c r="AJ285" s="1">
        <v>46104</v>
      </c>
      <c r="AN285" t="s">
        <v>172</v>
      </c>
      <c r="AR285" s="7" t="s">
        <v>1149</v>
      </c>
      <c r="AT285" t="s">
        <v>196</v>
      </c>
      <c r="AU285" t="s">
        <v>292</v>
      </c>
      <c r="AW285">
        <v>0</v>
      </c>
      <c r="AX285" s="1">
        <v>46108</v>
      </c>
      <c r="AY285" s="2">
        <v>0.61956018518518519</v>
      </c>
      <c r="AZ285">
        <v>194855</v>
      </c>
      <c r="BA285" s="1">
        <v>46092</v>
      </c>
      <c r="BC285" t="s">
        <v>175</v>
      </c>
      <c r="BD285" s="1">
        <v>46092</v>
      </c>
      <c r="BE285" t="s">
        <v>262</v>
      </c>
      <c r="BL285" s="4">
        <v>0</v>
      </c>
      <c r="BM285" s="1">
        <v>46387</v>
      </c>
      <c r="BN285" s="1">
        <v>46108</v>
      </c>
      <c r="BO285">
        <v>0</v>
      </c>
      <c r="BP285">
        <v>29555</v>
      </c>
      <c r="BQ285" t="s">
        <v>156</v>
      </c>
      <c r="BR285" s="3">
        <v>350000</v>
      </c>
      <c r="BS285">
        <v>0</v>
      </c>
      <c r="BT285">
        <v>0</v>
      </c>
      <c r="BU285" s="3">
        <v>350000</v>
      </c>
      <c r="BV285" s="3">
        <v>352500</v>
      </c>
      <c r="BX285">
        <v>0</v>
      </c>
      <c r="BZ285">
        <v>0</v>
      </c>
      <c r="CA285">
        <v>0</v>
      </c>
      <c r="CB285">
        <v>0</v>
      </c>
      <c r="CC285" s="3">
        <v>352500</v>
      </c>
      <c r="CD285" s="5">
        <v>0</v>
      </c>
      <c r="CF285" s="6">
        <v>46082</v>
      </c>
      <c r="CH285">
        <v>0</v>
      </c>
      <c r="CI285">
        <v>0</v>
      </c>
      <c r="CJ285">
        <v>0</v>
      </c>
      <c r="CK285">
        <v>0</v>
      </c>
      <c r="CL285">
        <v>0</v>
      </c>
      <c r="CM285">
        <v>0</v>
      </c>
      <c r="CN285">
        <v>0</v>
      </c>
      <c r="CO285">
        <v>0</v>
      </c>
      <c r="CP285">
        <v>0</v>
      </c>
      <c r="CQ285">
        <v>0</v>
      </c>
      <c r="CR285">
        <v>0</v>
      </c>
      <c r="CS285" t="s">
        <v>177</v>
      </c>
      <c r="CT285" t="s">
        <v>178</v>
      </c>
      <c r="CU285">
        <v>302</v>
      </c>
      <c r="CW285">
        <v>-55.095500000000001</v>
      </c>
      <c r="CZ285" s="1">
        <v>46102</v>
      </c>
      <c r="DA285" t="s">
        <v>172</v>
      </c>
      <c r="DB285" t="s">
        <v>172</v>
      </c>
      <c r="DC285" t="s">
        <v>172</v>
      </c>
      <c r="DD285" t="s">
        <v>172</v>
      </c>
      <c r="DG285" s="1">
        <v>46102</v>
      </c>
      <c r="DH285">
        <v>0</v>
      </c>
      <c r="DI285">
        <v>0</v>
      </c>
      <c r="DK285" t="s">
        <v>179</v>
      </c>
      <c r="DM285" t="s">
        <v>172</v>
      </c>
      <c r="DN285" t="s">
        <v>553</v>
      </c>
      <c r="DU285" t="s">
        <v>734</v>
      </c>
      <c r="DV285" s="3">
        <v>432500</v>
      </c>
      <c r="DW285">
        <v>-55.1</v>
      </c>
      <c r="DX285" s="3">
        <v>432500</v>
      </c>
      <c r="DY285">
        <v>-55.1</v>
      </c>
      <c r="EG285" s="1">
        <v>46106</v>
      </c>
    </row>
    <row r="286" spans="1:153" ht="246.5" x14ac:dyDescent="0.35">
      <c r="A286" t="str">
        <f>HYPERLINK("https://7lm.cvcrm.com.br/gestor/comercial/reservas/6874/administrar","6874")</f>
        <v>6874</v>
      </c>
      <c r="B286" t="s">
        <v>156</v>
      </c>
      <c r="C286" s="1">
        <v>46102</v>
      </c>
      <c r="D286" s="2">
        <v>0.47780092592592593</v>
      </c>
      <c r="E286" t="s">
        <v>294</v>
      </c>
      <c r="F286" t="s">
        <v>216</v>
      </c>
      <c r="G286" t="s">
        <v>159</v>
      </c>
      <c r="H286" t="s">
        <v>404</v>
      </c>
      <c r="I286" t="s">
        <v>593</v>
      </c>
      <c r="J286">
        <v>1</v>
      </c>
      <c r="L286">
        <v>20061</v>
      </c>
      <c r="M286" t="s">
        <v>2060</v>
      </c>
      <c r="N286" s="1">
        <v>46108</v>
      </c>
      <c r="O286" s="2">
        <v>0.68841435185185185</v>
      </c>
      <c r="R286" t="str">
        <f>HYPERLINK("https://7lm.cvcrm.com.br/gestor/relatorios/associado/html?q[1|r.idreserva]=6874","PEDRO HENRIQUE GOMES SILVA")</f>
        <v>PEDRO HENRIQUE GOMES SILVA</v>
      </c>
      <c r="S286">
        <v>6368636114</v>
      </c>
      <c r="T286">
        <v>5561991119429</v>
      </c>
      <c r="V286" t="s">
        <v>2061</v>
      </c>
      <c r="W286" t="s">
        <v>163</v>
      </c>
      <c r="Y286" t="s">
        <v>165</v>
      </c>
      <c r="Z286" t="s">
        <v>257</v>
      </c>
      <c r="AA286" t="s">
        <v>783</v>
      </c>
      <c r="AB286" t="s">
        <v>2062</v>
      </c>
      <c r="AC286" t="s">
        <v>2063</v>
      </c>
      <c r="AD286" t="s">
        <v>2064</v>
      </c>
      <c r="AF286" t="s">
        <v>212</v>
      </c>
      <c r="AG286" t="s">
        <v>284</v>
      </c>
      <c r="AH286" s="3">
        <v>227654</v>
      </c>
      <c r="AI286" s="3">
        <v>227654</v>
      </c>
      <c r="AJ286" s="1">
        <v>47036</v>
      </c>
      <c r="AN286" t="s">
        <v>172</v>
      </c>
      <c r="AR286" s="7" t="s">
        <v>353</v>
      </c>
      <c r="AT286" t="s">
        <v>196</v>
      </c>
      <c r="AU286" t="s">
        <v>175</v>
      </c>
      <c r="AW286">
        <v>0</v>
      </c>
      <c r="AX286" s="1">
        <v>46107</v>
      </c>
      <c r="AY286" s="2">
        <v>0.71552083333333338</v>
      </c>
      <c r="AZ286">
        <v>196598</v>
      </c>
      <c r="BA286" s="1">
        <v>46102</v>
      </c>
      <c r="BC286" t="s">
        <v>0</v>
      </c>
      <c r="BD286" s="1">
        <v>46102</v>
      </c>
      <c r="BE286" t="s">
        <v>175</v>
      </c>
      <c r="BL286" s="4">
        <v>0</v>
      </c>
      <c r="BM286" s="1">
        <v>46995</v>
      </c>
      <c r="BN286" s="1">
        <v>46107</v>
      </c>
      <c r="BO286">
        <v>0</v>
      </c>
      <c r="BP286">
        <v>29968</v>
      </c>
      <c r="BQ286" t="s">
        <v>156</v>
      </c>
      <c r="BR286" s="3">
        <v>180254</v>
      </c>
      <c r="BS286" s="3">
        <v>2246</v>
      </c>
      <c r="BT286">
        <v>0</v>
      </c>
      <c r="BU286" s="3">
        <v>182500</v>
      </c>
      <c r="BV286" s="3">
        <v>227654</v>
      </c>
      <c r="BX286">
        <v>0</v>
      </c>
      <c r="BZ286">
        <v>0</v>
      </c>
      <c r="CA286">
        <v>0</v>
      </c>
      <c r="CB286">
        <v>0</v>
      </c>
      <c r="CC286" s="3">
        <v>227654</v>
      </c>
      <c r="CD286" s="5">
        <v>0</v>
      </c>
      <c r="CF286" s="6">
        <v>46082</v>
      </c>
      <c r="CH286">
        <v>0</v>
      </c>
      <c r="CI286">
        <v>0</v>
      </c>
      <c r="CJ286">
        <v>0</v>
      </c>
      <c r="CK286">
        <v>0</v>
      </c>
      <c r="CL286">
        <v>0</v>
      </c>
      <c r="CM286">
        <v>0</v>
      </c>
      <c r="CN286">
        <v>0</v>
      </c>
      <c r="CO286">
        <v>0</v>
      </c>
      <c r="CP286">
        <v>0</v>
      </c>
      <c r="CQ286">
        <v>0</v>
      </c>
      <c r="CR286">
        <v>0</v>
      </c>
      <c r="CS286" t="s">
        <v>360</v>
      </c>
      <c r="CT286" t="s">
        <v>214</v>
      </c>
      <c r="CU286" t="s">
        <v>593</v>
      </c>
      <c r="CW286">
        <v>-53.482999999999997</v>
      </c>
      <c r="CZ286" s="1">
        <v>46102</v>
      </c>
      <c r="DA286" t="s">
        <v>172</v>
      </c>
      <c r="DB286" t="s">
        <v>172</v>
      </c>
      <c r="DC286" t="s">
        <v>172</v>
      </c>
      <c r="DD286" t="s">
        <v>172</v>
      </c>
      <c r="DG286" s="1">
        <v>46102</v>
      </c>
      <c r="DH286">
        <v>0</v>
      </c>
      <c r="DI286">
        <v>0</v>
      </c>
      <c r="DK286" t="s">
        <v>179</v>
      </c>
      <c r="DL286" t="s">
        <v>224</v>
      </c>
      <c r="DM286" t="s">
        <v>172</v>
      </c>
      <c r="DN286" t="s">
        <v>525</v>
      </c>
      <c r="DV286" s="3">
        <v>227654</v>
      </c>
      <c r="DW286">
        <v>0</v>
      </c>
      <c r="DX286" s="3">
        <v>227654</v>
      </c>
      <c r="DY286">
        <v>0</v>
      </c>
      <c r="EN286" t="s">
        <v>156</v>
      </c>
      <c r="EP286" s="1">
        <v>46107</v>
      </c>
      <c r="EU286" s="1">
        <v>46107</v>
      </c>
      <c r="EW286" s="1">
        <v>46102</v>
      </c>
    </row>
    <row r="287" spans="1:153" x14ac:dyDescent="0.35">
      <c r="A287" t="str">
        <f>HYPERLINK("https://7lm.cvcrm.com.br/gestor/comercial/reservas/6873/administrar","6873")</f>
        <v>6873</v>
      </c>
      <c r="B287" t="s">
        <v>156</v>
      </c>
      <c r="C287" s="1">
        <v>46102</v>
      </c>
      <c r="D287" s="2">
        <v>0.43706018518518519</v>
      </c>
      <c r="E287" t="s">
        <v>294</v>
      </c>
      <c r="F287" t="s">
        <v>226</v>
      </c>
      <c r="G287" t="s">
        <v>159</v>
      </c>
      <c r="H287" t="s">
        <v>722</v>
      </c>
      <c r="I287" t="s">
        <v>459</v>
      </c>
      <c r="J287">
        <v>1</v>
      </c>
      <c r="L287">
        <v>10031</v>
      </c>
      <c r="M287" t="s">
        <v>2065</v>
      </c>
      <c r="N287" s="1">
        <v>46102</v>
      </c>
      <c r="O287" s="2">
        <v>0.45903935185185185</v>
      </c>
      <c r="R287" t="str">
        <f>HYPERLINK("https://7lm.cvcrm.com.br/gestor/relatorios/associado/html?q[1|r.idreserva]=6873","WALLECY XAVIER DA SILVA")</f>
        <v>WALLECY XAVIER DA SILVA</v>
      </c>
      <c r="S287">
        <v>4764520150</v>
      </c>
      <c r="T287">
        <v>5561993218460</v>
      </c>
      <c r="U287">
        <v>5561993218460</v>
      </c>
      <c r="V287" t="s">
        <v>2066</v>
      </c>
      <c r="W287" t="s">
        <v>163</v>
      </c>
      <c r="X287" t="s">
        <v>1116</v>
      </c>
      <c r="Y287" t="s">
        <v>165</v>
      </c>
      <c r="Z287" t="s">
        <v>257</v>
      </c>
      <c r="AA287" t="s">
        <v>2067</v>
      </c>
      <c r="AB287" t="s">
        <v>2068</v>
      </c>
      <c r="AC287" t="s">
        <v>177</v>
      </c>
      <c r="AF287" t="s">
        <v>170</v>
      </c>
      <c r="AG287" t="s">
        <v>171</v>
      </c>
      <c r="AH287" s="3">
        <v>351190</v>
      </c>
      <c r="AI287" s="3">
        <v>351190</v>
      </c>
      <c r="AJ287" s="1">
        <v>46104</v>
      </c>
      <c r="AN287" t="s">
        <v>172</v>
      </c>
      <c r="AR287" t="s">
        <v>2069</v>
      </c>
      <c r="AT287" t="s">
        <v>196</v>
      </c>
      <c r="AU287" t="s">
        <v>197</v>
      </c>
      <c r="AW287">
        <v>0</v>
      </c>
      <c r="AX287" s="1">
        <v>46108</v>
      </c>
      <c r="AY287" s="2">
        <v>0.6272685185185185</v>
      </c>
      <c r="AZ287">
        <v>194929</v>
      </c>
      <c r="BA287" s="1">
        <v>46093</v>
      </c>
      <c r="BC287" t="s">
        <v>213</v>
      </c>
      <c r="BD287" s="1">
        <v>46093</v>
      </c>
      <c r="BE287" t="s">
        <v>176</v>
      </c>
      <c r="BL287" s="4">
        <v>0</v>
      </c>
      <c r="BM287" s="1">
        <v>46698</v>
      </c>
      <c r="BN287" s="1">
        <v>46108</v>
      </c>
      <c r="BO287">
        <v>0</v>
      </c>
      <c r="BP287">
        <v>29606</v>
      </c>
      <c r="BQ287" t="s">
        <v>156</v>
      </c>
      <c r="BR287" s="3">
        <v>280000</v>
      </c>
      <c r="BS287">
        <v>0</v>
      </c>
      <c r="BT287">
        <v>0</v>
      </c>
      <c r="BU287" s="3">
        <v>280000</v>
      </c>
      <c r="BV287" s="3">
        <v>351190</v>
      </c>
      <c r="BX287">
        <v>0</v>
      </c>
      <c r="BZ287">
        <v>0</v>
      </c>
      <c r="CA287">
        <v>0</v>
      </c>
      <c r="CB287">
        <v>0</v>
      </c>
      <c r="CC287" s="3">
        <v>351190</v>
      </c>
      <c r="CD287" s="5">
        <v>0</v>
      </c>
      <c r="CF287" s="6">
        <v>46082</v>
      </c>
      <c r="CH287">
        <v>0</v>
      </c>
      <c r="CI287">
        <v>0</v>
      </c>
      <c r="CJ287">
        <v>0</v>
      </c>
      <c r="CK287">
        <v>0</v>
      </c>
      <c r="CL287">
        <v>0</v>
      </c>
      <c r="CM287">
        <v>0</v>
      </c>
      <c r="CN287">
        <v>0</v>
      </c>
      <c r="CO287">
        <v>0</v>
      </c>
      <c r="CP287">
        <v>0</v>
      </c>
      <c r="CQ287">
        <v>0</v>
      </c>
      <c r="CR287">
        <v>0</v>
      </c>
      <c r="CS287" t="s">
        <v>177</v>
      </c>
      <c r="CT287" t="s">
        <v>238</v>
      </c>
      <c r="CU287" t="s">
        <v>459</v>
      </c>
      <c r="CW287">
        <v>-59.164000000000001</v>
      </c>
      <c r="CX287" t="s">
        <v>170</v>
      </c>
      <c r="CZ287" s="1">
        <v>46102</v>
      </c>
      <c r="DA287" t="s">
        <v>172</v>
      </c>
      <c r="DB287" t="s">
        <v>172</v>
      </c>
      <c r="DC287" t="s">
        <v>172</v>
      </c>
      <c r="DD287" t="s">
        <v>172</v>
      </c>
      <c r="DG287" s="1">
        <v>46102</v>
      </c>
      <c r="DH287">
        <v>0</v>
      </c>
      <c r="DI287">
        <v>0</v>
      </c>
      <c r="DL287" t="s">
        <v>239</v>
      </c>
      <c r="DM287" t="s">
        <v>172</v>
      </c>
      <c r="DU287" t="s">
        <v>1120</v>
      </c>
      <c r="DV287" s="3">
        <v>508810</v>
      </c>
      <c r="DW287">
        <v>-59.16</v>
      </c>
      <c r="DX287" s="3">
        <v>508810</v>
      </c>
      <c r="DY287">
        <v>-59.16</v>
      </c>
    </row>
    <row r="288" spans="1:153" ht="87" x14ac:dyDescent="0.35">
      <c r="A288" t="str">
        <f>HYPERLINK("https://7lm.cvcrm.com.br/gestor/comercial/reservas/6872/administrar","6872")</f>
        <v>6872</v>
      </c>
      <c r="B288" t="s">
        <v>156</v>
      </c>
      <c r="C288" s="1">
        <v>46101</v>
      </c>
      <c r="D288" s="2">
        <v>0.7251967592592593</v>
      </c>
      <c r="E288" t="s">
        <v>294</v>
      </c>
      <c r="F288" t="s">
        <v>158</v>
      </c>
      <c r="G288" t="s">
        <v>159</v>
      </c>
      <c r="H288" t="s">
        <v>160</v>
      </c>
      <c r="I288">
        <v>1301</v>
      </c>
      <c r="J288">
        <v>1</v>
      </c>
      <c r="L288">
        <v>10001</v>
      </c>
      <c r="M288" t="s">
        <v>2070</v>
      </c>
      <c r="N288" s="1">
        <v>46103</v>
      </c>
      <c r="O288" s="2">
        <v>0.79820601851851847</v>
      </c>
      <c r="R288" t="str">
        <f>HYPERLINK("https://7lm.cvcrm.com.br/gestor/relatorios/associado/html?q[1|r.idreserva]=6872","ERICA PEREIRA XAVIER HADJI")</f>
        <v>ERICA PEREIRA XAVIER HADJI</v>
      </c>
      <c r="S288">
        <v>80978690125</v>
      </c>
      <c r="T288">
        <v>5561981815937</v>
      </c>
      <c r="U288">
        <v>5561981815937</v>
      </c>
      <c r="V288" t="s">
        <v>2071</v>
      </c>
      <c r="W288" t="s">
        <v>187</v>
      </c>
      <c r="X288" t="s">
        <v>1147</v>
      </c>
      <c r="Y288" t="s">
        <v>165</v>
      </c>
      <c r="Z288" t="s">
        <v>257</v>
      </c>
      <c r="AA288" t="s">
        <v>522</v>
      </c>
      <c r="AB288" t="s">
        <v>2072</v>
      </c>
      <c r="AC288" t="s">
        <v>177</v>
      </c>
      <c r="AF288" t="s">
        <v>170</v>
      </c>
      <c r="AG288" t="s">
        <v>552</v>
      </c>
      <c r="AH288" s="3">
        <v>376000</v>
      </c>
      <c r="AI288" s="3">
        <v>376000</v>
      </c>
      <c r="AJ288" s="1">
        <v>46102</v>
      </c>
      <c r="AN288" t="s">
        <v>172</v>
      </c>
      <c r="AR288" s="7" t="s">
        <v>1149</v>
      </c>
      <c r="AT288" t="s">
        <v>196</v>
      </c>
      <c r="AU288" t="s">
        <v>197</v>
      </c>
      <c r="AW288">
        <v>0</v>
      </c>
      <c r="AX288" s="1">
        <v>46107</v>
      </c>
      <c r="AY288" s="2">
        <v>0.42241898148148149</v>
      </c>
      <c r="AZ288">
        <v>193523</v>
      </c>
      <c r="BA288" s="1">
        <v>46085</v>
      </c>
      <c r="BC288" t="s">
        <v>0</v>
      </c>
      <c r="BD288" s="1">
        <v>46090</v>
      </c>
      <c r="BE288" t="s">
        <v>176</v>
      </c>
      <c r="BL288" s="4">
        <v>0</v>
      </c>
      <c r="BM288" s="1">
        <v>46387</v>
      </c>
      <c r="BN288" s="1">
        <v>46107</v>
      </c>
      <c r="BO288">
        <v>0</v>
      </c>
      <c r="BP288">
        <v>29226</v>
      </c>
      <c r="BQ288" t="s">
        <v>156</v>
      </c>
      <c r="BR288" s="3">
        <v>359955.26</v>
      </c>
      <c r="BS288">
        <v>0</v>
      </c>
      <c r="BT288">
        <v>0</v>
      </c>
      <c r="BU288" s="3">
        <v>359955.26</v>
      </c>
      <c r="BV288" s="3">
        <v>376000</v>
      </c>
      <c r="BX288">
        <v>0</v>
      </c>
      <c r="BZ288">
        <v>0</v>
      </c>
      <c r="CA288">
        <v>0</v>
      </c>
      <c r="CB288">
        <v>0</v>
      </c>
      <c r="CC288" s="3">
        <v>376000</v>
      </c>
      <c r="CD288" s="5">
        <v>0</v>
      </c>
      <c r="CF288" s="6">
        <v>46082</v>
      </c>
      <c r="CH288">
        <v>0</v>
      </c>
      <c r="CI288">
        <v>0</v>
      </c>
      <c r="CJ288">
        <v>0</v>
      </c>
      <c r="CK288">
        <v>0</v>
      </c>
      <c r="CL288">
        <v>0</v>
      </c>
      <c r="CM288">
        <v>0</v>
      </c>
      <c r="CN288">
        <v>0</v>
      </c>
      <c r="CO288">
        <v>0</v>
      </c>
      <c r="CP288">
        <v>0</v>
      </c>
      <c r="CQ288">
        <v>0</v>
      </c>
      <c r="CR288">
        <v>0</v>
      </c>
      <c r="CS288" t="s">
        <v>177</v>
      </c>
      <c r="CT288" t="s">
        <v>178</v>
      </c>
      <c r="CU288">
        <v>1301</v>
      </c>
      <c r="CW288">
        <v>-58.384099999999997</v>
      </c>
      <c r="CZ288" s="1">
        <v>46101</v>
      </c>
      <c r="DA288" t="s">
        <v>172</v>
      </c>
      <c r="DB288" t="s">
        <v>172</v>
      </c>
      <c r="DC288" t="s">
        <v>172</v>
      </c>
      <c r="DD288" t="s">
        <v>172</v>
      </c>
      <c r="DG288" s="1">
        <v>46101</v>
      </c>
      <c r="DH288">
        <v>0</v>
      </c>
      <c r="DI288">
        <v>0</v>
      </c>
      <c r="DK288" t="s">
        <v>179</v>
      </c>
      <c r="DM288" t="s">
        <v>172</v>
      </c>
      <c r="DN288" t="s">
        <v>553</v>
      </c>
      <c r="DU288" t="s">
        <v>734</v>
      </c>
      <c r="DV288" s="3">
        <v>527500</v>
      </c>
      <c r="DW288">
        <v>-58.38</v>
      </c>
      <c r="DX288" s="3">
        <v>527500</v>
      </c>
      <c r="DY288">
        <v>-58.38</v>
      </c>
    </row>
    <row r="289" spans="1:153" ht="409.5" x14ac:dyDescent="0.35">
      <c r="A289" t="str">
        <f>HYPERLINK("https://7lm.cvcrm.com.br/gestor/comercial/reservas/6871/administrar","6871")</f>
        <v>6871</v>
      </c>
      <c r="B289" t="s">
        <v>172</v>
      </c>
      <c r="C289" s="1">
        <v>46101</v>
      </c>
      <c r="D289" s="2">
        <v>0.67606481481481484</v>
      </c>
      <c r="E289" t="s">
        <v>527</v>
      </c>
      <c r="F289" t="s">
        <v>182</v>
      </c>
      <c r="G289" t="s">
        <v>159</v>
      </c>
      <c r="H289" t="s">
        <v>704</v>
      </c>
      <c r="I289" t="s">
        <v>1588</v>
      </c>
      <c r="J289">
        <v>1</v>
      </c>
      <c r="L289">
        <v>30151</v>
      </c>
      <c r="M289" t="s">
        <v>1589</v>
      </c>
      <c r="R289" t="str">
        <f>HYPERLINK("https://7lm.cvcrm.com.br/gestor/relatorios/associado/html?q[1|r.idreserva]=6871","MAURO LOPES GUIMARAES")</f>
        <v>MAURO LOPES GUIMARAES</v>
      </c>
      <c r="S289">
        <v>89094484153</v>
      </c>
      <c r="T289">
        <v>5561999771181</v>
      </c>
      <c r="V289" t="s">
        <v>2073</v>
      </c>
      <c r="W289" t="s">
        <v>163</v>
      </c>
      <c r="X289" t="s">
        <v>376</v>
      </c>
      <c r="Y289" t="s">
        <v>189</v>
      </c>
      <c r="Z289" t="s">
        <v>190</v>
      </c>
      <c r="AA289" t="s">
        <v>2074</v>
      </c>
      <c r="AB289" t="s">
        <v>2075</v>
      </c>
      <c r="AC289" t="s">
        <v>302</v>
      </c>
      <c r="AD289" t="s">
        <v>302</v>
      </c>
      <c r="AF289" t="s">
        <v>303</v>
      </c>
      <c r="AG289" t="s">
        <v>251</v>
      </c>
      <c r="AH289" s="3">
        <v>245000.59</v>
      </c>
      <c r="AI289" s="3">
        <v>245000.59</v>
      </c>
      <c r="AJ289" s="1">
        <v>46132</v>
      </c>
      <c r="AN289" t="s">
        <v>172</v>
      </c>
      <c r="AO289" t="s">
        <v>1334</v>
      </c>
      <c r="AR289" s="7" t="s">
        <v>2076</v>
      </c>
      <c r="AT289" t="s">
        <v>196</v>
      </c>
      <c r="AU289" t="s">
        <v>292</v>
      </c>
      <c r="AW289">
        <v>0</v>
      </c>
      <c r="AX289" s="1">
        <v>46104</v>
      </c>
      <c r="AY289" s="2">
        <v>0.71313657407407405</v>
      </c>
      <c r="AZ289">
        <v>193239</v>
      </c>
      <c r="BA289" s="1">
        <v>46084</v>
      </c>
      <c r="BC289" t="s">
        <v>0</v>
      </c>
      <c r="BD289" s="1">
        <v>46101</v>
      </c>
      <c r="BE289" t="s">
        <v>466</v>
      </c>
      <c r="BL289" s="4">
        <v>0</v>
      </c>
      <c r="BM289" s="1">
        <v>46899</v>
      </c>
      <c r="BO289">
        <v>0</v>
      </c>
      <c r="BP289">
        <v>29218</v>
      </c>
      <c r="BQ289" t="s">
        <v>156</v>
      </c>
      <c r="BR289" s="3">
        <v>149352.79</v>
      </c>
      <c r="BS289" s="3">
        <v>6151</v>
      </c>
      <c r="BT289">
        <v>0</v>
      </c>
      <c r="BU289" s="3">
        <v>155503.79</v>
      </c>
      <c r="BV289" s="3">
        <v>245000.59</v>
      </c>
      <c r="BX289">
        <v>0</v>
      </c>
      <c r="BZ289">
        <v>0</v>
      </c>
      <c r="CA289">
        <v>0</v>
      </c>
      <c r="CB289">
        <v>0</v>
      </c>
      <c r="CC289" s="3">
        <v>245000.59</v>
      </c>
      <c r="CD289" s="5">
        <v>0</v>
      </c>
      <c r="CF289" s="6">
        <v>46082</v>
      </c>
      <c r="CH289">
        <v>0</v>
      </c>
      <c r="CI289">
        <v>0</v>
      </c>
      <c r="CJ289">
        <v>0</v>
      </c>
      <c r="CK289">
        <v>0</v>
      </c>
      <c r="CL289">
        <v>0</v>
      </c>
      <c r="CM289">
        <v>0</v>
      </c>
      <c r="CN289">
        <v>0</v>
      </c>
      <c r="CO289">
        <v>0</v>
      </c>
      <c r="CP289">
        <v>0</v>
      </c>
      <c r="CQ289">
        <v>0</v>
      </c>
      <c r="CR289">
        <v>0</v>
      </c>
      <c r="CT289" t="s">
        <v>190</v>
      </c>
      <c r="CU289" t="s">
        <v>1588</v>
      </c>
      <c r="CW289">
        <v>0</v>
      </c>
      <c r="CZ289" s="1">
        <v>46101</v>
      </c>
      <c r="DA289" t="s">
        <v>172</v>
      </c>
      <c r="DB289" t="s">
        <v>172</v>
      </c>
      <c r="DC289" t="s">
        <v>172</v>
      </c>
      <c r="DD289" t="s">
        <v>172</v>
      </c>
      <c r="DG289" s="1">
        <v>46101</v>
      </c>
      <c r="DH289">
        <v>0</v>
      </c>
      <c r="DI289">
        <v>0</v>
      </c>
      <c r="DK289" t="s">
        <v>179</v>
      </c>
      <c r="DL289" t="s">
        <v>200</v>
      </c>
      <c r="DM289" t="s">
        <v>172</v>
      </c>
      <c r="DN289" t="s">
        <v>201</v>
      </c>
      <c r="DV289" s="3">
        <v>245000.59</v>
      </c>
      <c r="DW289">
        <v>0</v>
      </c>
      <c r="DX289" s="3">
        <v>245000.59</v>
      </c>
      <c r="DY289">
        <v>0</v>
      </c>
      <c r="EN289" t="s">
        <v>537</v>
      </c>
    </row>
    <row r="290" spans="1:153" ht="246.5" x14ac:dyDescent="0.35">
      <c r="A290" t="str">
        <f>HYPERLINK("https://7lm.cvcrm.com.br/gestor/comercial/reservas/6870/administrar","6870")</f>
        <v>6870</v>
      </c>
      <c r="B290" t="s">
        <v>156</v>
      </c>
      <c r="C290" s="1">
        <v>46101</v>
      </c>
      <c r="D290" s="2">
        <v>0.66965277777777776</v>
      </c>
      <c r="E290" t="s">
        <v>294</v>
      </c>
      <c r="F290" t="s">
        <v>182</v>
      </c>
      <c r="G290" t="s">
        <v>159</v>
      </c>
      <c r="H290" t="s">
        <v>265</v>
      </c>
      <c r="I290" t="s">
        <v>2077</v>
      </c>
      <c r="J290">
        <v>1</v>
      </c>
      <c r="L290">
        <v>30151</v>
      </c>
      <c r="M290" t="s">
        <v>2078</v>
      </c>
      <c r="N290" s="1">
        <v>46126</v>
      </c>
      <c r="O290" s="2">
        <v>0.70608796296296295</v>
      </c>
      <c r="R290" t="str">
        <f>HYPERLINK("https://7lm.cvcrm.com.br/gestor/relatorios/associado/html?q[1|r.idreserva]=6870","GABRIEL SOUZA DOS SANTOS")</f>
        <v>GABRIEL SOUZA DOS SANTOS</v>
      </c>
      <c r="S290">
        <v>8291502188</v>
      </c>
      <c r="T290">
        <v>5561998755573</v>
      </c>
      <c r="V290" t="s">
        <v>2079</v>
      </c>
      <c r="W290" t="s">
        <v>163</v>
      </c>
      <c r="X290" t="s">
        <v>376</v>
      </c>
      <c r="AA290" t="s">
        <v>2080</v>
      </c>
      <c r="AB290" t="s">
        <v>2081</v>
      </c>
      <c r="AC290" t="s">
        <v>1104</v>
      </c>
      <c r="AF290" t="s">
        <v>303</v>
      </c>
      <c r="AG290" t="s">
        <v>251</v>
      </c>
      <c r="AH290" s="3">
        <v>244655.92</v>
      </c>
      <c r="AI290" s="3">
        <v>244655.92</v>
      </c>
      <c r="AJ290" s="1">
        <v>46112</v>
      </c>
      <c r="AN290" t="s">
        <v>172</v>
      </c>
      <c r="AR290" s="7" t="s">
        <v>353</v>
      </c>
      <c r="AT290" t="s">
        <v>196</v>
      </c>
      <c r="AU290" t="s">
        <v>292</v>
      </c>
      <c r="AW290">
        <v>0</v>
      </c>
      <c r="AX290" s="1">
        <v>46106</v>
      </c>
      <c r="AY290" s="2">
        <v>0.67335648148148153</v>
      </c>
      <c r="AZ290">
        <v>181589</v>
      </c>
      <c r="BA290" s="1">
        <v>46017</v>
      </c>
      <c r="BC290" t="s">
        <v>0</v>
      </c>
      <c r="BD290" s="1">
        <v>46101</v>
      </c>
      <c r="BE290" t="s">
        <v>198</v>
      </c>
      <c r="BL290" s="4">
        <v>0</v>
      </c>
      <c r="BM290" s="1">
        <v>46899</v>
      </c>
      <c r="BN290" s="1">
        <v>46106</v>
      </c>
      <c r="BO290">
        <v>0</v>
      </c>
      <c r="BP290">
        <v>29860</v>
      </c>
      <c r="BQ290" t="s">
        <v>156</v>
      </c>
      <c r="BR290" s="3">
        <v>134341.45000000001</v>
      </c>
      <c r="BS290" s="3">
        <v>19010</v>
      </c>
      <c r="BT290">
        <v>0</v>
      </c>
      <c r="BU290" s="3">
        <v>153351.45000000001</v>
      </c>
      <c r="BV290" s="3">
        <v>244655.92</v>
      </c>
      <c r="BX290">
        <v>0</v>
      </c>
      <c r="BZ290">
        <v>0</v>
      </c>
      <c r="CA290">
        <v>0</v>
      </c>
      <c r="CB290">
        <v>0</v>
      </c>
      <c r="CC290" s="3">
        <v>244655.92</v>
      </c>
      <c r="CD290" s="5">
        <v>0</v>
      </c>
      <c r="CF290" s="6">
        <v>46082</v>
      </c>
      <c r="CH290">
        <v>0</v>
      </c>
      <c r="CI290">
        <v>0</v>
      </c>
      <c r="CJ290">
        <v>0</v>
      </c>
      <c r="CK290">
        <v>0</v>
      </c>
      <c r="CL290">
        <v>0</v>
      </c>
      <c r="CM290">
        <v>0</v>
      </c>
      <c r="CN290">
        <v>0</v>
      </c>
      <c r="CO290">
        <v>0</v>
      </c>
      <c r="CP290">
        <v>0</v>
      </c>
      <c r="CQ290">
        <v>0</v>
      </c>
      <c r="CR290">
        <v>0</v>
      </c>
      <c r="CS290" t="s">
        <v>649</v>
      </c>
      <c r="CT290" t="s">
        <v>190</v>
      </c>
      <c r="CU290" t="s">
        <v>2077</v>
      </c>
      <c r="CW290">
        <v>-50.269300000000001</v>
      </c>
      <c r="CZ290" s="1">
        <v>46101</v>
      </c>
      <c r="DA290" t="s">
        <v>172</v>
      </c>
      <c r="DB290" t="s">
        <v>172</v>
      </c>
      <c r="DC290" t="s">
        <v>172</v>
      </c>
      <c r="DD290" t="s">
        <v>172</v>
      </c>
      <c r="DG290" s="1">
        <v>46101</v>
      </c>
      <c r="DH290">
        <v>0</v>
      </c>
      <c r="DI290">
        <v>0</v>
      </c>
      <c r="DK290" t="s">
        <v>179</v>
      </c>
      <c r="DL290" t="s">
        <v>200</v>
      </c>
      <c r="DM290" t="s">
        <v>172</v>
      </c>
      <c r="DN290" t="s">
        <v>201</v>
      </c>
      <c r="DP290" s="8">
        <v>0.01</v>
      </c>
      <c r="DV290" s="3">
        <v>244655.92</v>
      </c>
      <c r="DW290">
        <v>0</v>
      </c>
      <c r="DX290" s="3">
        <v>244655.92</v>
      </c>
      <c r="DY290">
        <v>0</v>
      </c>
      <c r="EG290" s="1">
        <v>46105</v>
      </c>
      <c r="EN290" t="s">
        <v>156</v>
      </c>
      <c r="EP290" s="1">
        <v>46105</v>
      </c>
      <c r="ER290" s="1">
        <v>46105</v>
      </c>
      <c r="ES290" t="s">
        <v>2082</v>
      </c>
      <c r="EW290" s="1">
        <v>46101</v>
      </c>
    </row>
    <row r="291" spans="1:153" ht="246.5" x14ac:dyDescent="0.35">
      <c r="A291" t="str">
        <f>HYPERLINK("https://7lm.cvcrm.com.br/gestor/comercial/reservas/6869/administrar","6869")</f>
        <v>6869</v>
      </c>
      <c r="B291" t="s">
        <v>156</v>
      </c>
      <c r="C291" s="1">
        <v>46101</v>
      </c>
      <c r="D291" s="2">
        <v>0.63638888888888889</v>
      </c>
      <c r="E291" t="s">
        <v>294</v>
      </c>
      <c r="F291" t="s">
        <v>957</v>
      </c>
      <c r="G291" t="s">
        <v>159</v>
      </c>
      <c r="H291" t="s">
        <v>2083</v>
      </c>
      <c r="I291" t="s">
        <v>2084</v>
      </c>
      <c r="J291">
        <v>1</v>
      </c>
      <c r="L291">
        <v>30121</v>
      </c>
      <c r="M291" t="s">
        <v>2085</v>
      </c>
      <c r="N291" s="1">
        <v>46126</v>
      </c>
      <c r="O291" s="2">
        <v>0.70407407407407407</v>
      </c>
      <c r="R291" t="str">
        <f>HYPERLINK("https://7lm.cvcrm.com.br/gestor/relatorios/associado/html?q[1|r.idreserva]=6869","RAYSSA DA SILVA SOARES")</f>
        <v>RAYSSA DA SILVA SOARES</v>
      </c>
      <c r="S291">
        <v>7681129154</v>
      </c>
      <c r="T291">
        <v>5561996698380</v>
      </c>
      <c r="V291" t="s">
        <v>2086</v>
      </c>
      <c r="W291" t="s">
        <v>187</v>
      </c>
      <c r="X291" t="s">
        <v>299</v>
      </c>
      <c r="Y291" t="s">
        <v>189</v>
      </c>
      <c r="Z291" t="s">
        <v>190</v>
      </c>
      <c r="AA291" t="s">
        <v>349</v>
      </c>
      <c r="AB291" t="s">
        <v>2087</v>
      </c>
      <c r="AC291" t="s">
        <v>2088</v>
      </c>
      <c r="AD291" t="s">
        <v>2088</v>
      </c>
      <c r="AF291" t="s">
        <v>303</v>
      </c>
      <c r="AG291" t="s">
        <v>195</v>
      </c>
      <c r="AH291" s="3">
        <v>258933.12</v>
      </c>
      <c r="AI291" s="3">
        <v>258933.12</v>
      </c>
      <c r="AJ291" s="1">
        <v>46157</v>
      </c>
      <c r="AN291" t="s">
        <v>172</v>
      </c>
      <c r="AR291" s="7" t="s">
        <v>353</v>
      </c>
      <c r="AT291" t="s">
        <v>196</v>
      </c>
      <c r="AU291" t="s">
        <v>292</v>
      </c>
      <c r="AW291">
        <v>0</v>
      </c>
      <c r="AX291" s="1">
        <v>46111</v>
      </c>
      <c r="AY291" s="2">
        <v>0.47379629629629627</v>
      </c>
      <c r="AZ291">
        <v>177710</v>
      </c>
      <c r="BA291" s="1">
        <v>45987</v>
      </c>
      <c r="BC291" t="s">
        <v>0</v>
      </c>
      <c r="BD291" s="1">
        <v>46101</v>
      </c>
      <c r="BE291" t="s">
        <v>213</v>
      </c>
      <c r="BL291" s="4">
        <v>0</v>
      </c>
      <c r="BM291" s="1">
        <v>47031</v>
      </c>
      <c r="BN291" s="1">
        <v>46111</v>
      </c>
      <c r="BO291">
        <v>0</v>
      </c>
      <c r="BP291">
        <v>29876</v>
      </c>
      <c r="BQ291" t="s">
        <v>156</v>
      </c>
      <c r="BR291" s="3">
        <v>146039.93</v>
      </c>
      <c r="BS291" s="3">
        <v>19010</v>
      </c>
      <c r="BT291">
        <v>0</v>
      </c>
      <c r="BU291" s="3">
        <v>165049.93</v>
      </c>
      <c r="BV291" s="3">
        <v>258933.12</v>
      </c>
      <c r="BX291">
        <v>0</v>
      </c>
      <c r="BZ291">
        <v>0</v>
      </c>
      <c r="CA291">
        <v>0</v>
      </c>
      <c r="CB291">
        <v>0</v>
      </c>
      <c r="CC291" s="3">
        <v>258933.12</v>
      </c>
      <c r="CD291" s="5">
        <v>0</v>
      </c>
      <c r="CF291" s="6">
        <v>46082</v>
      </c>
      <c r="CH291">
        <v>0</v>
      </c>
      <c r="CI291">
        <v>0</v>
      </c>
      <c r="CJ291">
        <v>0</v>
      </c>
      <c r="CK291">
        <v>0</v>
      </c>
      <c r="CL291">
        <v>0</v>
      </c>
      <c r="CM291">
        <v>0</v>
      </c>
      <c r="CN291">
        <v>0</v>
      </c>
      <c r="CO291">
        <v>0</v>
      </c>
      <c r="CP291">
        <v>0</v>
      </c>
      <c r="CQ291">
        <v>0</v>
      </c>
      <c r="CR291">
        <v>0</v>
      </c>
      <c r="CS291" t="s">
        <v>649</v>
      </c>
      <c r="CT291" t="s">
        <v>190</v>
      </c>
      <c r="CU291" t="s">
        <v>2084</v>
      </c>
      <c r="CW291">
        <v>-44.6875</v>
      </c>
      <c r="CZ291" s="1">
        <v>46101</v>
      </c>
      <c r="DA291" t="s">
        <v>172</v>
      </c>
      <c r="DB291" t="s">
        <v>172</v>
      </c>
      <c r="DC291" t="s">
        <v>172</v>
      </c>
      <c r="DD291" t="s">
        <v>172</v>
      </c>
      <c r="DG291" s="1">
        <v>46101</v>
      </c>
      <c r="DH291">
        <v>0</v>
      </c>
      <c r="DI291">
        <v>0</v>
      </c>
      <c r="DK291" t="s">
        <v>179</v>
      </c>
      <c r="DL291" t="s">
        <v>963</v>
      </c>
      <c r="DM291" t="s">
        <v>172</v>
      </c>
      <c r="DN291" t="s">
        <v>201</v>
      </c>
      <c r="DU291" t="s">
        <v>1238</v>
      </c>
      <c r="DV291" s="3">
        <v>248466.88</v>
      </c>
      <c r="DW291">
        <v>-48.97</v>
      </c>
      <c r="DX291" s="3">
        <v>248466.88</v>
      </c>
      <c r="DY291">
        <v>-48.97</v>
      </c>
      <c r="EN291" t="s">
        <v>172</v>
      </c>
      <c r="EP291" s="1">
        <v>46108</v>
      </c>
      <c r="ER291" s="1">
        <v>46107</v>
      </c>
      <c r="ES291" t="s">
        <v>2089</v>
      </c>
      <c r="ET291" t="s">
        <v>2090</v>
      </c>
      <c r="EW291" s="1">
        <v>46101</v>
      </c>
    </row>
    <row r="292" spans="1:153" ht="246.5" x14ac:dyDescent="0.35">
      <c r="A292" t="str">
        <f>HYPERLINK("https://7lm.cvcrm.com.br/gestor/comercial/reservas/6868/administrar","6868")</f>
        <v>6868</v>
      </c>
      <c r="B292" t="s">
        <v>156</v>
      </c>
      <c r="C292" s="1">
        <v>46101</v>
      </c>
      <c r="D292" s="2">
        <v>0.5678009259259259</v>
      </c>
      <c r="E292" t="s">
        <v>294</v>
      </c>
      <c r="F292" t="s">
        <v>182</v>
      </c>
      <c r="G292" t="s">
        <v>159</v>
      </c>
      <c r="H292" t="s">
        <v>241</v>
      </c>
      <c r="I292" t="s">
        <v>2091</v>
      </c>
      <c r="J292">
        <v>1</v>
      </c>
      <c r="L292">
        <v>30151</v>
      </c>
      <c r="M292" t="s">
        <v>2092</v>
      </c>
      <c r="N292" s="1">
        <v>46105</v>
      </c>
      <c r="O292" s="2">
        <v>0.71873842592592596</v>
      </c>
      <c r="R292" t="str">
        <f>HYPERLINK("https://7lm.cvcrm.com.br/gestor/relatorios/associado/html?q[1|r.idreserva]=6868","ANDRE LUIZ PEREIRA DA SILVA")</f>
        <v>ANDRE LUIZ PEREIRA DA SILVA</v>
      </c>
      <c r="S292">
        <v>84599936120</v>
      </c>
      <c r="T292">
        <v>5561998694013</v>
      </c>
      <c r="V292" t="s">
        <v>2093</v>
      </c>
      <c r="W292" t="s">
        <v>163</v>
      </c>
      <c r="X292" t="s">
        <v>2094</v>
      </c>
      <c r="Y292" t="s">
        <v>189</v>
      </c>
      <c r="Z292" t="s">
        <v>190</v>
      </c>
      <c r="AA292" t="s">
        <v>799</v>
      </c>
      <c r="AB292" t="s">
        <v>2095</v>
      </c>
      <c r="AC292" t="s">
        <v>917</v>
      </c>
      <c r="AF292" t="s">
        <v>194</v>
      </c>
      <c r="AG292" t="s">
        <v>195</v>
      </c>
      <c r="AH292" s="3">
        <v>241000.5</v>
      </c>
      <c r="AI292" s="3">
        <v>241000.5</v>
      </c>
      <c r="AJ292" s="1">
        <v>46101</v>
      </c>
      <c r="AN292" t="s">
        <v>172</v>
      </c>
      <c r="AR292" s="7" t="s">
        <v>353</v>
      </c>
      <c r="AT292" t="s">
        <v>261</v>
      </c>
      <c r="AU292" t="s">
        <v>292</v>
      </c>
      <c r="AW292">
        <v>0</v>
      </c>
      <c r="AX292" s="1">
        <v>46107</v>
      </c>
      <c r="AY292" s="2">
        <v>0.42787037037037035</v>
      </c>
      <c r="AZ292">
        <v>196448</v>
      </c>
      <c r="BA292" s="1">
        <v>46101</v>
      </c>
      <c r="BC292" t="s">
        <v>0</v>
      </c>
      <c r="BD292" s="1">
        <v>46101</v>
      </c>
      <c r="BE292" t="s">
        <v>213</v>
      </c>
      <c r="BL292" s="4">
        <v>0</v>
      </c>
      <c r="BM292" s="1">
        <v>46899</v>
      </c>
      <c r="BN292" s="1">
        <v>46107</v>
      </c>
      <c r="BO292">
        <v>0</v>
      </c>
      <c r="BP292">
        <v>29718</v>
      </c>
      <c r="BQ292" t="s">
        <v>156</v>
      </c>
      <c r="BR292" s="3">
        <v>180000</v>
      </c>
      <c r="BS292" s="3">
        <v>1810</v>
      </c>
      <c r="BT292">
        <v>0</v>
      </c>
      <c r="BU292" s="3">
        <v>181810</v>
      </c>
      <c r="BV292" s="3">
        <v>241000.5</v>
      </c>
      <c r="BX292">
        <v>0</v>
      </c>
      <c r="BZ292">
        <v>0</v>
      </c>
      <c r="CA292">
        <v>0</v>
      </c>
      <c r="CB292">
        <v>0</v>
      </c>
      <c r="CC292" s="3">
        <v>241000.5</v>
      </c>
      <c r="CD292" s="5">
        <v>0</v>
      </c>
      <c r="CF292" s="6">
        <v>46082</v>
      </c>
      <c r="CH292">
        <v>0</v>
      </c>
      <c r="CI292">
        <v>0</v>
      </c>
      <c r="CJ292">
        <v>0</v>
      </c>
      <c r="CK292">
        <v>0</v>
      </c>
      <c r="CL292">
        <v>0</v>
      </c>
      <c r="CM292">
        <v>0</v>
      </c>
      <c r="CN292">
        <v>0</v>
      </c>
      <c r="CO292">
        <v>0</v>
      </c>
      <c r="CP292">
        <v>0</v>
      </c>
      <c r="CQ292">
        <v>0</v>
      </c>
      <c r="CR292">
        <v>0</v>
      </c>
      <c r="CS292" t="s">
        <v>2029</v>
      </c>
      <c r="CT292" t="s">
        <v>190</v>
      </c>
      <c r="CU292" t="s">
        <v>2091</v>
      </c>
      <c r="CW292">
        <v>-54.733199999999997</v>
      </c>
      <c r="CZ292" s="1">
        <v>46101</v>
      </c>
      <c r="DA292" t="s">
        <v>172</v>
      </c>
      <c r="DB292" t="s">
        <v>172</v>
      </c>
      <c r="DC292" t="s">
        <v>172</v>
      </c>
      <c r="DD292" t="s">
        <v>172</v>
      </c>
      <c r="DG292" s="1">
        <v>46101</v>
      </c>
      <c r="DH292">
        <v>0</v>
      </c>
      <c r="DI292">
        <v>0</v>
      </c>
      <c r="DK292" t="s">
        <v>179</v>
      </c>
      <c r="DL292" t="s">
        <v>200</v>
      </c>
      <c r="DM292" t="s">
        <v>172</v>
      </c>
      <c r="DN292" t="s">
        <v>201</v>
      </c>
      <c r="DV292" s="3">
        <v>241000.5</v>
      </c>
      <c r="DW292">
        <v>0</v>
      </c>
      <c r="DX292" s="3">
        <v>241000.5</v>
      </c>
      <c r="DY292">
        <v>0</v>
      </c>
      <c r="EG292" s="1">
        <v>46105</v>
      </c>
      <c r="EN292" t="s">
        <v>156</v>
      </c>
      <c r="EP292" s="1">
        <v>46106</v>
      </c>
      <c r="EQ292" s="1">
        <v>46106</v>
      </c>
      <c r="ER292" s="1">
        <v>46105</v>
      </c>
      <c r="ES292" t="s">
        <v>2096</v>
      </c>
      <c r="EV292" s="1">
        <v>46106</v>
      </c>
    </row>
    <row r="293" spans="1:153" ht="333.5" x14ac:dyDescent="0.35">
      <c r="A293" t="str">
        <f>HYPERLINK("https://7lm.cvcrm.com.br/gestor/comercial/reservas/6867/administrar","6867")</f>
        <v>6867</v>
      </c>
      <c r="B293" t="s">
        <v>172</v>
      </c>
      <c r="C293" s="1">
        <v>46100</v>
      </c>
      <c r="D293" s="2">
        <v>0.83098379629629626</v>
      </c>
      <c r="E293" t="s">
        <v>527</v>
      </c>
      <c r="F293" t="s">
        <v>216</v>
      </c>
      <c r="G293" t="s">
        <v>159</v>
      </c>
      <c r="H293" t="s">
        <v>217</v>
      </c>
      <c r="I293" t="s">
        <v>363</v>
      </c>
      <c r="J293">
        <v>1</v>
      </c>
      <c r="L293">
        <v>20061</v>
      </c>
      <c r="M293" t="s">
        <v>2097</v>
      </c>
      <c r="R293" t="str">
        <f>HYPERLINK("https://7lm.cvcrm.com.br/gestor/relatorios/associado/html?q[1|r.idreserva]=6867","ALHASSAN IBRAHIM")</f>
        <v>ALHASSAN IBRAHIM</v>
      </c>
      <c r="S293">
        <v>70627578101</v>
      </c>
      <c r="T293">
        <v>5561993427941</v>
      </c>
      <c r="V293" t="s">
        <v>2098</v>
      </c>
      <c r="W293" t="s">
        <v>163</v>
      </c>
      <c r="X293" t="s">
        <v>2099</v>
      </c>
      <c r="Y293" t="s">
        <v>165</v>
      </c>
      <c r="Z293" t="s">
        <v>1030</v>
      </c>
      <c r="AA293" t="s">
        <v>2100</v>
      </c>
      <c r="AB293" t="s">
        <v>2101</v>
      </c>
      <c r="AC293" t="s">
        <v>314</v>
      </c>
      <c r="AF293" t="s">
        <v>634</v>
      </c>
      <c r="AG293" t="s">
        <v>195</v>
      </c>
      <c r="AH293" s="3">
        <v>221578.41</v>
      </c>
      <c r="AI293" s="3">
        <v>221578.41</v>
      </c>
      <c r="AJ293" s="1">
        <v>46112</v>
      </c>
      <c r="AN293" t="s">
        <v>172</v>
      </c>
      <c r="AO293" t="s">
        <v>2102</v>
      </c>
      <c r="AP293" t="s">
        <v>2103</v>
      </c>
      <c r="AR293" s="7" t="s">
        <v>2104</v>
      </c>
      <c r="AT293" t="s">
        <v>173</v>
      </c>
      <c r="AU293" t="s">
        <v>1403</v>
      </c>
      <c r="AW293">
        <v>0</v>
      </c>
      <c r="AX293" s="1">
        <v>46118</v>
      </c>
      <c r="AY293" s="2">
        <v>0.69452546296296291</v>
      </c>
      <c r="AZ293">
        <v>165584</v>
      </c>
      <c r="BA293" s="1">
        <v>45860</v>
      </c>
      <c r="BC293" t="s">
        <v>0</v>
      </c>
      <c r="BD293" s="1">
        <v>46100</v>
      </c>
      <c r="BE293" t="s">
        <v>198</v>
      </c>
      <c r="BL293" s="4">
        <v>0</v>
      </c>
      <c r="BM293" s="1">
        <v>46995</v>
      </c>
      <c r="BO293">
        <v>0</v>
      </c>
      <c r="BP293">
        <v>28964</v>
      </c>
      <c r="BQ293" t="s">
        <v>156</v>
      </c>
      <c r="BR293" s="3">
        <v>91566.32</v>
      </c>
      <c r="BS293" s="3">
        <v>55000</v>
      </c>
      <c r="BT293">
        <v>0</v>
      </c>
      <c r="BU293" s="3">
        <v>146566.32</v>
      </c>
      <c r="BV293" s="3">
        <v>221578.41</v>
      </c>
      <c r="BX293">
        <v>0</v>
      </c>
      <c r="BZ293">
        <v>0</v>
      </c>
      <c r="CA293">
        <v>0</v>
      </c>
      <c r="CB293">
        <v>0</v>
      </c>
      <c r="CC293" s="3">
        <v>221578.41</v>
      </c>
      <c r="CD293" s="5">
        <v>0</v>
      </c>
      <c r="CF293" s="6">
        <v>46113</v>
      </c>
      <c r="CH293">
        <v>0</v>
      </c>
      <c r="CI293">
        <v>0</v>
      </c>
      <c r="CJ293">
        <v>0</v>
      </c>
      <c r="CK293">
        <v>0</v>
      </c>
      <c r="CL293">
        <v>0</v>
      </c>
      <c r="CM293">
        <v>0</v>
      </c>
      <c r="CN293">
        <v>0</v>
      </c>
      <c r="CO293">
        <v>0</v>
      </c>
      <c r="CP293">
        <v>0</v>
      </c>
      <c r="CQ293">
        <v>0</v>
      </c>
      <c r="CR293">
        <v>0</v>
      </c>
      <c r="CT293" t="s">
        <v>214</v>
      </c>
      <c r="CU293" t="s">
        <v>363</v>
      </c>
      <c r="CW293">
        <v>0</v>
      </c>
      <c r="CZ293" s="1">
        <v>46100</v>
      </c>
      <c r="DA293" t="s">
        <v>172</v>
      </c>
      <c r="DB293" t="s">
        <v>172</v>
      </c>
      <c r="DC293" t="s">
        <v>172</v>
      </c>
      <c r="DD293" t="s">
        <v>172</v>
      </c>
      <c r="DG293" s="1">
        <v>46100</v>
      </c>
      <c r="DH293">
        <v>0</v>
      </c>
      <c r="DI293">
        <v>0</v>
      </c>
      <c r="DK293" t="s">
        <v>179</v>
      </c>
      <c r="DL293" t="s">
        <v>224</v>
      </c>
      <c r="DM293" t="s">
        <v>172</v>
      </c>
      <c r="DN293" t="s">
        <v>201</v>
      </c>
      <c r="DV293" s="3">
        <v>221578.41</v>
      </c>
      <c r="DW293">
        <v>0</v>
      </c>
      <c r="DX293" s="3">
        <v>221578.41</v>
      </c>
      <c r="DY293">
        <v>0</v>
      </c>
      <c r="EN293" t="s">
        <v>537</v>
      </c>
      <c r="ET293" t="s">
        <v>2105</v>
      </c>
      <c r="EU293" s="1">
        <v>46132</v>
      </c>
      <c r="EW293" s="1">
        <v>46100</v>
      </c>
    </row>
    <row r="294" spans="1:153" ht="377" x14ac:dyDescent="0.35">
      <c r="A294" t="str">
        <f>HYPERLINK("https://7lm.cvcrm.com.br/gestor/comercial/reservas/6866/administrar","6866")</f>
        <v>6866</v>
      </c>
      <c r="B294" t="s">
        <v>172</v>
      </c>
      <c r="C294" s="1">
        <v>46100</v>
      </c>
      <c r="D294" s="2">
        <v>0.78814814814814815</v>
      </c>
      <c r="E294" t="s">
        <v>527</v>
      </c>
      <c r="F294" t="s">
        <v>458</v>
      </c>
      <c r="G294" t="s">
        <v>203</v>
      </c>
      <c r="H294" t="s">
        <v>391</v>
      </c>
      <c r="I294" t="s">
        <v>1394</v>
      </c>
      <c r="J294">
        <v>1</v>
      </c>
      <c r="L294">
        <v>20001</v>
      </c>
      <c r="M294" t="s">
        <v>1695</v>
      </c>
      <c r="R294" t="str">
        <f>HYPERLINK("https://7lm.cvcrm.com.br/gestor/relatorios/associado/html?q[1|r.idreserva]=6866","KAUAN SANTOS FERREIRA")</f>
        <v>KAUAN SANTOS FERREIRA</v>
      </c>
      <c r="S294">
        <v>9154129184</v>
      </c>
      <c r="T294">
        <v>5561995814720</v>
      </c>
      <c r="V294" t="s">
        <v>2106</v>
      </c>
      <c r="W294" t="s">
        <v>163</v>
      </c>
      <c r="X294" t="s">
        <v>1048</v>
      </c>
      <c r="Y294" t="s">
        <v>189</v>
      </c>
      <c r="Z294" t="s">
        <v>214</v>
      </c>
      <c r="AA294" t="s">
        <v>1692</v>
      </c>
      <c r="AB294" t="s">
        <v>2107</v>
      </c>
      <c r="AC294" t="s">
        <v>2108</v>
      </c>
      <c r="AF294" t="s">
        <v>389</v>
      </c>
      <c r="AG294" t="s">
        <v>195</v>
      </c>
      <c r="AH294" s="3">
        <v>241353.65</v>
      </c>
      <c r="AI294" s="3">
        <v>241353.65</v>
      </c>
      <c r="AJ294" s="1">
        <v>46100</v>
      </c>
      <c r="AN294" t="s">
        <v>172</v>
      </c>
      <c r="AO294" t="s">
        <v>2109</v>
      </c>
      <c r="AR294" s="7" t="s">
        <v>2110</v>
      </c>
      <c r="AT294" t="s">
        <v>196</v>
      </c>
      <c r="AU294" t="s">
        <v>316</v>
      </c>
      <c r="AW294">
        <v>0</v>
      </c>
      <c r="AX294" s="1">
        <v>46113</v>
      </c>
      <c r="AY294" s="2">
        <v>0.49702546296296296</v>
      </c>
      <c r="AZ294">
        <v>182261</v>
      </c>
      <c r="BA294" s="1">
        <v>46027</v>
      </c>
      <c r="BC294" t="s">
        <v>0</v>
      </c>
      <c r="BD294" s="1">
        <v>46100</v>
      </c>
      <c r="BE294" t="s">
        <v>198</v>
      </c>
      <c r="BL294" s="4">
        <v>0</v>
      </c>
      <c r="BM294" s="1">
        <v>46572</v>
      </c>
      <c r="BO294">
        <v>0</v>
      </c>
      <c r="BP294">
        <v>29806</v>
      </c>
      <c r="BQ294" t="s">
        <v>156</v>
      </c>
      <c r="BR294" s="3">
        <v>152373.69</v>
      </c>
      <c r="BS294" s="3">
        <v>17747</v>
      </c>
      <c r="BT294">
        <v>0</v>
      </c>
      <c r="BU294" s="3">
        <v>170120.69</v>
      </c>
      <c r="BV294" s="3">
        <v>241353.65</v>
      </c>
      <c r="BX294">
        <v>0</v>
      </c>
      <c r="BZ294">
        <v>0</v>
      </c>
      <c r="CA294">
        <v>0</v>
      </c>
      <c r="CB294">
        <v>0</v>
      </c>
      <c r="CC294" s="3">
        <v>241353.65</v>
      </c>
      <c r="CD294" s="5">
        <v>0</v>
      </c>
      <c r="CE294" t="s">
        <v>467</v>
      </c>
      <c r="CF294" s="6">
        <v>46113</v>
      </c>
      <c r="CH294">
        <v>0</v>
      </c>
      <c r="CI294">
        <v>0</v>
      </c>
      <c r="CJ294">
        <v>0</v>
      </c>
      <c r="CK294">
        <v>0</v>
      </c>
      <c r="CL294">
        <v>0</v>
      </c>
      <c r="CM294">
        <v>0</v>
      </c>
      <c r="CN294">
        <v>0</v>
      </c>
      <c r="CO294">
        <v>0</v>
      </c>
      <c r="CP294">
        <v>0</v>
      </c>
      <c r="CQ294">
        <v>0</v>
      </c>
      <c r="CR294">
        <v>0</v>
      </c>
      <c r="CT294" t="s">
        <v>214</v>
      </c>
      <c r="CU294" t="s">
        <v>1394</v>
      </c>
      <c r="CW294">
        <v>0</v>
      </c>
      <c r="CZ294" s="1">
        <v>46100</v>
      </c>
      <c r="DA294" t="s">
        <v>172</v>
      </c>
      <c r="DB294" t="s">
        <v>172</v>
      </c>
      <c r="DC294" t="s">
        <v>172</v>
      </c>
      <c r="DD294" t="s">
        <v>172</v>
      </c>
      <c r="DG294" s="1">
        <v>46100</v>
      </c>
      <c r="DH294">
        <v>0</v>
      </c>
      <c r="DI294">
        <v>0</v>
      </c>
      <c r="DL294" t="s">
        <v>200</v>
      </c>
      <c r="DM294" t="s">
        <v>172</v>
      </c>
      <c r="DN294" t="s">
        <v>525</v>
      </c>
      <c r="DV294" s="3">
        <v>241353.65</v>
      </c>
      <c r="DW294">
        <v>0</v>
      </c>
      <c r="DX294" s="3">
        <v>241353.65</v>
      </c>
      <c r="DY294">
        <v>0</v>
      </c>
      <c r="EN294" t="s">
        <v>537</v>
      </c>
    </row>
    <row r="295" spans="1:153" ht="246.5" x14ac:dyDescent="0.35">
      <c r="A295" t="str">
        <f>HYPERLINK("https://7lm.cvcrm.com.br/gestor/comercial/reservas/6865/administrar","6865")</f>
        <v>6865</v>
      </c>
      <c r="B295" t="s">
        <v>156</v>
      </c>
      <c r="C295" s="1">
        <v>46100</v>
      </c>
      <c r="D295" s="2">
        <v>0.49784722222222222</v>
      </c>
      <c r="E295" t="s">
        <v>294</v>
      </c>
      <c r="F295" t="s">
        <v>182</v>
      </c>
      <c r="G295" t="s">
        <v>159</v>
      </c>
      <c r="H295" t="s">
        <v>643</v>
      </c>
      <c r="I295" t="s">
        <v>2111</v>
      </c>
      <c r="J295">
        <v>1</v>
      </c>
      <c r="L295">
        <v>30151</v>
      </c>
      <c r="M295" t="s">
        <v>2112</v>
      </c>
      <c r="N295" s="1">
        <v>46108</v>
      </c>
      <c r="O295" s="2">
        <v>0.44771990740740741</v>
      </c>
      <c r="R295" t="str">
        <f>HYPERLINK("https://7lm.cvcrm.com.br/gestor/relatorios/associado/html?q[1|r.idreserva]=6865","MATHEUS VICTOR RABELO DE ALMEIDA SILVA")</f>
        <v>MATHEUS VICTOR RABELO DE ALMEIDA SILVA</v>
      </c>
      <c r="S295">
        <v>6298169130</v>
      </c>
      <c r="T295">
        <v>5561996712337</v>
      </c>
      <c r="V295" t="s">
        <v>2113</v>
      </c>
      <c r="W295" t="s">
        <v>163</v>
      </c>
      <c r="X295" t="s">
        <v>288</v>
      </c>
      <c r="Y295" t="s">
        <v>189</v>
      </c>
      <c r="Z295" t="s">
        <v>190</v>
      </c>
      <c r="AA295" t="s">
        <v>1131</v>
      </c>
      <c r="AB295" t="s">
        <v>2114</v>
      </c>
      <c r="AC295" t="s">
        <v>833</v>
      </c>
      <c r="AD295" t="s">
        <v>834</v>
      </c>
      <c r="AF295" t="s">
        <v>250</v>
      </c>
      <c r="AG295" t="s">
        <v>195</v>
      </c>
      <c r="AH295" s="3">
        <v>240634.23999999999</v>
      </c>
      <c r="AI295" s="3">
        <v>240634.23999999999</v>
      </c>
      <c r="AJ295" s="1">
        <v>46100</v>
      </c>
      <c r="AN295" t="s">
        <v>172</v>
      </c>
      <c r="AR295" s="7" t="s">
        <v>353</v>
      </c>
      <c r="AT295" t="s">
        <v>173</v>
      </c>
      <c r="AU295" t="s">
        <v>175</v>
      </c>
      <c r="AW295">
        <v>0</v>
      </c>
      <c r="AX295" s="1">
        <v>46112</v>
      </c>
      <c r="AY295" s="2">
        <v>0.46060185185185187</v>
      </c>
      <c r="AZ295">
        <v>48050</v>
      </c>
      <c r="BA295" s="1">
        <v>44227</v>
      </c>
      <c r="BB295" s="1">
        <v>45818</v>
      </c>
      <c r="BC295" t="s">
        <v>2115</v>
      </c>
      <c r="BD295" s="1">
        <v>45818</v>
      </c>
      <c r="BE295" t="s">
        <v>293</v>
      </c>
      <c r="BL295" s="4">
        <v>0</v>
      </c>
      <c r="BM295" s="1">
        <v>46899</v>
      </c>
      <c r="BN295" s="1">
        <v>46112</v>
      </c>
      <c r="BO295">
        <v>0</v>
      </c>
      <c r="BP295">
        <v>29841</v>
      </c>
      <c r="BQ295" t="s">
        <v>156</v>
      </c>
      <c r="BR295" s="3">
        <v>158590.42000000001</v>
      </c>
      <c r="BS295" s="3">
        <v>17058</v>
      </c>
      <c r="BT295">
        <v>0</v>
      </c>
      <c r="BU295" s="3">
        <v>175648.42</v>
      </c>
      <c r="BV295" s="3">
        <v>240634.23999999999</v>
      </c>
      <c r="BX295">
        <v>0</v>
      </c>
      <c r="BZ295">
        <v>0</v>
      </c>
      <c r="CA295">
        <v>0</v>
      </c>
      <c r="CB295">
        <v>0</v>
      </c>
      <c r="CC295" s="3">
        <v>240634.23999999999</v>
      </c>
      <c r="CD295" s="5">
        <v>0</v>
      </c>
      <c r="CF295" s="6">
        <v>46082</v>
      </c>
      <c r="CH295">
        <v>0</v>
      </c>
      <c r="CI295">
        <v>0</v>
      </c>
      <c r="CJ295">
        <v>0</v>
      </c>
      <c r="CK295">
        <v>0</v>
      </c>
      <c r="CL295">
        <v>0</v>
      </c>
      <c r="CM295">
        <v>0</v>
      </c>
      <c r="CN295">
        <v>0</v>
      </c>
      <c r="CO295">
        <v>0</v>
      </c>
      <c r="CP295">
        <v>0</v>
      </c>
      <c r="CQ295">
        <v>0</v>
      </c>
      <c r="CR295">
        <v>0</v>
      </c>
      <c r="CS295" t="s">
        <v>360</v>
      </c>
      <c r="CT295" t="s">
        <v>190</v>
      </c>
      <c r="CU295" t="s">
        <v>2111</v>
      </c>
      <c r="CW295">
        <v>-53.254600000000003</v>
      </c>
      <c r="CZ295" s="1">
        <v>46100</v>
      </c>
      <c r="DA295" t="s">
        <v>172</v>
      </c>
      <c r="DB295" t="s">
        <v>172</v>
      </c>
      <c r="DC295" t="s">
        <v>172</v>
      </c>
      <c r="DD295" t="s">
        <v>172</v>
      </c>
      <c r="DG295" s="1">
        <v>46100</v>
      </c>
      <c r="DH295">
        <v>0</v>
      </c>
      <c r="DI295">
        <v>0</v>
      </c>
      <c r="DK295" t="s">
        <v>179</v>
      </c>
      <c r="DL295" t="s">
        <v>200</v>
      </c>
      <c r="DM295" t="s">
        <v>172</v>
      </c>
      <c r="DN295" t="s">
        <v>201</v>
      </c>
      <c r="DV295" s="3">
        <v>240634.23999999999</v>
      </c>
      <c r="DW295">
        <v>0</v>
      </c>
      <c r="DX295" s="3">
        <v>240634.23999999999</v>
      </c>
      <c r="DY295">
        <v>0</v>
      </c>
      <c r="EG295" s="1">
        <v>46106</v>
      </c>
      <c r="EK295" s="1">
        <v>46108</v>
      </c>
      <c r="EL295" s="1">
        <v>46108</v>
      </c>
      <c r="EN295" t="s">
        <v>156</v>
      </c>
      <c r="EP295" s="1">
        <v>46111</v>
      </c>
      <c r="ER295" s="1">
        <v>46108</v>
      </c>
      <c r="ES295" t="s">
        <v>2116</v>
      </c>
      <c r="EU295" s="1">
        <v>46104</v>
      </c>
      <c r="EW295" s="1">
        <v>46101</v>
      </c>
    </row>
    <row r="296" spans="1:153" ht="246.5" x14ac:dyDescent="0.35">
      <c r="A296" t="str">
        <f>HYPERLINK("https://7lm.cvcrm.com.br/gestor/comercial/reservas/6864/administrar","6864")</f>
        <v>6864</v>
      </c>
      <c r="B296" t="s">
        <v>156</v>
      </c>
      <c r="C296" s="1">
        <v>46100</v>
      </c>
      <c r="D296" s="2">
        <v>0.46027777777777779</v>
      </c>
      <c r="E296" t="s">
        <v>294</v>
      </c>
      <c r="F296" t="s">
        <v>182</v>
      </c>
      <c r="G296" t="s">
        <v>159</v>
      </c>
      <c r="H296" t="s">
        <v>183</v>
      </c>
      <c r="I296" t="s">
        <v>1837</v>
      </c>
      <c r="J296">
        <v>1</v>
      </c>
      <c r="L296">
        <v>30151</v>
      </c>
      <c r="M296" t="s">
        <v>2117</v>
      </c>
      <c r="N296" s="1">
        <v>46105</v>
      </c>
      <c r="O296" s="2">
        <v>0.60760416666666661</v>
      </c>
      <c r="R296" t="str">
        <f>HYPERLINK("https://7lm.cvcrm.com.br/gestor/relatorios/associado/html?q[1|r.idreserva]=6864","BRENDA DE SOUZA")</f>
        <v>BRENDA DE SOUZA</v>
      </c>
      <c r="S296">
        <v>8294231177</v>
      </c>
      <c r="T296">
        <v>5561998533208</v>
      </c>
      <c r="V296" t="s">
        <v>2118</v>
      </c>
      <c r="W296" t="s">
        <v>187</v>
      </c>
      <c r="X296" t="s">
        <v>2119</v>
      </c>
      <c r="Y296" t="s">
        <v>189</v>
      </c>
      <c r="Z296" t="s">
        <v>190</v>
      </c>
      <c r="AA296" t="s">
        <v>1632</v>
      </c>
      <c r="AB296" t="s">
        <v>2120</v>
      </c>
      <c r="AC296" t="s">
        <v>248</v>
      </c>
      <c r="AD296" t="s">
        <v>249</v>
      </c>
      <c r="AF296" t="s">
        <v>250</v>
      </c>
      <c r="AG296" t="s">
        <v>251</v>
      </c>
      <c r="AH296" s="3">
        <v>240623.61</v>
      </c>
      <c r="AI296" s="3">
        <v>240623.61</v>
      </c>
      <c r="AJ296" s="1">
        <v>46131</v>
      </c>
      <c r="AN296" t="s">
        <v>172</v>
      </c>
      <c r="AR296" s="7" t="s">
        <v>353</v>
      </c>
      <c r="AT296" t="s">
        <v>173</v>
      </c>
      <c r="AU296" t="s">
        <v>175</v>
      </c>
      <c r="AW296">
        <v>0</v>
      </c>
      <c r="AX296" s="1">
        <v>46107</v>
      </c>
      <c r="AY296" s="2">
        <v>0.61655092592592597</v>
      </c>
      <c r="AZ296">
        <v>72849</v>
      </c>
      <c r="BA296" s="1">
        <v>44659</v>
      </c>
      <c r="BC296" t="s">
        <v>0</v>
      </c>
      <c r="BD296" s="1">
        <v>46098</v>
      </c>
      <c r="BE296" t="s">
        <v>317</v>
      </c>
      <c r="BL296" s="4">
        <v>0</v>
      </c>
      <c r="BM296" s="1">
        <v>46899</v>
      </c>
      <c r="BN296" s="1">
        <v>46107</v>
      </c>
      <c r="BO296">
        <v>0</v>
      </c>
      <c r="BP296">
        <v>29787</v>
      </c>
      <c r="BQ296" t="s">
        <v>156</v>
      </c>
      <c r="BR296">
        <v>0</v>
      </c>
      <c r="BS296">
        <v>0</v>
      </c>
      <c r="BT296">
        <v>0</v>
      </c>
      <c r="BU296">
        <v>0</v>
      </c>
      <c r="BV296" s="3">
        <v>240623.61</v>
      </c>
      <c r="BX296">
        <v>0</v>
      </c>
      <c r="BZ296">
        <v>0</v>
      </c>
      <c r="CA296">
        <v>0</v>
      </c>
      <c r="CB296">
        <v>0</v>
      </c>
      <c r="CC296" s="3">
        <v>240623.61</v>
      </c>
      <c r="CD296" s="5">
        <v>0</v>
      </c>
      <c r="CF296" s="6">
        <v>46082</v>
      </c>
      <c r="CH296">
        <v>0</v>
      </c>
      <c r="CI296">
        <v>0</v>
      </c>
      <c r="CJ296">
        <v>0</v>
      </c>
      <c r="CK296">
        <v>0</v>
      </c>
      <c r="CL296">
        <v>0</v>
      </c>
      <c r="CM296">
        <v>0</v>
      </c>
      <c r="CN296">
        <v>0</v>
      </c>
      <c r="CO296">
        <v>0</v>
      </c>
      <c r="CP296">
        <v>0</v>
      </c>
      <c r="CQ296">
        <v>0</v>
      </c>
      <c r="CR296">
        <v>0</v>
      </c>
      <c r="CS296" t="s">
        <v>360</v>
      </c>
      <c r="CT296" t="s">
        <v>190</v>
      </c>
      <c r="CU296" t="s">
        <v>1837</v>
      </c>
      <c r="CW296">
        <v>-52.264699999999998</v>
      </c>
      <c r="CZ296" s="1">
        <v>46100</v>
      </c>
      <c r="DA296" t="s">
        <v>172</v>
      </c>
      <c r="DB296" t="s">
        <v>172</v>
      </c>
      <c r="DC296" t="s">
        <v>172</v>
      </c>
      <c r="DD296" t="s">
        <v>172</v>
      </c>
      <c r="DG296" s="1">
        <v>46100</v>
      </c>
      <c r="DH296">
        <v>0</v>
      </c>
      <c r="DI296">
        <v>0</v>
      </c>
      <c r="DK296" t="s">
        <v>179</v>
      </c>
      <c r="DL296" t="s">
        <v>200</v>
      </c>
      <c r="DM296" t="s">
        <v>172</v>
      </c>
      <c r="DN296" t="s">
        <v>201</v>
      </c>
      <c r="DV296" s="3">
        <v>240623.61</v>
      </c>
      <c r="DW296">
        <v>0</v>
      </c>
      <c r="DX296" s="3">
        <v>240623.61</v>
      </c>
      <c r="DY296">
        <v>0</v>
      </c>
      <c r="EF296" s="1">
        <v>46105</v>
      </c>
      <c r="EG296" s="1">
        <v>46104</v>
      </c>
      <c r="EK296" s="1">
        <v>46105</v>
      </c>
      <c r="EL296" s="1">
        <v>46105</v>
      </c>
      <c r="EN296" t="s">
        <v>156</v>
      </c>
      <c r="EP296" s="1">
        <v>46107</v>
      </c>
      <c r="ER296" s="1">
        <v>46104</v>
      </c>
      <c r="ES296" t="s">
        <v>2121</v>
      </c>
      <c r="EU296" s="1">
        <v>46104</v>
      </c>
      <c r="EW296" s="1">
        <v>46100</v>
      </c>
    </row>
    <row r="297" spans="1:153" ht="246.5" x14ac:dyDescent="0.35">
      <c r="A297" t="str">
        <f>HYPERLINK("https://7lm.cvcrm.com.br/gestor/comercial/reservas/6863/administrar","6863")</f>
        <v>6863</v>
      </c>
      <c r="B297" t="s">
        <v>156</v>
      </c>
      <c r="C297" s="1">
        <v>46100</v>
      </c>
      <c r="D297" s="2">
        <v>0.43903935185185183</v>
      </c>
      <c r="E297" t="s">
        <v>294</v>
      </c>
      <c r="F297" t="s">
        <v>182</v>
      </c>
      <c r="G297" t="s">
        <v>159</v>
      </c>
      <c r="H297" t="s">
        <v>345</v>
      </c>
      <c r="I297" t="s">
        <v>627</v>
      </c>
      <c r="J297">
        <v>1</v>
      </c>
      <c r="L297">
        <v>30151</v>
      </c>
      <c r="M297" t="s">
        <v>2122</v>
      </c>
      <c r="N297" s="1">
        <v>46105</v>
      </c>
      <c r="O297" s="2">
        <v>0.61203703703703705</v>
      </c>
      <c r="R297" t="str">
        <f>HYPERLINK("https://7lm.cvcrm.com.br/gestor/relatorios/associado/html?q[1|r.idreserva]=6863","JOÃO PAULINO GOMES DA SILVA FILHO")</f>
        <v>JOÃO PAULINO GOMES DA SILVA FILHO</v>
      </c>
      <c r="S297">
        <v>10641067143</v>
      </c>
      <c r="T297">
        <v>5561998455155</v>
      </c>
      <c r="V297" t="s">
        <v>2123</v>
      </c>
      <c r="W297" t="s">
        <v>163</v>
      </c>
      <c r="X297" t="s">
        <v>288</v>
      </c>
      <c r="Y297" t="s">
        <v>189</v>
      </c>
      <c r="Z297" t="s">
        <v>190</v>
      </c>
      <c r="AA297" t="s">
        <v>270</v>
      </c>
      <c r="AB297" t="s">
        <v>2124</v>
      </c>
      <c r="AC297" t="s">
        <v>896</v>
      </c>
      <c r="AF297" t="s">
        <v>194</v>
      </c>
      <c r="AG297" t="s">
        <v>251</v>
      </c>
      <c r="AH297" s="3">
        <v>240656.14</v>
      </c>
      <c r="AI297" s="3">
        <v>240656.14</v>
      </c>
      <c r="AJ297" s="1">
        <v>46157</v>
      </c>
      <c r="AN297" t="s">
        <v>172</v>
      </c>
      <c r="AR297" s="7" t="s">
        <v>353</v>
      </c>
      <c r="AT297" t="s">
        <v>196</v>
      </c>
      <c r="AU297" t="s">
        <v>292</v>
      </c>
      <c r="AW297">
        <v>0</v>
      </c>
      <c r="AX297" s="1">
        <v>46107</v>
      </c>
      <c r="AY297" s="2">
        <v>0.66388888888888886</v>
      </c>
      <c r="AZ297">
        <v>195856</v>
      </c>
      <c r="BA297" s="1">
        <v>46098</v>
      </c>
      <c r="BC297" t="s">
        <v>0</v>
      </c>
      <c r="BD297" s="1">
        <v>46100</v>
      </c>
      <c r="BE297" t="s">
        <v>427</v>
      </c>
      <c r="BL297" s="4">
        <v>0</v>
      </c>
      <c r="BM297" s="1">
        <v>46899</v>
      </c>
      <c r="BN297" s="1">
        <v>46107</v>
      </c>
      <c r="BO297">
        <v>0</v>
      </c>
      <c r="BP297">
        <v>29754</v>
      </c>
      <c r="BQ297" t="s">
        <v>156</v>
      </c>
      <c r="BR297" s="3">
        <v>136096.22</v>
      </c>
      <c r="BS297" s="3">
        <v>24936</v>
      </c>
      <c r="BT297">
        <v>0</v>
      </c>
      <c r="BU297" s="3">
        <v>161032.22</v>
      </c>
      <c r="BV297" s="3">
        <v>240656.14</v>
      </c>
      <c r="BX297">
        <v>0</v>
      </c>
      <c r="BZ297">
        <v>0</v>
      </c>
      <c r="CA297">
        <v>0</v>
      </c>
      <c r="CB297">
        <v>0</v>
      </c>
      <c r="CC297" s="3">
        <v>240656.14</v>
      </c>
      <c r="CD297" s="5">
        <v>0</v>
      </c>
      <c r="CF297" s="6">
        <v>46082</v>
      </c>
      <c r="CH297">
        <v>0</v>
      </c>
      <c r="CI297">
        <v>0</v>
      </c>
      <c r="CJ297">
        <v>0</v>
      </c>
      <c r="CK297">
        <v>0</v>
      </c>
      <c r="CL297">
        <v>0</v>
      </c>
      <c r="CM297">
        <v>0</v>
      </c>
      <c r="CN297">
        <v>0</v>
      </c>
      <c r="CO297">
        <v>0</v>
      </c>
      <c r="CP297">
        <v>0</v>
      </c>
      <c r="CQ297">
        <v>0</v>
      </c>
      <c r="CR297">
        <v>0</v>
      </c>
      <c r="CS297" t="s">
        <v>360</v>
      </c>
      <c r="CT297" t="s">
        <v>190</v>
      </c>
      <c r="CU297" t="s">
        <v>627</v>
      </c>
      <c r="CW297">
        <v>-51.91</v>
      </c>
      <c r="CZ297" s="1">
        <v>46100</v>
      </c>
      <c r="DA297" t="s">
        <v>172</v>
      </c>
      <c r="DB297" t="s">
        <v>172</v>
      </c>
      <c r="DC297" t="s">
        <v>172</v>
      </c>
      <c r="DD297" t="s">
        <v>172</v>
      </c>
      <c r="DG297" s="1">
        <v>46100</v>
      </c>
      <c r="DH297">
        <v>0</v>
      </c>
      <c r="DI297">
        <v>0</v>
      </c>
      <c r="DK297" t="s">
        <v>179</v>
      </c>
      <c r="DL297" t="s">
        <v>200</v>
      </c>
      <c r="DM297" t="s">
        <v>172</v>
      </c>
      <c r="DN297" t="s">
        <v>201</v>
      </c>
      <c r="DV297" s="3">
        <v>240656.14</v>
      </c>
      <c r="DW297">
        <v>0</v>
      </c>
      <c r="DX297" s="3">
        <v>240656.14</v>
      </c>
      <c r="DY297">
        <v>0</v>
      </c>
      <c r="EF297" s="1">
        <v>46105</v>
      </c>
      <c r="EG297" s="1">
        <v>46104</v>
      </c>
      <c r="EH297" s="1">
        <v>46105</v>
      </c>
      <c r="EK297" s="1">
        <v>46105</v>
      </c>
      <c r="EL297" s="1">
        <v>46105</v>
      </c>
      <c r="EN297" t="s">
        <v>156</v>
      </c>
      <c r="EP297" s="1">
        <v>46105</v>
      </c>
      <c r="ER297" s="1">
        <v>46104</v>
      </c>
      <c r="ES297" t="s">
        <v>2125</v>
      </c>
      <c r="EU297" s="1">
        <v>46102</v>
      </c>
      <c r="EW297" s="1">
        <v>46284</v>
      </c>
    </row>
    <row r="298" spans="1:153" ht="348" x14ac:dyDescent="0.35">
      <c r="A298" t="str">
        <f>HYPERLINK("https://7lm.cvcrm.com.br/gestor/comercial/reservas/6862/administrar","6862")</f>
        <v>6862</v>
      </c>
      <c r="B298" t="s">
        <v>156</v>
      </c>
      <c r="C298" s="1">
        <v>46099</v>
      </c>
      <c r="D298" s="2">
        <v>0.83434027777777775</v>
      </c>
      <c r="E298" t="s">
        <v>294</v>
      </c>
      <c r="F298" t="s">
        <v>216</v>
      </c>
      <c r="G298" t="s">
        <v>159</v>
      </c>
      <c r="H298" t="s">
        <v>277</v>
      </c>
      <c r="I298" t="s">
        <v>1322</v>
      </c>
      <c r="J298">
        <v>1</v>
      </c>
      <c r="L298">
        <v>20061</v>
      </c>
      <c r="M298" t="s">
        <v>2126</v>
      </c>
      <c r="N298" s="1">
        <v>46107</v>
      </c>
      <c r="O298" s="2">
        <v>0.61716435185185181</v>
      </c>
      <c r="R298" t="str">
        <f>HYPERLINK("https://7lm.cvcrm.com.br/gestor/relatorios/associado/html?q[1|r.idreserva]=6862","IAGO ALVES DA SILVA")</f>
        <v>IAGO ALVES DA SILVA</v>
      </c>
      <c r="S298">
        <v>7889855150</v>
      </c>
      <c r="T298">
        <v>5561981582225</v>
      </c>
      <c r="V298" t="s">
        <v>2127</v>
      </c>
      <c r="W298" t="s">
        <v>163</v>
      </c>
      <c r="X298" t="s">
        <v>299</v>
      </c>
      <c r="Y298" t="s">
        <v>165</v>
      </c>
      <c r="Z298" t="s">
        <v>385</v>
      </c>
      <c r="AA298" t="s">
        <v>783</v>
      </c>
      <c r="AB298" t="s">
        <v>2128</v>
      </c>
      <c r="AC298" t="s">
        <v>1444</v>
      </c>
      <c r="AF298" t="s">
        <v>413</v>
      </c>
      <c r="AG298" t="s">
        <v>195</v>
      </c>
      <c r="AH298" s="3">
        <v>210928.51</v>
      </c>
      <c r="AI298" s="3">
        <v>210928.51</v>
      </c>
      <c r="AJ298" s="1">
        <v>46112</v>
      </c>
      <c r="AN298" t="s">
        <v>172</v>
      </c>
      <c r="AR298" s="7" t="s">
        <v>2129</v>
      </c>
      <c r="AT298" t="s">
        <v>196</v>
      </c>
      <c r="AU298" t="s">
        <v>888</v>
      </c>
      <c r="AW298">
        <v>0</v>
      </c>
      <c r="AX298" s="1">
        <v>46107</v>
      </c>
      <c r="AY298" s="2">
        <v>0.67288194444444449</v>
      </c>
      <c r="AZ298">
        <v>190524</v>
      </c>
      <c r="BA298" s="1">
        <v>46072</v>
      </c>
      <c r="BC298" t="s">
        <v>0</v>
      </c>
      <c r="BD298" s="1">
        <v>46099</v>
      </c>
      <c r="BE298" t="s">
        <v>889</v>
      </c>
      <c r="BL298" s="4">
        <v>0</v>
      </c>
      <c r="BM298" s="1">
        <v>46995</v>
      </c>
      <c r="BN298" s="1">
        <v>46107</v>
      </c>
      <c r="BO298">
        <v>0</v>
      </c>
      <c r="BP298">
        <v>29676</v>
      </c>
      <c r="BQ298" t="s">
        <v>156</v>
      </c>
      <c r="BR298" s="3">
        <v>96045.43</v>
      </c>
      <c r="BS298" s="3">
        <v>49963</v>
      </c>
      <c r="BT298">
        <v>0</v>
      </c>
      <c r="BU298" s="3">
        <v>146008.43</v>
      </c>
      <c r="BV298" s="3">
        <v>210928.51</v>
      </c>
      <c r="BX298">
        <v>0</v>
      </c>
      <c r="BZ298">
        <v>0</v>
      </c>
      <c r="CA298">
        <v>0</v>
      </c>
      <c r="CB298">
        <v>0</v>
      </c>
      <c r="CC298" s="3">
        <v>210928.51</v>
      </c>
      <c r="CD298" s="5">
        <v>0</v>
      </c>
      <c r="CF298" s="6">
        <v>46082</v>
      </c>
      <c r="CH298">
        <v>0</v>
      </c>
      <c r="CI298">
        <v>0</v>
      </c>
      <c r="CJ298">
        <v>0</v>
      </c>
      <c r="CK298">
        <v>0</v>
      </c>
      <c r="CL298">
        <v>0</v>
      </c>
      <c r="CM298">
        <v>0</v>
      </c>
      <c r="CN298">
        <v>0</v>
      </c>
      <c r="CO298">
        <v>0</v>
      </c>
      <c r="CP298">
        <v>0</v>
      </c>
      <c r="CQ298">
        <v>0</v>
      </c>
      <c r="CR298">
        <v>0</v>
      </c>
      <c r="CS298" t="s">
        <v>360</v>
      </c>
      <c r="CT298" t="s">
        <v>214</v>
      </c>
      <c r="CU298" t="s">
        <v>1322</v>
      </c>
      <c r="CW298">
        <v>-54.288800000000002</v>
      </c>
      <c r="CZ298" s="1">
        <v>46099</v>
      </c>
      <c r="DA298" t="s">
        <v>172</v>
      </c>
      <c r="DB298" t="s">
        <v>172</v>
      </c>
      <c r="DC298" t="s">
        <v>172</v>
      </c>
      <c r="DD298" t="s">
        <v>172</v>
      </c>
      <c r="DG298" s="1">
        <v>46099</v>
      </c>
      <c r="DH298">
        <v>0</v>
      </c>
      <c r="DI298">
        <v>0</v>
      </c>
      <c r="DK298" t="s">
        <v>179</v>
      </c>
      <c r="DL298" t="s">
        <v>215</v>
      </c>
      <c r="DM298" t="s">
        <v>172</v>
      </c>
      <c r="DN298" t="s">
        <v>201</v>
      </c>
      <c r="DV298" s="3">
        <v>210928.51</v>
      </c>
      <c r="DW298">
        <v>0</v>
      </c>
      <c r="DX298" s="3">
        <v>210928.51</v>
      </c>
      <c r="DY298">
        <v>0</v>
      </c>
      <c r="EF298" s="1">
        <v>46107</v>
      </c>
      <c r="EG298" s="1">
        <v>46106</v>
      </c>
      <c r="EK298" s="1">
        <v>46107</v>
      </c>
      <c r="EN298" t="s">
        <v>156</v>
      </c>
      <c r="EP298" s="1">
        <v>46106</v>
      </c>
      <c r="ET298" t="s">
        <v>2130</v>
      </c>
      <c r="EU298" s="1">
        <v>46105</v>
      </c>
      <c r="EW298" s="1">
        <v>46099</v>
      </c>
    </row>
    <row r="299" spans="1:153" ht="246.5" x14ac:dyDescent="0.35">
      <c r="A299" t="str">
        <f>HYPERLINK("https://7lm.cvcrm.com.br/gestor/comercial/reservas/6861/administrar","6861")</f>
        <v>6861</v>
      </c>
      <c r="B299" t="s">
        <v>156</v>
      </c>
      <c r="C299" s="1">
        <v>46099</v>
      </c>
      <c r="D299" s="2">
        <v>0.80787037037037035</v>
      </c>
      <c r="E299" t="s">
        <v>294</v>
      </c>
      <c r="F299" t="s">
        <v>216</v>
      </c>
      <c r="G299" t="s">
        <v>159</v>
      </c>
      <c r="H299" t="s">
        <v>204</v>
      </c>
      <c r="I299" t="s">
        <v>2131</v>
      </c>
      <c r="J299">
        <v>1</v>
      </c>
      <c r="L299">
        <v>20061</v>
      </c>
      <c r="M299" t="s">
        <v>2132</v>
      </c>
      <c r="N299" s="1">
        <v>46106</v>
      </c>
      <c r="O299" s="2">
        <v>0.46930555555555553</v>
      </c>
      <c r="R299" t="str">
        <f>HYPERLINK("https://7lm.cvcrm.com.br/gestor/relatorios/associado/html?q[1|r.idreserva]=6861","VINICIUS MENDES DA SILVA")</f>
        <v>VINICIUS MENDES DA SILVA</v>
      </c>
      <c r="S299">
        <v>9366014186</v>
      </c>
      <c r="T299">
        <v>5561994572717</v>
      </c>
      <c r="V299" t="s">
        <v>2133</v>
      </c>
      <c r="W299" t="s">
        <v>163</v>
      </c>
      <c r="X299" t="s">
        <v>1048</v>
      </c>
      <c r="Y299" t="s">
        <v>189</v>
      </c>
      <c r="Z299" t="s">
        <v>214</v>
      </c>
      <c r="AA299" t="s">
        <v>611</v>
      </c>
      <c r="AB299" t="s">
        <v>2134</v>
      </c>
      <c r="AC299" t="s">
        <v>314</v>
      </c>
      <c r="AF299" t="s">
        <v>634</v>
      </c>
      <c r="AG299" t="s">
        <v>195</v>
      </c>
      <c r="AH299" s="3">
        <v>223599.64</v>
      </c>
      <c r="AI299" s="3">
        <v>223599.64</v>
      </c>
      <c r="AJ299" s="1">
        <v>46157</v>
      </c>
      <c r="AN299" t="s">
        <v>172</v>
      </c>
      <c r="AR299" s="7" t="s">
        <v>353</v>
      </c>
      <c r="AT299" t="s">
        <v>173</v>
      </c>
      <c r="AU299" t="s">
        <v>292</v>
      </c>
      <c r="AW299">
        <v>0</v>
      </c>
      <c r="AX299" s="1">
        <v>46107</v>
      </c>
      <c r="AY299" s="2">
        <v>0.67607638888888888</v>
      </c>
      <c r="AZ299">
        <v>196171</v>
      </c>
      <c r="BA299" s="1">
        <v>46099</v>
      </c>
      <c r="BC299" t="s">
        <v>0</v>
      </c>
      <c r="BD299" s="1">
        <v>46099</v>
      </c>
      <c r="BE299" t="s">
        <v>213</v>
      </c>
      <c r="BL299" s="4">
        <v>0</v>
      </c>
      <c r="BM299" s="1">
        <v>46995</v>
      </c>
      <c r="BN299" s="1">
        <v>46107</v>
      </c>
      <c r="BO299">
        <v>0</v>
      </c>
      <c r="BP299">
        <v>29740</v>
      </c>
      <c r="BQ299" t="s">
        <v>156</v>
      </c>
      <c r="BR299" s="3">
        <v>117380.64</v>
      </c>
      <c r="BS299" s="3">
        <v>46819</v>
      </c>
      <c r="BT299">
        <v>0</v>
      </c>
      <c r="BU299" s="3">
        <v>164199.64000000001</v>
      </c>
      <c r="BV299" s="3">
        <v>223599.64</v>
      </c>
      <c r="BX299">
        <v>0</v>
      </c>
      <c r="BZ299">
        <v>0</v>
      </c>
      <c r="CA299">
        <v>0</v>
      </c>
      <c r="CB299">
        <v>0</v>
      </c>
      <c r="CC299" s="3">
        <v>223599.64</v>
      </c>
      <c r="CD299" s="5">
        <v>0</v>
      </c>
      <c r="CF299" s="6">
        <v>46082</v>
      </c>
      <c r="CH299">
        <v>0</v>
      </c>
      <c r="CI299">
        <v>0</v>
      </c>
      <c r="CJ299">
        <v>0</v>
      </c>
      <c r="CK299">
        <v>0</v>
      </c>
      <c r="CL299">
        <v>0</v>
      </c>
      <c r="CM299">
        <v>0</v>
      </c>
      <c r="CN299">
        <v>0</v>
      </c>
      <c r="CO299">
        <v>0</v>
      </c>
      <c r="CP299">
        <v>0</v>
      </c>
      <c r="CQ299">
        <v>0</v>
      </c>
      <c r="CR299">
        <v>0</v>
      </c>
      <c r="CS299" t="s">
        <v>649</v>
      </c>
      <c r="CT299" t="s">
        <v>214</v>
      </c>
      <c r="CU299" t="s">
        <v>2131</v>
      </c>
      <c r="CW299">
        <v>-52.9617</v>
      </c>
      <c r="CZ299" s="1">
        <v>46099</v>
      </c>
      <c r="DA299" t="s">
        <v>172</v>
      </c>
      <c r="DB299" t="s">
        <v>172</v>
      </c>
      <c r="DC299" t="s">
        <v>172</v>
      </c>
      <c r="DD299" t="s">
        <v>172</v>
      </c>
      <c r="DG299" s="1">
        <v>46099</v>
      </c>
      <c r="DH299">
        <v>0</v>
      </c>
      <c r="DI299">
        <v>0</v>
      </c>
      <c r="DK299" t="s">
        <v>179</v>
      </c>
      <c r="DL299" t="s">
        <v>224</v>
      </c>
      <c r="DM299" t="s">
        <v>172</v>
      </c>
      <c r="DN299" t="s">
        <v>225</v>
      </c>
      <c r="DV299" s="3">
        <v>223599.64</v>
      </c>
      <c r="DW299">
        <v>0</v>
      </c>
      <c r="DX299" s="3">
        <v>223599.64</v>
      </c>
      <c r="DY299">
        <v>0</v>
      </c>
      <c r="EF299" s="1">
        <v>46104</v>
      </c>
      <c r="EG299" s="1">
        <v>46101</v>
      </c>
      <c r="EK299" s="1">
        <v>46104</v>
      </c>
      <c r="EL299" s="1">
        <v>46104</v>
      </c>
      <c r="EN299" t="s">
        <v>156</v>
      </c>
      <c r="EP299" s="1">
        <v>46105</v>
      </c>
      <c r="EU299" s="1">
        <v>46104</v>
      </c>
      <c r="EW299" s="1">
        <v>46099</v>
      </c>
    </row>
    <row r="300" spans="1:153" ht="246.5" x14ac:dyDescent="0.35">
      <c r="A300" t="str">
        <f>HYPERLINK("https://7lm.cvcrm.com.br/gestor/comercial/reservas/6860/administrar","6860")</f>
        <v>6860</v>
      </c>
      <c r="B300" t="s">
        <v>156</v>
      </c>
      <c r="C300" s="1">
        <v>46099</v>
      </c>
      <c r="D300" s="2">
        <v>0.80390046296296291</v>
      </c>
      <c r="E300" t="s">
        <v>294</v>
      </c>
      <c r="F300" t="s">
        <v>202</v>
      </c>
      <c r="G300" t="s">
        <v>203</v>
      </c>
      <c r="H300" t="s">
        <v>306</v>
      </c>
      <c r="I300" t="s">
        <v>1793</v>
      </c>
      <c r="J300">
        <v>1</v>
      </c>
      <c r="L300">
        <v>20031</v>
      </c>
      <c r="M300" t="s">
        <v>2135</v>
      </c>
      <c r="N300" s="1">
        <v>46104</v>
      </c>
      <c r="O300" s="2">
        <v>0.47824074074074074</v>
      </c>
      <c r="R300" t="str">
        <f>HYPERLINK("https://7lm.cvcrm.com.br/gestor/relatorios/associado/html?q[1|r.idreserva]=6860","AMANDA PEREIRA GOMES")</f>
        <v>AMANDA PEREIRA GOMES</v>
      </c>
      <c r="S300">
        <v>8186682104</v>
      </c>
      <c r="T300">
        <v>556186460197</v>
      </c>
      <c r="V300" t="s">
        <v>2136</v>
      </c>
      <c r="W300" t="s">
        <v>187</v>
      </c>
      <c r="Y300" t="s">
        <v>189</v>
      </c>
      <c r="Z300" t="s">
        <v>1088</v>
      </c>
      <c r="AA300" t="s">
        <v>2137</v>
      </c>
      <c r="AB300" t="s">
        <v>2138</v>
      </c>
      <c r="AC300" t="s">
        <v>388</v>
      </c>
      <c r="AF300" t="s">
        <v>389</v>
      </c>
      <c r="AG300" t="s">
        <v>195</v>
      </c>
      <c r="AH300" s="3">
        <v>216977.42</v>
      </c>
      <c r="AI300" s="3">
        <v>216977.42</v>
      </c>
      <c r="AJ300" s="1">
        <v>46157</v>
      </c>
      <c r="AN300" t="s">
        <v>172</v>
      </c>
      <c r="AR300" s="7" t="s">
        <v>353</v>
      </c>
      <c r="AT300" t="s">
        <v>196</v>
      </c>
      <c r="AU300" t="s">
        <v>316</v>
      </c>
      <c r="AW300">
        <v>0</v>
      </c>
      <c r="AX300" s="1">
        <v>46105</v>
      </c>
      <c r="AY300" s="2">
        <v>0.4246064814814815</v>
      </c>
      <c r="AZ300">
        <v>195191</v>
      </c>
      <c r="BA300" s="1">
        <v>46094</v>
      </c>
      <c r="BC300" t="s">
        <v>1886</v>
      </c>
      <c r="BD300" s="1">
        <v>46095</v>
      </c>
      <c r="BE300" t="s">
        <v>198</v>
      </c>
      <c r="BL300" s="4">
        <v>0</v>
      </c>
      <c r="BM300" s="1">
        <v>46808</v>
      </c>
      <c r="BN300" s="1">
        <v>46105</v>
      </c>
      <c r="BO300">
        <v>0</v>
      </c>
      <c r="BP300">
        <v>29668</v>
      </c>
      <c r="BQ300" t="s">
        <v>156</v>
      </c>
      <c r="BR300" s="3">
        <v>119468.33</v>
      </c>
      <c r="BS300" s="3">
        <v>44853</v>
      </c>
      <c r="BT300">
        <v>0</v>
      </c>
      <c r="BU300" s="3">
        <v>164321.32999999999</v>
      </c>
      <c r="BV300" s="3">
        <v>216977.42</v>
      </c>
      <c r="BX300">
        <v>0</v>
      </c>
      <c r="BZ300">
        <v>0</v>
      </c>
      <c r="CA300">
        <v>0</v>
      </c>
      <c r="CB300">
        <v>0</v>
      </c>
      <c r="CC300" s="3">
        <v>216977.42</v>
      </c>
      <c r="CD300" s="5">
        <v>0</v>
      </c>
      <c r="CF300" s="6">
        <v>46082</v>
      </c>
      <c r="CH300">
        <v>0</v>
      </c>
      <c r="CI300">
        <v>0</v>
      </c>
      <c r="CJ300">
        <v>0</v>
      </c>
      <c r="CK300">
        <v>0</v>
      </c>
      <c r="CL300">
        <v>0</v>
      </c>
      <c r="CM300">
        <v>0</v>
      </c>
      <c r="CN300">
        <v>0</v>
      </c>
      <c r="CO300">
        <v>0</v>
      </c>
      <c r="CP300">
        <v>0</v>
      </c>
      <c r="CQ300">
        <v>0</v>
      </c>
      <c r="CR300">
        <v>0</v>
      </c>
      <c r="CS300" t="s">
        <v>360</v>
      </c>
      <c r="CT300" t="s">
        <v>214</v>
      </c>
      <c r="CU300" t="s">
        <v>1793</v>
      </c>
      <c r="CW300">
        <v>-53.940399999999997</v>
      </c>
      <c r="CZ300" s="1">
        <v>46099</v>
      </c>
      <c r="DA300" t="s">
        <v>172</v>
      </c>
      <c r="DB300" t="s">
        <v>172</v>
      </c>
      <c r="DC300" t="s">
        <v>172</v>
      </c>
      <c r="DD300" t="s">
        <v>172</v>
      </c>
      <c r="DG300" s="1">
        <v>46099</v>
      </c>
      <c r="DH300">
        <v>0</v>
      </c>
      <c r="DI300">
        <v>0</v>
      </c>
      <c r="DL300" t="s">
        <v>215</v>
      </c>
      <c r="DM300" t="s">
        <v>172</v>
      </c>
      <c r="DN300" t="s">
        <v>201</v>
      </c>
      <c r="DV300" s="3">
        <v>216977.42</v>
      </c>
      <c r="DW300">
        <v>0</v>
      </c>
      <c r="DX300" s="3">
        <v>216977.42</v>
      </c>
      <c r="DY300">
        <v>0</v>
      </c>
      <c r="EF300" s="1">
        <v>46101</v>
      </c>
      <c r="EG300" s="1">
        <v>46100</v>
      </c>
      <c r="EK300" s="1">
        <v>46104</v>
      </c>
      <c r="EL300" s="1">
        <v>46104</v>
      </c>
      <c r="EP300" s="1">
        <v>46104</v>
      </c>
    </row>
    <row r="301" spans="1:153" ht="246.5" x14ac:dyDescent="0.35">
      <c r="A301" t="str">
        <f>HYPERLINK("https://7lm.cvcrm.com.br/gestor/comercial/reservas/6859/administrar","6859")</f>
        <v>6859</v>
      </c>
      <c r="B301" t="s">
        <v>156</v>
      </c>
      <c r="C301" s="1">
        <v>46099</v>
      </c>
      <c r="D301" s="2">
        <v>0.79797453703703702</v>
      </c>
      <c r="E301" t="s">
        <v>294</v>
      </c>
      <c r="F301" t="s">
        <v>957</v>
      </c>
      <c r="G301" t="s">
        <v>159</v>
      </c>
      <c r="H301" t="s">
        <v>958</v>
      </c>
      <c r="I301" t="s">
        <v>2139</v>
      </c>
      <c r="J301">
        <v>1</v>
      </c>
      <c r="L301">
        <v>30121</v>
      </c>
      <c r="M301" t="s">
        <v>2140</v>
      </c>
      <c r="N301" s="1">
        <v>46105</v>
      </c>
      <c r="O301" s="2">
        <v>0.65670138888888885</v>
      </c>
      <c r="R301" t="str">
        <f>HYPERLINK("https://7lm.cvcrm.com.br/gestor/relatorios/associado/html?q[1|r.idreserva]=6859","MARIANA MENDES DE CRISTO")</f>
        <v>MARIANA MENDES DE CRISTO</v>
      </c>
      <c r="S301">
        <v>1952851157</v>
      </c>
      <c r="T301">
        <v>556199269979</v>
      </c>
      <c r="V301" t="s">
        <v>2141</v>
      </c>
      <c r="W301" t="s">
        <v>187</v>
      </c>
      <c r="X301" t="s">
        <v>2142</v>
      </c>
      <c r="Y301" t="s">
        <v>189</v>
      </c>
      <c r="Z301" t="s">
        <v>190</v>
      </c>
      <c r="AA301" t="s">
        <v>1229</v>
      </c>
      <c r="AB301" t="s">
        <v>2143</v>
      </c>
      <c r="AC301" t="s">
        <v>435</v>
      </c>
      <c r="AD301" t="s">
        <v>435</v>
      </c>
      <c r="AF301" t="s">
        <v>352</v>
      </c>
      <c r="AG301" t="s">
        <v>251</v>
      </c>
      <c r="AH301" s="3">
        <v>253934.68</v>
      </c>
      <c r="AI301" s="3">
        <v>253934.68</v>
      </c>
      <c r="AJ301" s="1">
        <v>46109</v>
      </c>
      <c r="AN301" t="s">
        <v>172</v>
      </c>
      <c r="AR301" s="7" t="s">
        <v>353</v>
      </c>
      <c r="AT301" t="s">
        <v>261</v>
      </c>
      <c r="AV301" t="s">
        <v>1627</v>
      </c>
      <c r="AW301">
        <v>0</v>
      </c>
      <c r="AX301" s="1">
        <v>46105</v>
      </c>
      <c r="AY301" s="2">
        <v>0.51599537037037035</v>
      </c>
      <c r="AZ301">
        <v>2054</v>
      </c>
      <c r="BA301" s="1">
        <v>43616</v>
      </c>
      <c r="BB301" s="1">
        <v>45713</v>
      </c>
      <c r="BC301" t="s">
        <v>275</v>
      </c>
      <c r="BD301" s="1">
        <v>46092</v>
      </c>
      <c r="BE301" t="s">
        <v>1848</v>
      </c>
      <c r="BL301" s="4">
        <v>0</v>
      </c>
      <c r="BM301" s="1">
        <v>47031</v>
      </c>
      <c r="BN301" s="1">
        <v>46105</v>
      </c>
      <c r="BO301">
        <v>0</v>
      </c>
      <c r="BP301">
        <v>29155</v>
      </c>
      <c r="BQ301" t="s">
        <v>156</v>
      </c>
      <c r="BR301" s="3">
        <v>134470.68</v>
      </c>
      <c r="BS301" s="3">
        <v>24960</v>
      </c>
      <c r="BT301">
        <v>0</v>
      </c>
      <c r="BU301" s="3">
        <v>159430.68</v>
      </c>
      <c r="BV301" s="3">
        <v>253934.68</v>
      </c>
      <c r="BX301">
        <v>0</v>
      </c>
      <c r="BZ301">
        <v>0</v>
      </c>
      <c r="CA301">
        <v>0</v>
      </c>
      <c r="CB301">
        <v>0</v>
      </c>
      <c r="CC301" s="3">
        <v>253934.68</v>
      </c>
      <c r="CD301" s="5">
        <v>0</v>
      </c>
      <c r="CF301" s="6">
        <v>46082</v>
      </c>
      <c r="CH301">
        <v>0</v>
      </c>
      <c r="CI301">
        <v>0</v>
      </c>
      <c r="CJ301">
        <v>0</v>
      </c>
      <c r="CK301">
        <v>0</v>
      </c>
      <c r="CL301">
        <v>0</v>
      </c>
      <c r="CM301">
        <v>0</v>
      </c>
      <c r="CN301">
        <v>0</v>
      </c>
      <c r="CO301">
        <v>0</v>
      </c>
      <c r="CP301">
        <v>0</v>
      </c>
      <c r="CQ301">
        <v>0</v>
      </c>
      <c r="CR301">
        <v>0</v>
      </c>
      <c r="CS301" t="s">
        <v>360</v>
      </c>
      <c r="CT301" t="s">
        <v>190</v>
      </c>
      <c r="CU301" t="s">
        <v>2139</v>
      </c>
      <c r="CW301">
        <v>-41.411799999999999</v>
      </c>
      <c r="CZ301" s="1">
        <v>46099</v>
      </c>
      <c r="DA301" t="s">
        <v>172</v>
      </c>
      <c r="DB301" t="s">
        <v>172</v>
      </c>
      <c r="DC301" t="s">
        <v>172</v>
      </c>
      <c r="DD301" t="s">
        <v>172</v>
      </c>
      <c r="DG301" s="1">
        <v>46099</v>
      </c>
      <c r="DH301">
        <v>0</v>
      </c>
      <c r="DI301">
        <v>0</v>
      </c>
      <c r="DL301" t="s">
        <v>963</v>
      </c>
      <c r="DM301" t="s">
        <v>172</v>
      </c>
      <c r="DN301" t="s">
        <v>201</v>
      </c>
      <c r="DV301" s="3">
        <v>253934.68</v>
      </c>
      <c r="DW301">
        <v>0</v>
      </c>
      <c r="DX301" s="3">
        <v>253934.68</v>
      </c>
      <c r="DY301">
        <v>0</v>
      </c>
      <c r="EG301" s="1">
        <v>46101</v>
      </c>
      <c r="EN301" t="s">
        <v>156</v>
      </c>
      <c r="EP301" s="1">
        <v>46101</v>
      </c>
      <c r="ER301" s="1">
        <v>46100</v>
      </c>
      <c r="ES301" t="s">
        <v>2144</v>
      </c>
      <c r="EU301" s="1">
        <v>46101</v>
      </c>
      <c r="EW301" s="1">
        <v>46099</v>
      </c>
    </row>
    <row r="302" spans="1:153" ht="246.5" x14ac:dyDescent="0.35">
      <c r="A302" t="str">
        <f>HYPERLINK("https://7lm.cvcrm.com.br/gestor/comercial/reservas/6858/administrar","6858")</f>
        <v>6858</v>
      </c>
      <c r="B302" t="s">
        <v>156</v>
      </c>
      <c r="C302" s="1">
        <v>46099</v>
      </c>
      <c r="D302" s="2">
        <v>0.69987268518518519</v>
      </c>
      <c r="E302" t="s">
        <v>294</v>
      </c>
      <c r="F302" t="s">
        <v>216</v>
      </c>
      <c r="G302" t="s">
        <v>159</v>
      </c>
      <c r="H302" t="s">
        <v>306</v>
      </c>
      <c r="I302" t="s">
        <v>1165</v>
      </c>
      <c r="J302">
        <v>1</v>
      </c>
      <c r="L302">
        <v>20061</v>
      </c>
      <c r="M302" t="s">
        <v>2145</v>
      </c>
      <c r="N302" s="1">
        <v>46106</v>
      </c>
      <c r="O302" s="2">
        <v>0.70203703703703701</v>
      </c>
      <c r="R302" t="str">
        <f>HYPERLINK("https://7lm.cvcrm.com.br/gestor/relatorios/associado/html?q[1|r.idreserva]=6858","SAYMON RIBEIRO TABELIAO")</f>
        <v>SAYMON RIBEIRO TABELIAO</v>
      </c>
      <c r="S302">
        <v>8764845184</v>
      </c>
      <c r="T302">
        <v>556193811506</v>
      </c>
      <c r="V302" t="s">
        <v>2146</v>
      </c>
      <c r="W302" t="s">
        <v>163</v>
      </c>
      <c r="Y302" t="s">
        <v>165</v>
      </c>
      <c r="Z302" t="s">
        <v>575</v>
      </c>
      <c r="AA302" t="s">
        <v>2147</v>
      </c>
      <c r="AB302" t="s">
        <v>2148</v>
      </c>
      <c r="AC302" t="s">
        <v>2149</v>
      </c>
      <c r="AF302" t="s">
        <v>399</v>
      </c>
      <c r="AG302" t="s">
        <v>195</v>
      </c>
      <c r="AH302" s="3">
        <v>228155.16</v>
      </c>
      <c r="AI302" s="3">
        <v>228155.16</v>
      </c>
      <c r="AJ302" s="1">
        <v>46157</v>
      </c>
      <c r="AN302" t="s">
        <v>172</v>
      </c>
      <c r="AR302" s="7" t="s">
        <v>353</v>
      </c>
      <c r="AT302" t="s">
        <v>196</v>
      </c>
      <c r="AU302" t="s">
        <v>316</v>
      </c>
      <c r="AW302">
        <v>0</v>
      </c>
      <c r="AX302" s="1">
        <v>46107</v>
      </c>
      <c r="AY302" s="2">
        <v>0.72251157407407407</v>
      </c>
      <c r="AZ302">
        <v>195499</v>
      </c>
      <c r="BA302" s="1">
        <v>46096</v>
      </c>
      <c r="BC302" t="s">
        <v>0</v>
      </c>
      <c r="BD302" s="1">
        <v>46099</v>
      </c>
      <c r="BE302" t="s">
        <v>198</v>
      </c>
      <c r="BL302" s="4">
        <v>0</v>
      </c>
      <c r="BM302" s="1">
        <v>46995</v>
      </c>
      <c r="BN302" s="1">
        <v>46107</v>
      </c>
      <c r="BO302">
        <v>0</v>
      </c>
      <c r="BP302">
        <v>29760</v>
      </c>
      <c r="BQ302" t="s">
        <v>156</v>
      </c>
      <c r="BR302" s="3">
        <v>143345.38</v>
      </c>
      <c r="BS302" s="3">
        <v>23120</v>
      </c>
      <c r="BT302">
        <v>0</v>
      </c>
      <c r="BU302" s="3">
        <v>166465.38</v>
      </c>
      <c r="BV302" s="3">
        <v>228155.16</v>
      </c>
      <c r="BX302">
        <v>0</v>
      </c>
      <c r="BZ302">
        <v>0</v>
      </c>
      <c r="CA302">
        <v>0</v>
      </c>
      <c r="CB302">
        <v>0</v>
      </c>
      <c r="CC302" s="3">
        <v>228155.16</v>
      </c>
      <c r="CD302" s="5">
        <v>0</v>
      </c>
      <c r="CF302" s="6">
        <v>46082</v>
      </c>
      <c r="CH302">
        <v>0</v>
      </c>
      <c r="CI302">
        <v>0</v>
      </c>
      <c r="CJ302">
        <v>0</v>
      </c>
      <c r="CK302">
        <v>0</v>
      </c>
      <c r="CL302">
        <v>0</v>
      </c>
      <c r="CM302">
        <v>0</v>
      </c>
      <c r="CN302">
        <v>0</v>
      </c>
      <c r="CO302">
        <v>0</v>
      </c>
      <c r="CP302">
        <v>0</v>
      </c>
      <c r="CQ302">
        <v>0</v>
      </c>
      <c r="CR302">
        <v>0</v>
      </c>
      <c r="CS302" t="s">
        <v>428</v>
      </c>
      <c r="CT302" t="s">
        <v>214</v>
      </c>
      <c r="CU302" t="s">
        <v>1165</v>
      </c>
      <c r="CW302">
        <v>-53.945300000000003</v>
      </c>
      <c r="CZ302" s="1">
        <v>46099</v>
      </c>
      <c r="DA302" t="s">
        <v>172</v>
      </c>
      <c r="DB302" t="s">
        <v>172</v>
      </c>
      <c r="DC302" t="s">
        <v>172</v>
      </c>
      <c r="DD302" t="s">
        <v>172</v>
      </c>
      <c r="DG302" s="1">
        <v>46099</v>
      </c>
      <c r="DH302">
        <v>0</v>
      </c>
      <c r="DI302">
        <v>0</v>
      </c>
      <c r="DK302" t="s">
        <v>179</v>
      </c>
      <c r="DL302" t="s">
        <v>224</v>
      </c>
      <c r="DM302" t="s">
        <v>172</v>
      </c>
      <c r="DN302" t="s">
        <v>511</v>
      </c>
      <c r="DV302" s="3">
        <v>228155.16</v>
      </c>
      <c r="DW302">
        <v>0</v>
      </c>
      <c r="DX302" s="3">
        <v>228155.16</v>
      </c>
      <c r="DY302">
        <v>0</v>
      </c>
      <c r="EF302" s="1">
        <v>46108</v>
      </c>
      <c r="EG302" s="1">
        <v>46107</v>
      </c>
      <c r="EK302" s="1">
        <v>46108</v>
      </c>
      <c r="EP302" s="1">
        <v>46107</v>
      </c>
    </row>
    <row r="303" spans="1:153" x14ac:dyDescent="0.35">
      <c r="A303" t="str">
        <f>HYPERLINK("https://7lm.cvcrm.com.br/gestor/comercial/reservas/6857/administrar","6857")</f>
        <v>6857</v>
      </c>
      <c r="B303" t="s">
        <v>172</v>
      </c>
      <c r="C303" s="1">
        <v>46099</v>
      </c>
      <c r="D303" s="2">
        <v>0.64487268518518515</v>
      </c>
      <c r="E303" t="s">
        <v>157</v>
      </c>
      <c r="F303" t="s">
        <v>182</v>
      </c>
      <c r="G303" t="s">
        <v>159</v>
      </c>
      <c r="H303" t="s">
        <v>362</v>
      </c>
      <c r="I303" t="s">
        <v>2150</v>
      </c>
      <c r="J303">
        <v>1</v>
      </c>
      <c r="L303">
        <v>30151</v>
      </c>
      <c r="M303" t="s">
        <v>2151</v>
      </c>
      <c r="R303" t="str">
        <f>HYPERLINK("https://7lm.cvcrm.com.br/gestor/relatorios/associado/html?q[1|r.idreserva]=6857","JOSE HENRIQUE FRANCISCO DA SILVA BISPO")</f>
        <v>JOSE HENRIQUE FRANCISCO DA SILVA BISPO</v>
      </c>
      <c r="S303">
        <v>71318952107</v>
      </c>
      <c r="T303">
        <v>5561994394301</v>
      </c>
      <c r="V303" t="s">
        <v>2152</v>
      </c>
      <c r="W303" t="s">
        <v>163</v>
      </c>
      <c r="X303" t="s">
        <v>376</v>
      </c>
      <c r="Y303" t="s">
        <v>189</v>
      </c>
      <c r="Z303" t="s">
        <v>190</v>
      </c>
      <c r="AA303" t="s">
        <v>1632</v>
      </c>
      <c r="AB303" t="s">
        <v>1933</v>
      </c>
      <c r="AC303" t="s">
        <v>641</v>
      </c>
      <c r="AF303" t="s">
        <v>194</v>
      </c>
      <c r="AG303" t="s">
        <v>195</v>
      </c>
      <c r="AH303" s="3">
        <v>245000.25</v>
      </c>
      <c r="AI303" s="3">
        <v>245000.25</v>
      </c>
      <c r="AJ303" s="1">
        <v>46099</v>
      </c>
      <c r="AN303" t="s">
        <v>172</v>
      </c>
      <c r="AT303" t="s">
        <v>261</v>
      </c>
      <c r="AU303" t="s">
        <v>2153</v>
      </c>
      <c r="AW303">
        <v>0</v>
      </c>
      <c r="AX303" s="1">
        <v>46099</v>
      </c>
      <c r="AY303" s="2">
        <v>0.64487268518518515</v>
      </c>
      <c r="AZ303">
        <v>178574</v>
      </c>
      <c r="BA303" s="1">
        <v>45992</v>
      </c>
      <c r="BC303" t="s">
        <v>1874</v>
      </c>
      <c r="BD303" s="1">
        <v>45992</v>
      </c>
      <c r="BE303" t="s">
        <v>786</v>
      </c>
      <c r="BL303" s="4">
        <v>0</v>
      </c>
      <c r="BM303" s="1">
        <v>46899</v>
      </c>
      <c r="BO303">
        <v>0</v>
      </c>
      <c r="BP303">
        <v>29626</v>
      </c>
      <c r="BQ303" t="s">
        <v>156</v>
      </c>
      <c r="BR303" s="3">
        <v>149899.85</v>
      </c>
      <c r="BS303" s="3">
        <v>16962</v>
      </c>
      <c r="BT303">
        <v>0</v>
      </c>
      <c r="BU303" s="3">
        <v>166861.85</v>
      </c>
      <c r="BV303" s="3">
        <v>245000.25</v>
      </c>
      <c r="BX303">
        <v>0</v>
      </c>
      <c r="BZ303">
        <v>0</v>
      </c>
      <c r="CA303">
        <v>0</v>
      </c>
      <c r="CB303">
        <v>0</v>
      </c>
      <c r="CC303" s="3">
        <v>245000.25</v>
      </c>
      <c r="CD303" s="5">
        <v>0</v>
      </c>
      <c r="CF303" s="6">
        <v>46143</v>
      </c>
      <c r="CH303">
        <v>0</v>
      </c>
      <c r="CI303">
        <v>0</v>
      </c>
      <c r="CJ303">
        <v>0</v>
      </c>
      <c r="CK303">
        <v>0</v>
      </c>
      <c r="CL303">
        <v>0</v>
      </c>
      <c r="CM303">
        <v>0</v>
      </c>
      <c r="CN303">
        <v>0</v>
      </c>
      <c r="CO303">
        <v>0</v>
      </c>
      <c r="CP303">
        <v>0</v>
      </c>
      <c r="CQ303">
        <v>0</v>
      </c>
      <c r="CR303">
        <v>0</v>
      </c>
      <c r="CT303" t="s">
        <v>190</v>
      </c>
      <c r="CU303" t="s">
        <v>2150</v>
      </c>
      <c r="CW303">
        <v>0</v>
      </c>
      <c r="CZ303" s="1">
        <v>46099</v>
      </c>
      <c r="DA303" t="s">
        <v>172</v>
      </c>
      <c r="DB303" t="s">
        <v>172</v>
      </c>
      <c r="DC303" t="s">
        <v>172</v>
      </c>
      <c r="DD303" t="s">
        <v>172</v>
      </c>
      <c r="DG303" s="1">
        <v>46099</v>
      </c>
      <c r="DH303">
        <v>0</v>
      </c>
      <c r="DI303">
        <v>0</v>
      </c>
      <c r="DK303" t="s">
        <v>179</v>
      </c>
      <c r="DL303" t="s">
        <v>200</v>
      </c>
      <c r="DM303" t="s">
        <v>172</v>
      </c>
      <c r="DN303" t="s">
        <v>201</v>
      </c>
      <c r="DV303" s="3">
        <v>245000.25</v>
      </c>
      <c r="DW303">
        <v>0</v>
      </c>
      <c r="DX303" s="3">
        <v>245000.25</v>
      </c>
      <c r="DY303">
        <v>0</v>
      </c>
      <c r="EN303" t="s">
        <v>156</v>
      </c>
      <c r="ET303" t="s">
        <v>2154</v>
      </c>
      <c r="EW303" s="1">
        <v>46099</v>
      </c>
    </row>
    <row r="304" spans="1:153" ht="116" x14ac:dyDescent="0.35">
      <c r="A304" t="str">
        <f>HYPERLINK("https://7lm.cvcrm.com.br/gestor/comercial/reservas/6856/administrar","6856")</f>
        <v>6856</v>
      </c>
      <c r="B304" t="s">
        <v>172</v>
      </c>
      <c r="C304" s="1">
        <v>46099</v>
      </c>
      <c r="D304" s="2">
        <v>0.60571759259259261</v>
      </c>
      <c r="E304" t="s">
        <v>527</v>
      </c>
      <c r="F304" t="s">
        <v>182</v>
      </c>
      <c r="G304" t="s">
        <v>159</v>
      </c>
      <c r="H304" t="s">
        <v>418</v>
      </c>
      <c r="I304" t="s">
        <v>2025</v>
      </c>
      <c r="J304">
        <v>1</v>
      </c>
      <c r="L304">
        <v>30151</v>
      </c>
      <c r="M304" t="s">
        <v>2026</v>
      </c>
      <c r="R304" t="str">
        <f>HYPERLINK("https://7lm.cvcrm.com.br/gestor/relatorios/associado/html?q[1|r.idreserva]=6856","DHEIVIRTON KAUAN DE JESUS BRAGA")</f>
        <v>DHEIVIRTON KAUAN DE JESUS BRAGA</v>
      </c>
      <c r="S304">
        <v>71506011110</v>
      </c>
      <c r="T304">
        <v>5561999649086</v>
      </c>
      <c r="V304" t="s">
        <v>2155</v>
      </c>
      <c r="W304" t="s">
        <v>163</v>
      </c>
      <c r="X304" t="s">
        <v>376</v>
      </c>
      <c r="Y304" t="s">
        <v>189</v>
      </c>
      <c r="Z304" t="s">
        <v>190</v>
      </c>
      <c r="AA304" t="s">
        <v>799</v>
      </c>
      <c r="AB304" t="s">
        <v>2156</v>
      </c>
      <c r="AC304" t="s">
        <v>1741</v>
      </c>
      <c r="AF304" t="s">
        <v>194</v>
      </c>
      <c r="AG304" t="s">
        <v>195</v>
      </c>
      <c r="AH304" s="3">
        <v>241000</v>
      </c>
      <c r="AI304" s="3">
        <v>241000</v>
      </c>
      <c r="AJ304" s="1">
        <v>46099</v>
      </c>
      <c r="AN304" t="s">
        <v>172</v>
      </c>
      <c r="AO304" t="s">
        <v>1334</v>
      </c>
      <c r="AR304" s="7" t="s">
        <v>2157</v>
      </c>
      <c r="AT304" t="s">
        <v>261</v>
      </c>
      <c r="AU304" t="s">
        <v>292</v>
      </c>
      <c r="AW304">
        <v>0</v>
      </c>
      <c r="AX304" s="1">
        <v>46104</v>
      </c>
      <c r="AY304" s="2">
        <v>0.40143518518518517</v>
      </c>
      <c r="AZ304">
        <v>121224</v>
      </c>
      <c r="BA304" s="1">
        <v>45461</v>
      </c>
      <c r="BB304" s="1">
        <v>45917</v>
      </c>
      <c r="BC304" t="s">
        <v>2158</v>
      </c>
      <c r="BD304" s="1">
        <v>45917</v>
      </c>
      <c r="BE304" t="s">
        <v>401</v>
      </c>
      <c r="BL304" s="4">
        <v>0</v>
      </c>
      <c r="BM304" s="1">
        <v>46899</v>
      </c>
      <c r="BO304">
        <v>0</v>
      </c>
      <c r="BP304">
        <v>29733</v>
      </c>
      <c r="BQ304" t="s">
        <v>156</v>
      </c>
      <c r="BR304" s="3">
        <v>163464.93</v>
      </c>
      <c r="BS304" s="3">
        <v>6165</v>
      </c>
      <c r="BT304">
        <v>0</v>
      </c>
      <c r="BU304" s="3">
        <v>169629.93</v>
      </c>
      <c r="BV304" s="3">
        <v>241000</v>
      </c>
      <c r="BX304">
        <v>0</v>
      </c>
      <c r="BZ304">
        <v>0</v>
      </c>
      <c r="CA304">
        <v>0</v>
      </c>
      <c r="CB304">
        <v>0</v>
      </c>
      <c r="CC304" s="3">
        <v>241000</v>
      </c>
      <c r="CD304" s="5">
        <v>0</v>
      </c>
      <c r="CF304" s="6">
        <v>46082</v>
      </c>
      <c r="CH304">
        <v>0</v>
      </c>
      <c r="CI304">
        <v>0</v>
      </c>
      <c r="CJ304">
        <v>0</v>
      </c>
      <c r="CK304">
        <v>0</v>
      </c>
      <c r="CL304">
        <v>0</v>
      </c>
      <c r="CM304">
        <v>0</v>
      </c>
      <c r="CN304">
        <v>0</v>
      </c>
      <c r="CO304">
        <v>0</v>
      </c>
      <c r="CP304">
        <v>0</v>
      </c>
      <c r="CQ304">
        <v>0</v>
      </c>
      <c r="CR304">
        <v>0</v>
      </c>
      <c r="CT304" t="s">
        <v>190</v>
      </c>
      <c r="CU304" t="s">
        <v>2025</v>
      </c>
      <c r="CW304">
        <v>0</v>
      </c>
      <c r="CZ304" s="1">
        <v>46099</v>
      </c>
      <c r="DA304" t="s">
        <v>172</v>
      </c>
      <c r="DB304" t="s">
        <v>172</v>
      </c>
      <c r="DC304" t="s">
        <v>172</v>
      </c>
      <c r="DD304" t="s">
        <v>172</v>
      </c>
      <c r="DG304" s="1">
        <v>46099</v>
      </c>
      <c r="DH304">
        <v>0</v>
      </c>
      <c r="DI304">
        <v>0</v>
      </c>
      <c r="DK304" t="s">
        <v>179</v>
      </c>
      <c r="DL304" t="s">
        <v>200</v>
      </c>
      <c r="DM304" t="s">
        <v>172</v>
      </c>
      <c r="DN304" t="s">
        <v>201</v>
      </c>
      <c r="DV304" s="3">
        <v>241000</v>
      </c>
      <c r="DW304">
        <v>0</v>
      </c>
      <c r="DX304" s="3">
        <v>241000</v>
      </c>
      <c r="DY304">
        <v>0</v>
      </c>
      <c r="EN304" t="s">
        <v>537</v>
      </c>
      <c r="ET304" t="s">
        <v>1930</v>
      </c>
      <c r="EU304" s="1">
        <v>46102</v>
      </c>
    </row>
    <row r="305" spans="1:153" x14ac:dyDescent="0.35">
      <c r="A305" t="str">
        <f>HYPERLINK("https://7lm.cvcrm.com.br/gestor/comercial/reservas/6855/administrar","6855")</f>
        <v>6855</v>
      </c>
      <c r="B305" t="s">
        <v>172</v>
      </c>
      <c r="C305" s="1">
        <v>46098</v>
      </c>
      <c r="D305" s="2">
        <v>0.78723379629629631</v>
      </c>
      <c r="E305" t="s">
        <v>527</v>
      </c>
      <c r="F305" t="s">
        <v>226</v>
      </c>
      <c r="G305" t="s">
        <v>159</v>
      </c>
      <c r="H305" t="s">
        <v>1143</v>
      </c>
      <c r="I305" t="s">
        <v>2032</v>
      </c>
      <c r="J305">
        <v>1</v>
      </c>
      <c r="L305">
        <v>10031</v>
      </c>
      <c r="M305" t="s">
        <v>2159</v>
      </c>
      <c r="R305" t="str">
        <f>HYPERLINK("https://7lm.cvcrm.com.br/gestor/relatorios/associado/html?q[1|r.idreserva]=6855","AMANDA ALCANTARA MENDES")</f>
        <v>AMANDA ALCANTARA MENDES</v>
      </c>
      <c r="S305">
        <v>5926528151</v>
      </c>
      <c r="T305">
        <v>5561991883544</v>
      </c>
      <c r="U305">
        <v>5561991883544</v>
      </c>
      <c r="V305" t="s">
        <v>2160</v>
      </c>
      <c r="W305" t="s">
        <v>187</v>
      </c>
      <c r="X305" t="s">
        <v>547</v>
      </c>
      <c r="Y305" t="s">
        <v>165</v>
      </c>
      <c r="Z305" t="s">
        <v>257</v>
      </c>
      <c r="AA305" t="s">
        <v>1281</v>
      </c>
      <c r="AB305" t="s">
        <v>2161</v>
      </c>
      <c r="AC305" t="s">
        <v>550</v>
      </c>
      <c r="AD305" t="s">
        <v>551</v>
      </c>
      <c r="AE305" t="s">
        <v>169</v>
      </c>
      <c r="AF305" t="s">
        <v>170</v>
      </c>
      <c r="AG305" t="s">
        <v>171</v>
      </c>
      <c r="AH305" s="3">
        <v>364620.45</v>
      </c>
      <c r="AI305" s="3">
        <v>364620.45</v>
      </c>
      <c r="AJ305" s="1">
        <v>46096</v>
      </c>
      <c r="AN305" t="s">
        <v>172</v>
      </c>
      <c r="AO305" t="s">
        <v>966</v>
      </c>
      <c r="AT305" t="s">
        <v>173</v>
      </c>
      <c r="AU305" t="s">
        <v>292</v>
      </c>
      <c r="AW305">
        <v>0</v>
      </c>
      <c r="AX305" s="1">
        <v>46104</v>
      </c>
      <c r="AY305" s="2">
        <v>0.44085648148148149</v>
      </c>
      <c r="AZ305">
        <v>195234</v>
      </c>
      <c r="BA305" s="1">
        <v>46095</v>
      </c>
      <c r="BC305" t="s">
        <v>176</v>
      </c>
      <c r="BD305" s="1">
        <v>46095</v>
      </c>
      <c r="BE305" t="s">
        <v>176</v>
      </c>
      <c r="BL305" s="4">
        <v>0</v>
      </c>
      <c r="BM305" s="1">
        <v>46698</v>
      </c>
      <c r="BO305">
        <v>0</v>
      </c>
      <c r="BP305">
        <v>29654</v>
      </c>
      <c r="BQ305" t="s">
        <v>156</v>
      </c>
      <c r="BR305" s="3">
        <v>350000</v>
      </c>
      <c r="BS305">
        <v>0</v>
      </c>
      <c r="BT305">
        <v>0</v>
      </c>
      <c r="BU305" s="3">
        <v>350000</v>
      </c>
      <c r="BV305" s="3">
        <v>364620.45</v>
      </c>
      <c r="BX305">
        <v>0</v>
      </c>
      <c r="BZ305">
        <v>0</v>
      </c>
      <c r="CA305">
        <v>0</v>
      </c>
      <c r="CB305">
        <v>0</v>
      </c>
      <c r="CC305" s="3">
        <v>364620.45</v>
      </c>
      <c r="CD305" s="5">
        <v>0</v>
      </c>
      <c r="CF305" s="6">
        <v>46082</v>
      </c>
      <c r="CH305">
        <v>0</v>
      </c>
      <c r="CI305">
        <v>0</v>
      </c>
      <c r="CJ305">
        <v>0</v>
      </c>
      <c r="CK305">
        <v>0</v>
      </c>
      <c r="CL305">
        <v>0</v>
      </c>
      <c r="CM305">
        <v>0</v>
      </c>
      <c r="CN305">
        <v>0</v>
      </c>
      <c r="CO305">
        <v>0</v>
      </c>
      <c r="CP305">
        <v>0</v>
      </c>
      <c r="CQ305">
        <v>0</v>
      </c>
      <c r="CR305">
        <v>0</v>
      </c>
      <c r="CT305" t="s">
        <v>238</v>
      </c>
      <c r="CU305" t="s">
        <v>2032</v>
      </c>
      <c r="CW305">
        <v>0</v>
      </c>
      <c r="CX305" t="s">
        <v>170</v>
      </c>
      <c r="CZ305" s="1">
        <v>46098</v>
      </c>
      <c r="DA305" t="s">
        <v>172</v>
      </c>
      <c r="DB305" t="s">
        <v>172</v>
      </c>
      <c r="DC305" t="s">
        <v>172</v>
      </c>
      <c r="DD305" t="s">
        <v>172</v>
      </c>
      <c r="DG305" s="1">
        <v>46098</v>
      </c>
      <c r="DH305">
        <v>0</v>
      </c>
      <c r="DI305">
        <v>0</v>
      </c>
      <c r="DL305" t="s">
        <v>263</v>
      </c>
      <c r="DM305" t="s">
        <v>172</v>
      </c>
      <c r="DN305" t="s">
        <v>264</v>
      </c>
      <c r="DU305" t="s">
        <v>1120</v>
      </c>
      <c r="DV305" s="3">
        <v>545312.63</v>
      </c>
      <c r="DW305">
        <v>-59.93</v>
      </c>
      <c r="DX305" s="3">
        <v>545312.63</v>
      </c>
      <c r="DY305">
        <v>-59.93</v>
      </c>
    </row>
    <row r="306" spans="1:153" x14ac:dyDescent="0.35">
      <c r="A306" t="str">
        <f>HYPERLINK("https://7lm.cvcrm.com.br/gestor/comercial/reservas/6854/administrar","6854")</f>
        <v>6854</v>
      </c>
      <c r="B306" t="s">
        <v>172</v>
      </c>
      <c r="C306" s="1">
        <v>46098</v>
      </c>
      <c r="D306" s="2">
        <v>0.77322916666666663</v>
      </c>
      <c r="E306" t="s">
        <v>527</v>
      </c>
      <c r="F306" t="s">
        <v>957</v>
      </c>
      <c r="G306" t="s">
        <v>159</v>
      </c>
      <c r="H306" t="s">
        <v>183</v>
      </c>
      <c r="I306" t="s">
        <v>1837</v>
      </c>
      <c r="J306">
        <v>1</v>
      </c>
      <c r="L306">
        <v>30121</v>
      </c>
      <c r="M306" t="s">
        <v>1838</v>
      </c>
      <c r="R306" t="str">
        <f>HYPERLINK("https://7lm.cvcrm.com.br/gestor/relatorios/associado/html?q[1|r.idreserva]=6854","BRENDA DE SOUZA")</f>
        <v>BRENDA DE SOUZA</v>
      </c>
      <c r="S306">
        <v>8294231177</v>
      </c>
      <c r="T306">
        <v>5561998533208</v>
      </c>
      <c r="V306" t="s">
        <v>2118</v>
      </c>
      <c r="W306" t="s">
        <v>187</v>
      </c>
      <c r="X306" t="s">
        <v>2119</v>
      </c>
      <c r="Y306" t="s">
        <v>189</v>
      </c>
      <c r="Z306" t="s">
        <v>190</v>
      </c>
      <c r="AA306" t="s">
        <v>1632</v>
      </c>
      <c r="AB306" t="s">
        <v>2120</v>
      </c>
      <c r="AC306" t="s">
        <v>248</v>
      </c>
      <c r="AD306" t="s">
        <v>249</v>
      </c>
      <c r="AF306" t="s">
        <v>250</v>
      </c>
      <c r="AG306" t="s">
        <v>251</v>
      </c>
      <c r="AH306" s="3">
        <v>241000.24</v>
      </c>
      <c r="AI306" s="3">
        <v>241000.24</v>
      </c>
      <c r="AJ306" s="1">
        <v>46130</v>
      </c>
      <c r="AN306" t="s">
        <v>172</v>
      </c>
      <c r="AO306" t="s">
        <v>725</v>
      </c>
      <c r="AP306" t="s">
        <v>1207</v>
      </c>
      <c r="AR306" t="s">
        <v>2162</v>
      </c>
      <c r="AT306" t="s">
        <v>261</v>
      </c>
      <c r="AU306" t="s">
        <v>175</v>
      </c>
      <c r="AW306">
        <v>0</v>
      </c>
      <c r="AX306" s="1">
        <v>46100</v>
      </c>
      <c r="AY306" s="2">
        <v>0.44752314814814814</v>
      </c>
      <c r="AZ306">
        <v>72849</v>
      </c>
      <c r="BA306" s="1">
        <v>44659</v>
      </c>
      <c r="BC306" t="s">
        <v>0</v>
      </c>
      <c r="BD306" s="1">
        <v>46098</v>
      </c>
      <c r="BE306" t="s">
        <v>317</v>
      </c>
      <c r="BL306" s="4">
        <v>0</v>
      </c>
      <c r="BM306" s="1">
        <v>47031</v>
      </c>
      <c r="BO306">
        <v>0</v>
      </c>
      <c r="BP306">
        <v>29787</v>
      </c>
      <c r="BQ306" t="s">
        <v>156</v>
      </c>
      <c r="BR306">
        <v>0</v>
      </c>
      <c r="BS306">
        <v>0</v>
      </c>
      <c r="BT306">
        <v>0</v>
      </c>
      <c r="BU306">
        <v>0</v>
      </c>
      <c r="BV306" s="3">
        <v>241000.24</v>
      </c>
      <c r="BX306">
        <v>0</v>
      </c>
      <c r="BZ306">
        <v>0</v>
      </c>
      <c r="CA306">
        <v>0</v>
      </c>
      <c r="CB306">
        <v>0</v>
      </c>
      <c r="CC306" s="3">
        <v>241000.24</v>
      </c>
      <c r="CD306" s="5">
        <v>0</v>
      </c>
      <c r="CF306" s="6">
        <v>46082</v>
      </c>
      <c r="CH306">
        <v>0</v>
      </c>
      <c r="CI306">
        <v>0</v>
      </c>
      <c r="CJ306">
        <v>0</v>
      </c>
      <c r="CK306">
        <v>0</v>
      </c>
      <c r="CL306">
        <v>0</v>
      </c>
      <c r="CM306">
        <v>0</v>
      </c>
      <c r="CN306">
        <v>0</v>
      </c>
      <c r="CO306">
        <v>0</v>
      </c>
      <c r="CP306">
        <v>0</v>
      </c>
      <c r="CQ306">
        <v>0</v>
      </c>
      <c r="CR306">
        <v>0</v>
      </c>
      <c r="CT306" t="s">
        <v>190</v>
      </c>
      <c r="CU306" t="s">
        <v>1837</v>
      </c>
      <c r="CW306">
        <v>0</v>
      </c>
      <c r="CZ306" s="1">
        <v>46098</v>
      </c>
      <c r="DA306" t="s">
        <v>172</v>
      </c>
      <c r="DB306" t="s">
        <v>172</v>
      </c>
      <c r="DC306" t="s">
        <v>172</v>
      </c>
      <c r="DD306" t="s">
        <v>172</v>
      </c>
      <c r="DG306" s="1">
        <v>46098</v>
      </c>
      <c r="DH306">
        <v>0</v>
      </c>
      <c r="DI306">
        <v>0</v>
      </c>
      <c r="DL306" t="s">
        <v>963</v>
      </c>
      <c r="DM306" t="s">
        <v>172</v>
      </c>
      <c r="DN306" t="s">
        <v>201</v>
      </c>
      <c r="DV306" s="3">
        <v>241000.24</v>
      </c>
      <c r="DW306">
        <v>0</v>
      </c>
      <c r="DX306" s="3">
        <v>241000.24</v>
      </c>
      <c r="DY306">
        <v>0</v>
      </c>
      <c r="EN306" t="s">
        <v>156</v>
      </c>
      <c r="ET306" t="s">
        <v>837</v>
      </c>
      <c r="EU306" s="1">
        <v>46104</v>
      </c>
    </row>
    <row r="307" spans="1:153" ht="246.5" x14ac:dyDescent="0.35">
      <c r="A307" t="str">
        <f>HYPERLINK("https://7lm.cvcrm.com.br/gestor/comercial/reservas/6853/administrar","6853")</f>
        <v>6853</v>
      </c>
      <c r="B307" t="s">
        <v>156</v>
      </c>
      <c r="C307" s="1">
        <v>46098</v>
      </c>
      <c r="D307" s="2">
        <v>0.76164351851851853</v>
      </c>
      <c r="E307" t="s">
        <v>294</v>
      </c>
      <c r="F307" t="s">
        <v>957</v>
      </c>
      <c r="G307" t="s">
        <v>159</v>
      </c>
      <c r="H307" t="s">
        <v>2083</v>
      </c>
      <c r="I307" t="s">
        <v>2163</v>
      </c>
      <c r="J307">
        <v>1</v>
      </c>
      <c r="L307">
        <v>30121</v>
      </c>
      <c r="M307" t="s">
        <v>2164</v>
      </c>
      <c r="N307" s="1">
        <v>46100</v>
      </c>
      <c r="O307" s="2">
        <v>0.63972222222222219</v>
      </c>
      <c r="R307" t="str">
        <f>HYPERLINK("https://7lm.cvcrm.com.br/gestor/relatorios/associado/html?q[1|r.idreserva]=6853","AMANDA ONOFRE DA SILVA")</f>
        <v>AMANDA ONOFRE DA SILVA</v>
      </c>
      <c r="S307">
        <v>2541704127</v>
      </c>
      <c r="T307">
        <v>5561998541820</v>
      </c>
      <c r="V307" t="s">
        <v>2165</v>
      </c>
      <c r="W307" t="s">
        <v>187</v>
      </c>
      <c r="X307" t="s">
        <v>299</v>
      </c>
      <c r="Y307" t="s">
        <v>189</v>
      </c>
      <c r="Z307" t="s">
        <v>190</v>
      </c>
      <c r="AA307" t="s">
        <v>655</v>
      </c>
      <c r="AB307" t="s">
        <v>2166</v>
      </c>
      <c r="AC307" t="s">
        <v>379</v>
      </c>
      <c r="AD307" t="s">
        <v>379</v>
      </c>
      <c r="AF307" t="s">
        <v>352</v>
      </c>
      <c r="AG307" t="s">
        <v>195</v>
      </c>
      <c r="AH307" s="3">
        <v>251067.07</v>
      </c>
      <c r="AI307" s="3">
        <v>251067.07</v>
      </c>
      <c r="AJ307" s="1">
        <v>46108</v>
      </c>
      <c r="AN307" t="s">
        <v>172</v>
      </c>
      <c r="AR307" s="7" t="s">
        <v>353</v>
      </c>
      <c r="AT307" t="s">
        <v>261</v>
      </c>
      <c r="AV307" t="s">
        <v>1627</v>
      </c>
      <c r="AW307">
        <v>0</v>
      </c>
      <c r="AX307" s="1">
        <v>46105</v>
      </c>
      <c r="AY307" s="2">
        <v>0.60144675925925928</v>
      </c>
      <c r="AZ307">
        <v>177042</v>
      </c>
      <c r="BA307" s="1">
        <v>45982</v>
      </c>
      <c r="BC307" t="s">
        <v>0</v>
      </c>
      <c r="BD307" s="1">
        <v>46098</v>
      </c>
      <c r="BE307" t="s">
        <v>176</v>
      </c>
      <c r="BL307" s="4">
        <v>0</v>
      </c>
      <c r="BM307" s="1">
        <v>47031</v>
      </c>
      <c r="BN307" s="1">
        <v>46105</v>
      </c>
      <c r="BO307">
        <v>0</v>
      </c>
      <c r="BP307">
        <v>26157</v>
      </c>
      <c r="BQ307" t="s">
        <v>156</v>
      </c>
      <c r="BR307" s="3">
        <v>134676.82</v>
      </c>
      <c r="BS307" s="3">
        <v>20441</v>
      </c>
      <c r="BT307">
        <v>0</v>
      </c>
      <c r="BU307" s="3">
        <v>155117.82</v>
      </c>
      <c r="BV307" s="3">
        <v>251067.07</v>
      </c>
      <c r="BX307">
        <v>0</v>
      </c>
      <c r="BZ307">
        <v>0</v>
      </c>
      <c r="CA307">
        <v>0</v>
      </c>
      <c r="CB307">
        <v>0</v>
      </c>
      <c r="CC307" s="3">
        <v>251067.07</v>
      </c>
      <c r="CD307" s="5">
        <v>0</v>
      </c>
      <c r="CF307" s="6">
        <v>46082</v>
      </c>
      <c r="CH307">
        <v>0</v>
      </c>
      <c r="CI307">
        <v>0</v>
      </c>
      <c r="CJ307">
        <v>0</v>
      </c>
      <c r="CK307">
        <v>0</v>
      </c>
      <c r="CL307">
        <v>0</v>
      </c>
      <c r="CM307">
        <v>0</v>
      </c>
      <c r="CN307">
        <v>0</v>
      </c>
      <c r="CO307">
        <v>0</v>
      </c>
      <c r="CP307">
        <v>0</v>
      </c>
      <c r="CQ307">
        <v>0</v>
      </c>
      <c r="CR307">
        <v>0</v>
      </c>
      <c r="CS307" t="s">
        <v>360</v>
      </c>
      <c r="CT307" t="s">
        <v>190</v>
      </c>
      <c r="CU307" t="s">
        <v>2163</v>
      </c>
      <c r="CW307">
        <v>-46.4998</v>
      </c>
      <c r="CZ307" s="1">
        <v>46098</v>
      </c>
      <c r="DA307" t="s">
        <v>172</v>
      </c>
      <c r="DB307" t="s">
        <v>172</v>
      </c>
      <c r="DC307" t="s">
        <v>172</v>
      </c>
      <c r="DD307" t="s">
        <v>172</v>
      </c>
      <c r="DG307" s="1">
        <v>46098</v>
      </c>
      <c r="DH307">
        <v>0</v>
      </c>
      <c r="DI307">
        <v>0</v>
      </c>
      <c r="DL307" t="s">
        <v>963</v>
      </c>
      <c r="DM307" t="s">
        <v>172</v>
      </c>
      <c r="DN307" t="s">
        <v>201</v>
      </c>
      <c r="DV307" s="3">
        <v>251067.07</v>
      </c>
      <c r="DW307">
        <v>0</v>
      </c>
      <c r="DX307" s="3">
        <v>251067.07</v>
      </c>
      <c r="DY307">
        <v>0</v>
      </c>
      <c r="EF307" s="1">
        <v>46100</v>
      </c>
      <c r="EG307" s="1">
        <v>46099</v>
      </c>
      <c r="EH307" s="1">
        <v>46101</v>
      </c>
      <c r="EK307" s="1">
        <v>46100</v>
      </c>
      <c r="EL307" s="1">
        <v>46100</v>
      </c>
      <c r="EN307" t="s">
        <v>156</v>
      </c>
      <c r="EP307" s="1">
        <v>46101</v>
      </c>
      <c r="ER307" s="1">
        <v>46100</v>
      </c>
      <c r="ES307" t="s">
        <v>2167</v>
      </c>
      <c r="ET307" t="s">
        <v>2168</v>
      </c>
      <c r="EU307" s="1">
        <v>46100</v>
      </c>
      <c r="EW307" s="1">
        <v>46098</v>
      </c>
    </row>
    <row r="308" spans="1:153" ht="246.5" x14ac:dyDescent="0.35">
      <c r="A308" t="str">
        <f>HYPERLINK("https://7lm.cvcrm.com.br/gestor/comercial/reservas/6852/administrar","6852")</f>
        <v>6852</v>
      </c>
      <c r="B308" t="s">
        <v>156</v>
      </c>
      <c r="C308" s="1">
        <v>46098</v>
      </c>
      <c r="D308" s="2">
        <v>0.72495370370370371</v>
      </c>
      <c r="E308" t="s">
        <v>294</v>
      </c>
      <c r="F308" t="s">
        <v>216</v>
      </c>
      <c r="G308" t="s">
        <v>159</v>
      </c>
      <c r="H308" t="s">
        <v>217</v>
      </c>
      <c r="I308" t="s">
        <v>1454</v>
      </c>
      <c r="J308">
        <v>1</v>
      </c>
      <c r="L308">
        <v>20061</v>
      </c>
      <c r="M308" t="s">
        <v>2169</v>
      </c>
      <c r="N308" s="1">
        <v>46127</v>
      </c>
      <c r="O308" s="2">
        <v>0.31619212962962961</v>
      </c>
      <c r="R308" t="str">
        <f>HYPERLINK("https://7lm.cvcrm.com.br/gestor/relatorios/associado/html?q[1|r.idreserva]=6852","LEANDRO CEZAR DE JESUS")</f>
        <v>LEANDRO CEZAR DE JESUS</v>
      </c>
      <c r="S308">
        <v>6905876194</v>
      </c>
      <c r="T308">
        <v>556181108332</v>
      </c>
      <c r="V308" t="s">
        <v>2170</v>
      </c>
      <c r="W308" t="s">
        <v>163</v>
      </c>
      <c r="Y308" t="s">
        <v>189</v>
      </c>
      <c r="Z308" t="s">
        <v>214</v>
      </c>
      <c r="AA308" t="s">
        <v>471</v>
      </c>
      <c r="AB308" t="s">
        <v>472</v>
      </c>
      <c r="AC308" t="s">
        <v>388</v>
      </c>
      <c r="AF308" t="s">
        <v>389</v>
      </c>
      <c r="AG308" t="s">
        <v>195</v>
      </c>
      <c r="AH308" s="3">
        <v>222570.71</v>
      </c>
      <c r="AI308" s="3">
        <v>222570.71</v>
      </c>
      <c r="AJ308" s="1">
        <v>46147</v>
      </c>
      <c r="AN308" t="s">
        <v>172</v>
      </c>
      <c r="AR308" s="7" t="s">
        <v>353</v>
      </c>
      <c r="AT308" t="s">
        <v>196</v>
      </c>
      <c r="AU308" t="s">
        <v>292</v>
      </c>
      <c r="AW308">
        <v>0</v>
      </c>
      <c r="AX308" s="1">
        <v>46128</v>
      </c>
      <c r="AY308" s="2">
        <v>0.49186342592592591</v>
      </c>
      <c r="AZ308">
        <v>194242</v>
      </c>
      <c r="BA308" s="1">
        <v>46089</v>
      </c>
      <c r="BC308" t="s">
        <v>275</v>
      </c>
      <c r="BD308" s="1">
        <v>46101</v>
      </c>
      <c r="BE308" t="s">
        <v>198</v>
      </c>
      <c r="BL308" s="4">
        <v>0</v>
      </c>
      <c r="BM308" s="1">
        <v>46995</v>
      </c>
      <c r="BN308" s="1">
        <v>46128</v>
      </c>
      <c r="BO308">
        <v>0</v>
      </c>
      <c r="BP308">
        <v>29382</v>
      </c>
      <c r="BQ308" t="s">
        <v>156</v>
      </c>
      <c r="BR308" s="3">
        <v>109497.63</v>
      </c>
      <c r="BS308" s="3">
        <v>52560</v>
      </c>
      <c r="BT308">
        <v>0</v>
      </c>
      <c r="BU308" s="3">
        <v>162057.63</v>
      </c>
      <c r="BV308" s="3">
        <v>222570.71</v>
      </c>
      <c r="BX308">
        <v>0</v>
      </c>
      <c r="BZ308">
        <v>0</v>
      </c>
      <c r="CA308">
        <v>0</v>
      </c>
      <c r="CB308">
        <v>0</v>
      </c>
      <c r="CC308" s="3">
        <v>222570.71</v>
      </c>
      <c r="CD308" s="5">
        <v>0</v>
      </c>
      <c r="CF308" s="6">
        <v>46113</v>
      </c>
      <c r="CH308">
        <v>0</v>
      </c>
      <c r="CI308">
        <v>0</v>
      </c>
      <c r="CJ308">
        <v>0</v>
      </c>
      <c r="CK308">
        <v>0</v>
      </c>
      <c r="CL308">
        <v>0</v>
      </c>
      <c r="CM308">
        <v>0</v>
      </c>
      <c r="CN308">
        <v>0</v>
      </c>
      <c r="CO308">
        <v>0</v>
      </c>
      <c r="CP308">
        <v>0</v>
      </c>
      <c r="CQ308">
        <v>0</v>
      </c>
      <c r="CR308">
        <v>0</v>
      </c>
      <c r="CS308" t="s">
        <v>360</v>
      </c>
      <c r="CT308" t="s">
        <v>214</v>
      </c>
      <c r="CU308" t="s">
        <v>1454</v>
      </c>
      <c r="CW308">
        <v>-52.088099999999997</v>
      </c>
      <c r="CZ308" s="1">
        <v>46098</v>
      </c>
      <c r="DA308" t="s">
        <v>172</v>
      </c>
      <c r="DB308" t="s">
        <v>172</v>
      </c>
      <c r="DC308" t="s">
        <v>172</v>
      </c>
      <c r="DD308" t="s">
        <v>172</v>
      </c>
      <c r="DG308" s="1">
        <v>46098</v>
      </c>
      <c r="DH308">
        <v>0</v>
      </c>
      <c r="DI308">
        <v>0</v>
      </c>
      <c r="DK308" t="s">
        <v>179</v>
      </c>
      <c r="DL308" t="s">
        <v>224</v>
      </c>
      <c r="DM308" t="s">
        <v>172</v>
      </c>
      <c r="DN308" t="s">
        <v>201</v>
      </c>
      <c r="DV308" s="3">
        <v>222570.71</v>
      </c>
      <c r="DW308">
        <v>0</v>
      </c>
      <c r="DX308" s="3">
        <v>222570.71</v>
      </c>
      <c r="DY308">
        <v>0</v>
      </c>
      <c r="EF308" s="1">
        <v>46126</v>
      </c>
      <c r="EG308" s="1">
        <v>46122</v>
      </c>
      <c r="EK308" s="1">
        <v>46126</v>
      </c>
      <c r="EL308" s="1">
        <v>46126</v>
      </c>
      <c r="EP308" s="1">
        <v>46127</v>
      </c>
    </row>
    <row r="309" spans="1:153" ht="188.5" x14ac:dyDescent="0.35">
      <c r="A309" t="str">
        <f>HYPERLINK("https://7lm.cvcrm.com.br/gestor/comercial/reservas/6851/administrar","6851")</f>
        <v>6851</v>
      </c>
      <c r="B309" t="s">
        <v>156</v>
      </c>
      <c r="C309" s="1">
        <v>46098</v>
      </c>
      <c r="D309" s="2">
        <v>0.72469907407407408</v>
      </c>
      <c r="E309" t="s">
        <v>294</v>
      </c>
      <c r="F309" t="s">
        <v>182</v>
      </c>
      <c r="G309" t="s">
        <v>159</v>
      </c>
      <c r="H309" t="s">
        <v>418</v>
      </c>
      <c r="I309" t="s">
        <v>2171</v>
      </c>
      <c r="J309">
        <v>1</v>
      </c>
      <c r="L309">
        <v>30151</v>
      </c>
      <c r="M309" t="s">
        <v>2172</v>
      </c>
      <c r="N309" s="1">
        <v>46104</v>
      </c>
      <c r="O309" s="2">
        <v>0.45010416666666669</v>
      </c>
      <c r="R309" t="str">
        <f>HYPERLINK("https://7lm.cvcrm.com.br/gestor/relatorios/associado/html?q[1|r.idreserva]=6851","WELLINGTON ROGERIO DA SILVA")</f>
        <v>WELLINGTON ROGERIO DA SILVA</v>
      </c>
      <c r="S309">
        <v>70988259133</v>
      </c>
      <c r="T309">
        <v>5561996218188</v>
      </c>
      <c r="V309" t="s">
        <v>2173</v>
      </c>
      <c r="W309" t="s">
        <v>163</v>
      </c>
      <c r="X309" t="s">
        <v>299</v>
      </c>
      <c r="Y309" t="s">
        <v>189</v>
      </c>
      <c r="Z309" t="s">
        <v>190</v>
      </c>
      <c r="AA309" t="s">
        <v>300</v>
      </c>
      <c r="AB309" t="s">
        <v>2174</v>
      </c>
      <c r="AC309" t="s">
        <v>845</v>
      </c>
      <c r="AD309" t="s">
        <v>845</v>
      </c>
      <c r="AF309" t="s">
        <v>352</v>
      </c>
      <c r="AG309" t="s">
        <v>251</v>
      </c>
      <c r="AH309" s="3">
        <v>244057.17</v>
      </c>
      <c r="AI309" s="3">
        <v>244057.17</v>
      </c>
      <c r="AJ309" s="1">
        <v>46108</v>
      </c>
      <c r="AN309" t="s">
        <v>172</v>
      </c>
      <c r="AR309" s="7" t="s">
        <v>2175</v>
      </c>
      <c r="AT309" t="s">
        <v>261</v>
      </c>
      <c r="AV309" t="s">
        <v>1627</v>
      </c>
      <c r="AW309">
        <v>0</v>
      </c>
      <c r="AX309" s="1">
        <v>46106</v>
      </c>
      <c r="AY309" s="2">
        <v>0.3954050925925926</v>
      </c>
      <c r="AZ309">
        <v>195839</v>
      </c>
      <c r="BA309" s="1">
        <v>46098</v>
      </c>
      <c r="BC309" t="s">
        <v>176</v>
      </c>
      <c r="BD309" s="1">
        <v>46098</v>
      </c>
      <c r="BE309" t="s">
        <v>625</v>
      </c>
      <c r="BL309" s="4">
        <v>0</v>
      </c>
      <c r="BM309" s="1">
        <v>46899</v>
      </c>
      <c r="BN309" s="1">
        <v>46106</v>
      </c>
      <c r="BO309">
        <v>0</v>
      </c>
      <c r="BP309">
        <v>29735</v>
      </c>
      <c r="BQ309" t="s">
        <v>156</v>
      </c>
      <c r="BR309" s="3">
        <v>134341.45000000001</v>
      </c>
      <c r="BS309" s="3">
        <v>24960</v>
      </c>
      <c r="BT309">
        <v>0</v>
      </c>
      <c r="BU309" s="3">
        <v>159301.45000000001</v>
      </c>
      <c r="BV309" s="3">
        <v>244057.17</v>
      </c>
      <c r="BX309">
        <v>0</v>
      </c>
      <c r="BZ309">
        <v>0</v>
      </c>
      <c r="CA309">
        <v>0</v>
      </c>
      <c r="CB309">
        <v>0</v>
      </c>
      <c r="CC309" s="3">
        <v>244057.17</v>
      </c>
      <c r="CD309" s="5">
        <v>0</v>
      </c>
      <c r="CF309" s="6">
        <v>46082</v>
      </c>
      <c r="CH309">
        <v>0</v>
      </c>
      <c r="CI309">
        <v>0</v>
      </c>
      <c r="CJ309">
        <v>0</v>
      </c>
      <c r="CK309">
        <v>0</v>
      </c>
      <c r="CL309">
        <v>0</v>
      </c>
      <c r="CM309">
        <v>0</v>
      </c>
      <c r="CN309">
        <v>0</v>
      </c>
      <c r="CO309">
        <v>0</v>
      </c>
      <c r="CP309">
        <v>0</v>
      </c>
      <c r="CQ309">
        <v>0</v>
      </c>
      <c r="CR309">
        <v>0</v>
      </c>
      <c r="CS309" t="s">
        <v>360</v>
      </c>
      <c r="CT309" t="s">
        <v>190</v>
      </c>
      <c r="CU309" t="s">
        <v>2171</v>
      </c>
      <c r="CW309">
        <v>-49.468899999999998</v>
      </c>
      <c r="CZ309" s="1">
        <v>46098</v>
      </c>
      <c r="DA309" t="s">
        <v>172</v>
      </c>
      <c r="DB309" t="s">
        <v>172</v>
      </c>
      <c r="DC309" t="s">
        <v>172</v>
      </c>
      <c r="DD309" t="s">
        <v>172</v>
      </c>
      <c r="DG309" s="1">
        <v>46098</v>
      </c>
      <c r="DH309">
        <v>0</v>
      </c>
      <c r="DI309">
        <v>0</v>
      </c>
      <c r="DK309" t="s">
        <v>179</v>
      </c>
      <c r="DL309" t="s">
        <v>200</v>
      </c>
      <c r="DM309" t="s">
        <v>172</v>
      </c>
      <c r="DN309" t="s">
        <v>201</v>
      </c>
      <c r="DV309" s="3">
        <v>244057.17</v>
      </c>
      <c r="DW309">
        <v>0</v>
      </c>
      <c r="DX309" s="3">
        <v>244057.17</v>
      </c>
      <c r="DY309">
        <v>0</v>
      </c>
      <c r="EG309" s="1">
        <v>46100</v>
      </c>
      <c r="EN309" t="s">
        <v>156</v>
      </c>
      <c r="EP309" s="1">
        <v>46100</v>
      </c>
      <c r="ER309" s="1">
        <v>46100</v>
      </c>
      <c r="ES309" t="s">
        <v>2176</v>
      </c>
      <c r="EU309" s="1">
        <v>46100</v>
      </c>
      <c r="EW309" s="1">
        <v>46098</v>
      </c>
    </row>
    <row r="310" spans="1:153" ht="87" x14ac:dyDescent="0.35">
      <c r="A310" t="str">
        <f>HYPERLINK("https://7lm.cvcrm.com.br/gestor/comercial/reservas/6810/administrar","6810")</f>
        <v>6810</v>
      </c>
      <c r="B310" t="s">
        <v>156</v>
      </c>
      <c r="C310" s="1">
        <v>46097</v>
      </c>
      <c r="D310" s="2">
        <v>0.9174768518518519</v>
      </c>
      <c r="E310" t="s">
        <v>294</v>
      </c>
      <c r="F310" t="s">
        <v>226</v>
      </c>
      <c r="G310" t="s">
        <v>159</v>
      </c>
      <c r="H310" t="s">
        <v>722</v>
      </c>
      <c r="I310" t="s">
        <v>666</v>
      </c>
      <c r="J310">
        <v>1</v>
      </c>
      <c r="K310">
        <v>8261</v>
      </c>
      <c r="L310">
        <v>10031</v>
      </c>
      <c r="M310" t="s">
        <v>2177</v>
      </c>
      <c r="N310" s="1">
        <v>46111</v>
      </c>
      <c r="O310" s="2">
        <v>0.30314814814814817</v>
      </c>
      <c r="R310" t="str">
        <f>HYPERLINK("https://7lm.cvcrm.com.br/gestor/relatorios/associado/html?q[1|r.idreserva]=6810","FELIPE LEONARDO DE CARVALHO MOURA")</f>
        <v>FELIPE LEONARDO DE CARVALHO MOURA</v>
      </c>
      <c r="S310">
        <v>5832409175</v>
      </c>
      <c r="T310">
        <v>5561986565819</v>
      </c>
      <c r="U310">
        <v>5561986565819</v>
      </c>
      <c r="V310" t="s">
        <v>2178</v>
      </c>
      <c r="W310" t="s">
        <v>163</v>
      </c>
      <c r="X310" t="s">
        <v>1147</v>
      </c>
      <c r="Y310" t="s">
        <v>165</v>
      </c>
      <c r="Z310" t="s">
        <v>257</v>
      </c>
      <c r="AA310" t="s">
        <v>1898</v>
      </c>
      <c r="AB310" t="s">
        <v>2179</v>
      </c>
      <c r="AC310" t="s">
        <v>1561</v>
      </c>
      <c r="AE310" t="s">
        <v>733</v>
      </c>
      <c r="AF310" t="s">
        <v>170</v>
      </c>
      <c r="AG310" t="s">
        <v>171</v>
      </c>
      <c r="AH310" s="3">
        <v>371404.13</v>
      </c>
      <c r="AI310" s="3">
        <v>371404.13</v>
      </c>
      <c r="AJ310" s="1">
        <v>46099</v>
      </c>
      <c r="AN310" t="s">
        <v>172</v>
      </c>
      <c r="AR310" s="7" t="s">
        <v>2180</v>
      </c>
      <c r="AT310" t="s">
        <v>261</v>
      </c>
      <c r="AU310" t="s">
        <v>316</v>
      </c>
      <c r="AW310">
        <v>0</v>
      </c>
      <c r="AX310" s="1">
        <v>46106</v>
      </c>
      <c r="AY310" s="2">
        <v>0.40978009259259257</v>
      </c>
      <c r="AZ310" t="s">
        <v>2181</v>
      </c>
      <c r="BA310" t="s">
        <v>2182</v>
      </c>
      <c r="BB310" t="s">
        <v>356</v>
      </c>
      <c r="BC310" t="s">
        <v>2183</v>
      </c>
      <c r="BD310" t="s">
        <v>2182</v>
      </c>
      <c r="BE310" t="s">
        <v>2184</v>
      </c>
      <c r="BL310" s="4">
        <v>0</v>
      </c>
      <c r="BM310" s="1">
        <v>46698</v>
      </c>
      <c r="BN310" s="1">
        <v>46106</v>
      </c>
      <c r="BO310">
        <v>0</v>
      </c>
      <c r="BP310">
        <v>29341</v>
      </c>
      <c r="BQ310" t="s">
        <v>156</v>
      </c>
      <c r="BR310" s="3">
        <v>364000</v>
      </c>
      <c r="BS310">
        <v>0</v>
      </c>
      <c r="BT310">
        <v>0</v>
      </c>
      <c r="BU310" s="3">
        <v>364000</v>
      </c>
      <c r="BV310" s="3">
        <v>371404.13</v>
      </c>
      <c r="BX310">
        <v>0</v>
      </c>
      <c r="BZ310">
        <v>0</v>
      </c>
      <c r="CA310">
        <v>0</v>
      </c>
      <c r="CB310">
        <v>0</v>
      </c>
      <c r="CC310" s="3">
        <v>371404.13</v>
      </c>
      <c r="CD310" s="5">
        <v>0</v>
      </c>
      <c r="CF310" s="6">
        <v>46082</v>
      </c>
      <c r="CH310">
        <v>0</v>
      </c>
      <c r="CI310">
        <v>0</v>
      </c>
      <c r="CJ310">
        <v>0</v>
      </c>
      <c r="CK310">
        <v>0</v>
      </c>
      <c r="CL310">
        <v>0</v>
      </c>
      <c r="CM310">
        <v>0</v>
      </c>
      <c r="CN310">
        <v>0</v>
      </c>
      <c r="CO310">
        <v>0</v>
      </c>
      <c r="CP310">
        <v>0</v>
      </c>
      <c r="CQ310">
        <v>0</v>
      </c>
      <c r="CR310">
        <v>0</v>
      </c>
      <c r="CS310" t="s">
        <v>360</v>
      </c>
      <c r="CT310" t="s">
        <v>238</v>
      </c>
      <c r="CU310" t="s">
        <v>666</v>
      </c>
      <c r="CW310">
        <v>-59.192900000000002</v>
      </c>
      <c r="CX310" t="s">
        <v>170</v>
      </c>
      <c r="CZ310" s="1">
        <v>46097</v>
      </c>
      <c r="DA310" t="s">
        <v>172</v>
      </c>
      <c r="DB310" t="s">
        <v>172</v>
      </c>
      <c r="DC310" t="s">
        <v>172</v>
      </c>
      <c r="DD310" t="s">
        <v>172</v>
      </c>
      <c r="DG310" s="1">
        <v>46097</v>
      </c>
      <c r="DH310">
        <v>0</v>
      </c>
      <c r="DI310">
        <v>0</v>
      </c>
      <c r="DL310" t="s">
        <v>239</v>
      </c>
      <c r="DM310" t="s">
        <v>172</v>
      </c>
      <c r="DU310" t="s">
        <v>240</v>
      </c>
      <c r="DV310" s="3">
        <v>538741.46</v>
      </c>
      <c r="DW310">
        <v>-59.19</v>
      </c>
      <c r="DX310" s="3">
        <v>538741.46</v>
      </c>
      <c r="DY310">
        <v>-59.19</v>
      </c>
    </row>
    <row r="311" spans="1:153" ht="409.5" x14ac:dyDescent="0.35">
      <c r="A311" t="str">
        <f>HYPERLINK("https://7lm.cvcrm.com.br/gestor/comercial/reservas/6809/administrar","6809")</f>
        <v>6809</v>
      </c>
      <c r="B311" t="s">
        <v>172</v>
      </c>
      <c r="C311" s="1">
        <v>46097</v>
      </c>
      <c r="D311" s="2">
        <v>0.71577546296296302</v>
      </c>
      <c r="E311" t="s">
        <v>527</v>
      </c>
      <c r="F311" t="s">
        <v>957</v>
      </c>
      <c r="G311" t="s">
        <v>159</v>
      </c>
      <c r="H311" t="s">
        <v>958</v>
      </c>
      <c r="I311" t="s">
        <v>2139</v>
      </c>
      <c r="J311">
        <v>1</v>
      </c>
      <c r="L311">
        <v>30121</v>
      </c>
      <c r="M311" t="s">
        <v>2140</v>
      </c>
      <c r="R311" t="str">
        <f>HYPERLINK("https://7lm.cvcrm.com.br/gestor/relatorios/associado/html?q[1|r.idreserva]=6809","PEDRO HENRIQUE DA SILVA")</f>
        <v>PEDRO HENRIQUE DA SILVA</v>
      </c>
      <c r="S311">
        <v>4283757152</v>
      </c>
      <c r="T311">
        <v>5561996386389</v>
      </c>
      <c r="V311" t="s">
        <v>2185</v>
      </c>
      <c r="W311" t="s">
        <v>163</v>
      </c>
      <c r="X311" t="s">
        <v>376</v>
      </c>
      <c r="Y311" t="s">
        <v>189</v>
      </c>
      <c r="Z311" t="s">
        <v>190</v>
      </c>
      <c r="AA311" t="s">
        <v>1649</v>
      </c>
      <c r="AB311" t="s">
        <v>2186</v>
      </c>
      <c r="AC311" t="s">
        <v>302</v>
      </c>
      <c r="AD311" t="s">
        <v>302</v>
      </c>
      <c r="AF311" t="s">
        <v>303</v>
      </c>
      <c r="AG311" t="s">
        <v>195</v>
      </c>
      <c r="AH311" s="3">
        <v>254999.95</v>
      </c>
      <c r="AI311" s="3">
        <v>254999.95</v>
      </c>
      <c r="AJ311" s="1">
        <v>46128</v>
      </c>
      <c r="AN311" t="s">
        <v>172</v>
      </c>
      <c r="AO311" t="s">
        <v>816</v>
      </c>
      <c r="AR311" s="7" t="s">
        <v>2187</v>
      </c>
      <c r="AT311" t="s">
        <v>196</v>
      </c>
      <c r="AU311" t="s">
        <v>292</v>
      </c>
      <c r="AW311">
        <v>0</v>
      </c>
      <c r="AX311" s="1">
        <v>46099</v>
      </c>
      <c r="AY311" s="2">
        <v>0.54557870370370365</v>
      </c>
      <c r="AZ311">
        <v>147444</v>
      </c>
      <c r="BA311" s="1">
        <v>45688</v>
      </c>
      <c r="BC311" t="s">
        <v>275</v>
      </c>
      <c r="BD311" s="1">
        <v>45688</v>
      </c>
      <c r="BE311" t="s">
        <v>276</v>
      </c>
      <c r="BL311" s="4">
        <v>0</v>
      </c>
      <c r="BM311" s="1">
        <v>47031</v>
      </c>
      <c r="BO311">
        <v>0</v>
      </c>
      <c r="BP311">
        <v>29016</v>
      </c>
      <c r="BQ311" t="s">
        <v>156</v>
      </c>
      <c r="BR311" s="3">
        <v>124605.95</v>
      </c>
      <c r="BS311" s="3">
        <v>40978</v>
      </c>
      <c r="BT311">
        <v>0</v>
      </c>
      <c r="BU311" s="3">
        <v>165583.95000000001</v>
      </c>
      <c r="BV311" s="3">
        <v>254999.95</v>
      </c>
      <c r="BX311">
        <v>0</v>
      </c>
      <c r="BZ311">
        <v>0</v>
      </c>
      <c r="CA311">
        <v>0</v>
      </c>
      <c r="CB311">
        <v>0</v>
      </c>
      <c r="CC311" s="3">
        <v>254999.95</v>
      </c>
      <c r="CD311" s="5">
        <v>0</v>
      </c>
      <c r="CF311" s="6">
        <v>46082</v>
      </c>
      <c r="CH311">
        <v>0</v>
      </c>
      <c r="CI311">
        <v>0</v>
      </c>
      <c r="CJ311">
        <v>0</v>
      </c>
      <c r="CK311">
        <v>0</v>
      </c>
      <c r="CL311">
        <v>0</v>
      </c>
      <c r="CM311">
        <v>0</v>
      </c>
      <c r="CN311">
        <v>0</v>
      </c>
      <c r="CO311">
        <v>0</v>
      </c>
      <c r="CP311">
        <v>0</v>
      </c>
      <c r="CQ311">
        <v>0</v>
      </c>
      <c r="CR311">
        <v>0</v>
      </c>
      <c r="CT311" t="s">
        <v>190</v>
      </c>
      <c r="CU311" t="s">
        <v>2139</v>
      </c>
      <c r="CW311">
        <v>0</v>
      </c>
      <c r="CZ311" s="1">
        <v>46097</v>
      </c>
      <c r="DA311" t="s">
        <v>172</v>
      </c>
      <c r="DB311" t="s">
        <v>172</v>
      </c>
      <c r="DC311" t="s">
        <v>172</v>
      </c>
      <c r="DD311" t="s">
        <v>172</v>
      </c>
      <c r="DG311" s="1">
        <v>46097</v>
      </c>
      <c r="DH311">
        <v>0</v>
      </c>
      <c r="DI311">
        <v>0</v>
      </c>
      <c r="DL311" t="s">
        <v>963</v>
      </c>
      <c r="DM311" t="s">
        <v>172</v>
      </c>
      <c r="DN311" t="s">
        <v>201</v>
      </c>
      <c r="DU311" t="s">
        <v>1238</v>
      </c>
      <c r="DV311" s="3">
        <v>225000.05</v>
      </c>
      <c r="DW311">
        <v>-46.88</v>
      </c>
      <c r="DX311" s="3">
        <v>225000.05</v>
      </c>
      <c r="DY311">
        <v>-46.88</v>
      </c>
      <c r="EN311" t="s">
        <v>537</v>
      </c>
      <c r="EW311" s="1">
        <v>46097</v>
      </c>
    </row>
    <row r="312" spans="1:153" ht="188.5" x14ac:dyDescent="0.35">
      <c r="A312" t="str">
        <f>HYPERLINK("https://7lm.cvcrm.com.br/gestor/comercial/reservas/6808/administrar","6808")</f>
        <v>6808</v>
      </c>
      <c r="B312" t="s">
        <v>156</v>
      </c>
      <c r="C312" s="1">
        <v>46095</v>
      </c>
      <c r="D312" s="2">
        <v>0.91032407407407412</v>
      </c>
      <c r="E312" t="s">
        <v>294</v>
      </c>
      <c r="F312" t="s">
        <v>226</v>
      </c>
      <c r="G312" t="s">
        <v>159</v>
      </c>
      <c r="H312" t="s">
        <v>1143</v>
      </c>
      <c r="I312" t="s">
        <v>2188</v>
      </c>
      <c r="J312">
        <v>1</v>
      </c>
      <c r="L312">
        <v>10031</v>
      </c>
      <c r="M312" t="s">
        <v>2189</v>
      </c>
      <c r="N312" s="1">
        <v>46097</v>
      </c>
      <c r="O312" s="2">
        <v>0.8053703703703704</v>
      </c>
      <c r="R312" t="str">
        <f>HYPERLINK("https://7lm.cvcrm.com.br/gestor/relatorios/associado/html?q[1|r.idreserva]=6808","AUGENCIO ANTUNES DOS SANTOS NETO")</f>
        <v>AUGENCIO ANTUNES DOS SANTOS NETO</v>
      </c>
      <c r="S312">
        <v>1023453509</v>
      </c>
      <c r="T312">
        <v>5561981483762</v>
      </c>
      <c r="U312">
        <v>5561981483762</v>
      </c>
      <c r="V312" t="s">
        <v>2190</v>
      </c>
      <c r="W312" t="s">
        <v>163</v>
      </c>
      <c r="X312" t="s">
        <v>2191</v>
      </c>
      <c r="Y312" t="s">
        <v>165</v>
      </c>
      <c r="Z312" t="s">
        <v>323</v>
      </c>
      <c r="AA312" t="s">
        <v>323</v>
      </c>
      <c r="AB312" t="s">
        <v>2192</v>
      </c>
      <c r="AC312" t="s">
        <v>2193</v>
      </c>
      <c r="AD312" t="s">
        <v>2194</v>
      </c>
      <c r="AE312" t="s">
        <v>733</v>
      </c>
      <c r="AF312" t="s">
        <v>170</v>
      </c>
      <c r="AG312" t="s">
        <v>171</v>
      </c>
      <c r="AH312" s="3">
        <v>351190</v>
      </c>
      <c r="AI312" s="3">
        <v>351190</v>
      </c>
      <c r="AJ312" s="1">
        <v>46097</v>
      </c>
      <c r="AN312" t="s">
        <v>172</v>
      </c>
      <c r="AR312" s="7" t="s">
        <v>2195</v>
      </c>
      <c r="AT312" t="s">
        <v>261</v>
      </c>
      <c r="AU312" t="s">
        <v>174</v>
      </c>
      <c r="AW312">
        <v>0</v>
      </c>
      <c r="AX312" s="1">
        <v>46104</v>
      </c>
      <c r="AY312" s="2">
        <v>0.49729166666666669</v>
      </c>
      <c r="AZ312">
        <v>195105</v>
      </c>
      <c r="BA312" s="1">
        <v>46094</v>
      </c>
      <c r="BC312" t="s">
        <v>0</v>
      </c>
      <c r="BD312" s="1">
        <v>46095</v>
      </c>
      <c r="BE312" t="s">
        <v>817</v>
      </c>
      <c r="BL312" s="4">
        <v>0</v>
      </c>
      <c r="BM312" s="1">
        <v>46698</v>
      </c>
      <c r="BN312" s="1">
        <v>46104</v>
      </c>
      <c r="BO312">
        <v>0</v>
      </c>
      <c r="BP312">
        <v>29641</v>
      </c>
      <c r="BQ312" t="s">
        <v>156</v>
      </c>
      <c r="BR312" s="3">
        <v>350000</v>
      </c>
      <c r="BS312">
        <v>0</v>
      </c>
      <c r="BT312">
        <v>0</v>
      </c>
      <c r="BU312" s="3">
        <v>350000</v>
      </c>
      <c r="BV312" s="3">
        <v>351190</v>
      </c>
      <c r="BX312">
        <v>0</v>
      </c>
      <c r="BZ312">
        <v>0</v>
      </c>
      <c r="CA312">
        <v>0</v>
      </c>
      <c r="CB312">
        <v>0</v>
      </c>
      <c r="CC312" s="3">
        <v>351190</v>
      </c>
      <c r="CD312" s="5">
        <v>0</v>
      </c>
      <c r="CF312" s="6">
        <v>46082</v>
      </c>
      <c r="CH312">
        <v>0</v>
      </c>
      <c r="CI312">
        <v>0</v>
      </c>
      <c r="CJ312">
        <v>0</v>
      </c>
      <c r="CK312">
        <v>0</v>
      </c>
      <c r="CL312">
        <v>0</v>
      </c>
      <c r="CM312">
        <v>0</v>
      </c>
      <c r="CN312">
        <v>0</v>
      </c>
      <c r="CO312">
        <v>0</v>
      </c>
      <c r="CP312">
        <v>0</v>
      </c>
      <c r="CQ312">
        <v>0</v>
      </c>
      <c r="CR312">
        <v>0</v>
      </c>
      <c r="CS312" t="s">
        <v>177</v>
      </c>
      <c r="CT312" t="s">
        <v>238</v>
      </c>
      <c r="CU312" t="s">
        <v>2188</v>
      </c>
      <c r="CW312">
        <v>-59.633299999999998</v>
      </c>
      <c r="CX312" t="s">
        <v>170</v>
      </c>
      <c r="CZ312" s="1">
        <v>46095</v>
      </c>
      <c r="DA312" t="s">
        <v>172</v>
      </c>
      <c r="DB312" t="s">
        <v>172</v>
      </c>
      <c r="DC312" t="s">
        <v>172</v>
      </c>
      <c r="DD312" t="s">
        <v>172</v>
      </c>
      <c r="DG312" s="1">
        <v>46095</v>
      </c>
      <c r="DH312">
        <v>0</v>
      </c>
      <c r="DI312">
        <v>0</v>
      </c>
      <c r="DL312" t="s">
        <v>263</v>
      </c>
      <c r="DM312" t="s">
        <v>172</v>
      </c>
      <c r="DN312" t="s">
        <v>264</v>
      </c>
      <c r="DU312" t="s">
        <v>240</v>
      </c>
      <c r="DV312" s="3">
        <v>518810</v>
      </c>
      <c r="DW312">
        <v>-59.63</v>
      </c>
      <c r="DX312" s="3">
        <v>518810</v>
      </c>
      <c r="DY312">
        <v>-59.63</v>
      </c>
    </row>
    <row r="313" spans="1:153" ht="87" x14ac:dyDescent="0.35">
      <c r="A313" t="str">
        <f>HYPERLINK("https://7lm.cvcrm.com.br/gestor/comercial/reservas/6807/administrar","6807")</f>
        <v>6807</v>
      </c>
      <c r="B313" t="s">
        <v>156</v>
      </c>
      <c r="C313" s="1">
        <v>46095</v>
      </c>
      <c r="D313" s="2">
        <v>0.80361111111111116</v>
      </c>
      <c r="E313" t="s">
        <v>294</v>
      </c>
      <c r="F313" t="s">
        <v>226</v>
      </c>
      <c r="G313" t="s">
        <v>159</v>
      </c>
      <c r="H313" t="s">
        <v>227</v>
      </c>
      <c r="I313" t="s">
        <v>1052</v>
      </c>
      <c r="J313">
        <v>1</v>
      </c>
      <c r="L313">
        <v>10031</v>
      </c>
      <c r="M313" t="s">
        <v>2196</v>
      </c>
      <c r="N313" s="1">
        <v>46097</v>
      </c>
      <c r="O313" s="2">
        <v>0.74604166666666671</v>
      </c>
      <c r="R313" t="str">
        <f>HYPERLINK("https://7lm.cvcrm.com.br/gestor/relatorios/associado/html?q[1|r.idreserva]=6807","IVONETE FERREIRA DE SOUSA")</f>
        <v>IVONETE FERREIRA DE SOUSA</v>
      </c>
      <c r="S313">
        <v>87585901100</v>
      </c>
      <c r="T313">
        <v>5561991119087</v>
      </c>
      <c r="U313">
        <v>5561991119087</v>
      </c>
      <c r="V313" t="s">
        <v>2197</v>
      </c>
      <c r="W313" t="s">
        <v>187</v>
      </c>
      <c r="X313" t="s">
        <v>1147</v>
      </c>
      <c r="Y313" t="s">
        <v>165</v>
      </c>
      <c r="Z313" t="s">
        <v>257</v>
      </c>
      <c r="AA313" t="s">
        <v>812</v>
      </c>
      <c r="AB313" t="s">
        <v>2198</v>
      </c>
      <c r="AC313" t="s">
        <v>169</v>
      </c>
      <c r="AE313" t="s">
        <v>169</v>
      </c>
      <c r="AF313" t="s">
        <v>170</v>
      </c>
      <c r="AG313" t="s">
        <v>171</v>
      </c>
      <c r="AH313" s="3">
        <v>401360</v>
      </c>
      <c r="AI313" s="3">
        <v>401360</v>
      </c>
      <c r="AJ313" s="1">
        <v>46094</v>
      </c>
      <c r="AN313" t="s">
        <v>172</v>
      </c>
      <c r="AR313" s="7" t="s">
        <v>1149</v>
      </c>
      <c r="AT313" t="s">
        <v>173</v>
      </c>
      <c r="AU313" t="s">
        <v>197</v>
      </c>
      <c r="AW313">
        <v>0</v>
      </c>
      <c r="AX313" s="1">
        <v>46100</v>
      </c>
      <c r="AY313" s="2">
        <v>0.45195601851851852</v>
      </c>
      <c r="AZ313">
        <v>195078</v>
      </c>
      <c r="BA313" s="1">
        <v>46094</v>
      </c>
      <c r="BC313" t="s">
        <v>0</v>
      </c>
      <c r="BD313" s="1">
        <v>46095</v>
      </c>
      <c r="BE313" t="s">
        <v>176</v>
      </c>
      <c r="BL313" s="4">
        <v>0</v>
      </c>
      <c r="BM313" s="1">
        <v>46698</v>
      </c>
      <c r="BN313" s="1">
        <v>46100</v>
      </c>
      <c r="BO313">
        <v>0</v>
      </c>
      <c r="BP313">
        <v>29616</v>
      </c>
      <c r="BQ313" t="s">
        <v>156</v>
      </c>
      <c r="BR313" s="3">
        <v>350000</v>
      </c>
      <c r="BS313">
        <v>0</v>
      </c>
      <c r="BT313">
        <v>0</v>
      </c>
      <c r="BU313" s="3">
        <v>350000</v>
      </c>
      <c r="BV313" s="3">
        <v>401360</v>
      </c>
      <c r="BX313">
        <v>0</v>
      </c>
      <c r="BZ313">
        <v>0</v>
      </c>
      <c r="CA313">
        <v>0</v>
      </c>
      <c r="CB313">
        <v>0</v>
      </c>
      <c r="CC313" s="3">
        <v>401360</v>
      </c>
      <c r="CD313" s="5">
        <v>0</v>
      </c>
      <c r="CF313" s="6">
        <v>46082</v>
      </c>
      <c r="CH313">
        <v>0</v>
      </c>
      <c r="CI313">
        <v>0</v>
      </c>
      <c r="CJ313">
        <v>0</v>
      </c>
      <c r="CK313">
        <v>0</v>
      </c>
      <c r="CL313">
        <v>0</v>
      </c>
      <c r="CM313">
        <v>0</v>
      </c>
      <c r="CN313">
        <v>0</v>
      </c>
      <c r="CO313">
        <v>0</v>
      </c>
      <c r="CP313">
        <v>0</v>
      </c>
      <c r="CQ313">
        <v>0</v>
      </c>
      <c r="CR313">
        <v>0</v>
      </c>
      <c r="CS313" t="s">
        <v>177</v>
      </c>
      <c r="CT313" t="s">
        <v>238</v>
      </c>
      <c r="CU313" t="s">
        <v>1052</v>
      </c>
      <c r="CW313">
        <v>-58.191699999999997</v>
      </c>
      <c r="CX313" t="s">
        <v>170</v>
      </c>
      <c r="CZ313" s="1">
        <v>46095</v>
      </c>
      <c r="DA313" t="s">
        <v>172</v>
      </c>
      <c r="DB313" t="s">
        <v>172</v>
      </c>
      <c r="DC313" t="s">
        <v>172</v>
      </c>
      <c r="DD313" t="s">
        <v>172</v>
      </c>
      <c r="DG313" s="1">
        <v>46095</v>
      </c>
      <c r="DH313">
        <v>0</v>
      </c>
      <c r="DI313">
        <v>0</v>
      </c>
      <c r="DL313" t="s">
        <v>263</v>
      </c>
      <c r="DM313" t="s">
        <v>172</v>
      </c>
      <c r="DN313" t="s">
        <v>264</v>
      </c>
      <c r="DU313" t="s">
        <v>240</v>
      </c>
      <c r="DV313" s="3">
        <v>558640</v>
      </c>
      <c r="DW313">
        <v>-58.19</v>
      </c>
      <c r="DX313" s="3">
        <v>558640</v>
      </c>
      <c r="DY313">
        <v>-58.19</v>
      </c>
      <c r="EG313" s="1">
        <v>46100</v>
      </c>
    </row>
    <row r="314" spans="1:153" ht="246.5" x14ac:dyDescent="0.35">
      <c r="A314" t="str">
        <f>HYPERLINK("https://7lm.cvcrm.com.br/gestor/comercial/reservas/6806/administrar","6806")</f>
        <v>6806</v>
      </c>
      <c r="B314" t="s">
        <v>156</v>
      </c>
      <c r="C314" s="1">
        <v>46095</v>
      </c>
      <c r="D314" s="2">
        <v>0.76655092592592589</v>
      </c>
      <c r="E314" t="s">
        <v>294</v>
      </c>
      <c r="F314" t="s">
        <v>216</v>
      </c>
      <c r="G314" t="s">
        <v>159</v>
      </c>
      <c r="H314" t="s">
        <v>217</v>
      </c>
      <c r="I314" t="s">
        <v>562</v>
      </c>
      <c r="J314">
        <v>1</v>
      </c>
      <c r="L314">
        <v>20061</v>
      </c>
      <c r="M314" t="s">
        <v>2199</v>
      </c>
      <c r="N314" s="1">
        <v>46099</v>
      </c>
      <c r="O314" s="2">
        <v>0.50976851851851857</v>
      </c>
      <c r="R314" t="str">
        <f>HYPERLINK("https://7lm.cvcrm.com.br/gestor/relatorios/associado/html?q[1|r.idreserva]=6806","LOURRANE FEITOSA DA SILVA")</f>
        <v>LOURRANE FEITOSA DA SILVA</v>
      </c>
      <c r="S314">
        <v>8288514332</v>
      </c>
      <c r="T314">
        <v>5561982213427</v>
      </c>
      <c r="U314">
        <v>5561982268132</v>
      </c>
      <c r="V314" t="s">
        <v>2200</v>
      </c>
      <c r="W314" t="s">
        <v>187</v>
      </c>
      <c r="Y314" t="s">
        <v>165</v>
      </c>
      <c r="Z314" t="s">
        <v>575</v>
      </c>
      <c r="AA314" t="s">
        <v>1845</v>
      </c>
      <c r="AB314" t="s">
        <v>2201</v>
      </c>
      <c r="AC314" t="s">
        <v>1044</v>
      </c>
      <c r="AD314" t="s">
        <v>1045</v>
      </c>
      <c r="AF314" t="s">
        <v>212</v>
      </c>
      <c r="AG314" t="s">
        <v>284</v>
      </c>
      <c r="AH314" s="3">
        <v>213018.39</v>
      </c>
      <c r="AI314" s="3">
        <v>213018.39</v>
      </c>
      <c r="AJ314" s="1">
        <v>46167</v>
      </c>
      <c r="AN314" t="s">
        <v>172</v>
      </c>
      <c r="AR314" s="7" t="s">
        <v>353</v>
      </c>
      <c r="AT314" t="s">
        <v>196</v>
      </c>
      <c r="AU314" t="s">
        <v>175</v>
      </c>
      <c r="AW314">
        <v>0</v>
      </c>
      <c r="AX314" s="1">
        <v>46105</v>
      </c>
      <c r="AY314" s="2">
        <v>0.43280092592592595</v>
      </c>
      <c r="AZ314">
        <v>195305</v>
      </c>
      <c r="BA314" s="1">
        <v>46095</v>
      </c>
      <c r="BC314" t="s">
        <v>0</v>
      </c>
      <c r="BD314" s="1">
        <v>46095</v>
      </c>
      <c r="BE314" t="s">
        <v>175</v>
      </c>
      <c r="BL314" s="4">
        <v>0</v>
      </c>
      <c r="BM314" s="1">
        <v>46995</v>
      </c>
      <c r="BN314" s="1">
        <v>46105</v>
      </c>
      <c r="BO314">
        <v>0</v>
      </c>
      <c r="BP314">
        <v>29679</v>
      </c>
      <c r="BQ314" t="s">
        <v>156</v>
      </c>
      <c r="BR314" s="3">
        <v>125024.39</v>
      </c>
      <c r="BS314" s="3">
        <v>36754</v>
      </c>
      <c r="BT314">
        <v>0</v>
      </c>
      <c r="BU314" s="3">
        <v>161778.39000000001</v>
      </c>
      <c r="BV314" s="3">
        <v>213018.39</v>
      </c>
      <c r="BX314">
        <v>0</v>
      </c>
      <c r="BZ314">
        <v>0</v>
      </c>
      <c r="CA314">
        <v>0</v>
      </c>
      <c r="CB314">
        <v>0</v>
      </c>
      <c r="CC314" s="3">
        <v>213018.39</v>
      </c>
      <c r="CD314" s="5">
        <v>0</v>
      </c>
      <c r="CF314" s="6">
        <v>46082</v>
      </c>
      <c r="CH314">
        <v>0</v>
      </c>
      <c r="CI314">
        <v>0</v>
      </c>
      <c r="CJ314">
        <v>0</v>
      </c>
      <c r="CK314">
        <v>0</v>
      </c>
      <c r="CL314">
        <v>0</v>
      </c>
      <c r="CM314">
        <v>0</v>
      </c>
      <c r="CN314">
        <v>0</v>
      </c>
      <c r="CO314">
        <v>0</v>
      </c>
      <c r="CP314">
        <v>0</v>
      </c>
      <c r="CQ314">
        <v>0</v>
      </c>
      <c r="CR314">
        <v>0</v>
      </c>
      <c r="CS314" t="s">
        <v>2202</v>
      </c>
      <c r="CT314" t="s">
        <v>214</v>
      </c>
      <c r="CU314" t="s">
        <v>562</v>
      </c>
      <c r="CW314">
        <v>-55.191800000000001</v>
      </c>
      <c r="CZ314" s="1">
        <v>46095</v>
      </c>
      <c r="DA314" t="s">
        <v>172</v>
      </c>
      <c r="DB314" t="s">
        <v>172</v>
      </c>
      <c r="DC314" t="s">
        <v>172</v>
      </c>
      <c r="DD314" t="s">
        <v>172</v>
      </c>
      <c r="DG314" s="1">
        <v>46095</v>
      </c>
      <c r="DH314">
        <v>0</v>
      </c>
      <c r="DI314">
        <v>0</v>
      </c>
      <c r="DK314" t="s">
        <v>179</v>
      </c>
      <c r="DL314" t="s">
        <v>224</v>
      </c>
      <c r="DM314" t="s">
        <v>172</v>
      </c>
      <c r="DN314" t="s">
        <v>201</v>
      </c>
      <c r="DV314" s="3">
        <v>213018.39</v>
      </c>
      <c r="DW314">
        <v>0</v>
      </c>
      <c r="DX314" s="3">
        <v>213018.39</v>
      </c>
      <c r="DY314">
        <v>0</v>
      </c>
      <c r="EN314" t="s">
        <v>156</v>
      </c>
      <c r="EP314" s="1">
        <v>46099</v>
      </c>
      <c r="EU314" s="1">
        <v>46101</v>
      </c>
      <c r="EW314" s="1">
        <v>46095</v>
      </c>
    </row>
    <row r="315" spans="1:153" ht="87" x14ac:dyDescent="0.35">
      <c r="A315" t="str">
        <f>HYPERLINK("https://7lm.cvcrm.com.br/gestor/comercial/reservas/6805/administrar","6805")</f>
        <v>6805</v>
      </c>
      <c r="B315" t="s">
        <v>156</v>
      </c>
      <c r="C315" s="1">
        <v>46095</v>
      </c>
      <c r="D315" s="2">
        <v>0.75837962962962968</v>
      </c>
      <c r="E315" t="s">
        <v>294</v>
      </c>
      <c r="F315" t="s">
        <v>226</v>
      </c>
      <c r="G315" t="s">
        <v>159</v>
      </c>
      <c r="H315" t="s">
        <v>722</v>
      </c>
      <c r="I315" t="s">
        <v>2203</v>
      </c>
      <c r="J315">
        <v>1</v>
      </c>
      <c r="L315">
        <v>10031</v>
      </c>
      <c r="M315" t="s">
        <v>2204</v>
      </c>
      <c r="N315" s="1">
        <v>46150</v>
      </c>
      <c r="O315" s="2">
        <v>0.66170138888888885</v>
      </c>
      <c r="R315" t="str">
        <f>HYPERLINK("https://7lm.cvcrm.com.br/gestor/relatorios/associado/html?q[1|r.idreserva]=6805","VICTOR MARINHO LIMA")</f>
        <v>VICTOR MARINHO LIMA</v>
      </c>
      <c r="S315">
        <v>5774175170</v>
      </c>
      <c r="T315">
        <v>5561986334748</v>
      </c>
      <c r="U315">
        <v>5561986334748</v>
      </c>
      <c r="V315" t="s">
        <v>2205</v>
      </c>
      <c r="W315" t="s">
        <v>163</v>
      </c>
      <c r="X315" t="s">
        <v>1147</v>
      </c>
      <c r="Y315" t="s">
        <v>165</v>
      </c>
      <c r="Z315" t="s">
        <v>257</v>
      </c>
      <c r="AA315" t="s">
        <v>258</v>
      </c>
      <c r="AB315" t="s">
        <v>2206</v>
      </c>
      <c r="AC315" t="s">
        <v>177</v>
      </c>
      <c r="AF315" t="s">
        <v>170</v>
      </c>
      <c r="AG315" t="s">
        <v>552</v>
      </c>
      <c r="AH315" s="3">
        <v>351189.74</v>
      </c>
      <c r="AI315" s="3">
        <v>351189.74</v>
      </c>
      <c r="AJ315" s="1">
        <v>46112</v>
      </c>
      <c r="AN315" t="s">
        <v>172</v>
      </c>
      <c r="AR315" s="7" t="s">
        <v>2207</v>
      </c>
      <c r="AT315" t="s">
        <v>196</v>
      </c>
      <c r="AU315" t="s">
        <v>197</v>
      </c>
      <c r="AW315">
        <v>0</v>
      </c>
      <c r="AX315" s="1">
        <v>46101</v>
      </c>
      <c r="AY315" s="2">
        <v>0.64468749999999997</v>
      </c>
      <c r="AZ315">
        <v>194402</v>
      </c>
      <c r="BA315" s="1">
        <v>46090</v>
      </c>
      <c r="BC315" t="s">
        <v>0</v>
      </c>
      <c r="BD315" s="1">
        <v>46095</v>
      </c>
      <c r="BE315" t="s">
        <v>176</v>
      </c>
      <c r="BL315" s="4">
        <v>0</v>
      </c>
      <c r="BM315" s="1">
        <v>46698</v>
      </c>
      <c r="BN315" s="1">
        <v>46101</v>
      </c>
      <c r="BO315">
        <v>0</v>
      </c>
      <c r="BP315">
        <v>29400</v>
      </c>
      <c r="BQ315" t="s">
        <v>156</v>
      </c>
      <c r="BR315" s="3">
        <v>294253.64</v>
      </c>
      <c r="BS315">
        <v>0</v>
      </c>
      <c r="BT315" s="3">
        <v>36136</v>
      </c>
      <c r="BU315" s="3">
        <v>330389.64</v>
      </c>
      <c r="BV315" s="3">
        <v>351189.74</v>
      </c>
      <c r="BX315">
        <v>0</v>
      </c>
      <c r="BZ315">
        <v>0</v>
      </c>
      <c r="CA315">
        <v>0</v>
      </c>
      <c r="CB315">
        <v>0</v>
      </c>
      <c r="CC315" s="3">
        <v>351189.74</v>
      </c>
      <c r="CD315" s="5">
        <v>0</v>
      </c>
      <c r="CF315" s="6">
        <v>46082</v>
      </c>
      <c r="CH315">
        <v>0</v>
      </c>
      <c r="CI315">
        <v>0</v>
      </c>
      <c r="CJ315">
        <v>0</v>
      </c>
      <c r="CK315">
        <v>0</v>
      </c>
      <c r="CL315">
        <v>0</v>
      </c>
      <c r="CM315">
        <v>0</v>
      </c>
      <c r="CN315">
        <v>0</v>
      </c>
      <c r="CO315">
        <v>0</v>
      </c>
      <c r="CP315">
        <v>0</v>
      </c>
      <c r="CQ315">
        <v>0</v>
      </c>
      <c r="CR315">
        <v>0</v>
      </c>
      <c r="CS315" t="s">
        <v>360</v>
      </c>
      <c r="CT315" t="s">
        <v>238</v>
      </c>
      <c r="CU315" t="s">
        <v>2203</v>
      </c>
      <c r="CW315">
        <v>-58.969900000000003</v>
      </c>
      <c r="CX315" t="s">
        <v>170</v>
      </c>
      <c r="CZ315" s="1">
        <v>46095</v>
      </c>
      <c r="DA315" t="s">
        <v>172</v>
      </c>
      <c r="DB315" t="s">
        <v>172</v>
      </c>
      <c r="DC315" t="s">
        <v>172</v>
      </c>
      <c r="DD315" t="s">
        <v>172</v>
      </c>
      <c r="DG315" s="1">
        <v>46095</v>
      </c>
      <c r="DH315">
        <v>0</v>
      </c>
      <c r="DI315">
        <v>0</v>
      </c>
      <c r="DL315" t="s">
        <v>239</v>
      </c>
      <c r="DM315" t="s">
        <v>172</v>
      </c>
      <c r="DU315" t="s">
        <v>240</v>
      </c>
      <c r="DV315" s="3">
        <v>508810.26</v>
      </c>
      <c r="DW315">
        <v>-59.16</v>
      </c>
      <c r="DX315" s="3">
        <v>508810.26</v>
      </c>
      <c r="DY315">
        <v>-59.16</v>
      </c>
    </row>
    <row r="316" spans="1:153" ht="246.5" x14ac:dyDescent="0.35">
      <c r="A316" t="str">
        <f>HYPERLINK("https://7lm.cvcrm.com.br/gestor/comercial/reservas/6804/administrar","6804")</f>
        <v>6804</v>
      </c>
      <c r="B316" t="s">
        <v>156</v>
      </c>
      <c r="C316" s="1">
        <v>46095</v>
      </c>
      <c r="D316" s="2">
        <v>0.60432870370370373</v>
      </c>
      <c r="E316" t="s">
        <v>294</v>
      </c>
      <c r="F316" t="s">
        <v>202</v>
      </c>
      <c r="G316" t="s">
        <v>203</v>
      </c>
      <c r="H316" t="s">
        <v>306</v>
      </c>
      <c r="I316" t="s">
        <v>1165</v>
      </c>
      <c r="J316">
        <v>1</v>
      </c>
      <c r="L316">
        <v>20031</v>
      </c>
      <c r="M316" t="s">
        <v>2208</v>
      </c>
      <c r="N316" s="1">
        <v>46098</v>
      </c>
      <c r="O316" s="2">
        <v>0.40541666666666665</v>
      </c>
      <c r="R316" t="str">
        <f>HYPERLINK("https://7lm.cvcrm.com.br/gestor/relatorios/associado/html?q[1|r.idreserva]=6804","TATIANE DA FONSECA E SILVA")</f>
        <v>TATIANE DA FONSECA E SILVA</v>
      </c>
      <c r="S316">
        <v>1466796103</v>
      </c>
      <c r="T316">
        <v>5561984809545</v>
      </c>
      <c r="V316" t="s">
        <v>2209</v>
      </c>
      <c r="W316" t="s">
        <v>187</v>
      </c>
      <c r="X316" t="s">
        <v>299</v>
      </c>
      <c r="Y316" t="s">
        <v>165</v>
      </c>
      <c r="Z316" t="s">
        <v>238</v>
      </c>
      <c r="AA316" t="s">
        <v>1518</v>
      </c>
      <c r="AB316" t="s">
        <v>2210</v>
      </c>
      <c r="AC316" t="s">
        <v>2149</v>
      </c>
      <c r="AF316" t="s">
        <v>399</v>
      </c>
      <c r="AG316" t="s">
        <v>195</v>
      </c>
      <c r="AH316" s="3">
        <v>239999.6</v>
      </c>
      <c r="AI316" s="3">
        <v>239999.6</v>
      </c>
      <c r="AJ316" s="1">
        <v>46157</v>
      </c>
      <c r="AN316" t="s">
        <v>172</v>
      </c>
      <c r="AR316" s="7" t="s">
        <v>353</v>
      </c>
      <c r="AT316" t="s">
        <v>400</v>
      </c>
      <c r="AU316" t="s">
        <v>276</v>
      </c>
      <c r="AW316">
        <v>0</v>
      </c>
      <c r="AX316" s="1">
        <v>46105</v>
      </c>
      <c r="AY316" s="2">
        <v>0.44434027777777779</v>
      </c>
      <c r="AZ316">
        <v>193502</v>
      </c>
      <c r="BA316" s="1">
        <v>46085</v>
      </c>
      <c r="BC316" t="s">
        <v>0</v>
      </c>
      <c r="BD316" s="1">
        <v>46095</v>
      </c>
      <c r="BE316" t="s">
        <v>198</v>
      </c>
      <c r="BL316" s="4">
        <v>0</v>
      </c>
      <c r="BM316" s="1">
        <v>46808</v>
      </c>
      <c r="BN316" s="1">
        <v>46105</v>
      </c>
      <c r="BO316">
        <v>0</v>
      </c>
      <c r="BP316">
        <v>29418</v>
      </c>
      <c r="BQ316" t="s">
        <v>156</v>
      </c>
      <c r="BR316" s="3">
        <v>183734.16</v>
      </c>
      <c r="BS316" s="3">
        <v>2003</v>
      </c>
      <c r="BT316">
        <v>0</v>
      </c>
      <c r="BU316" s="3">
        <v>185737.16</v>
      </c>
      <c r="BV316" s="3">
        <v>239999.6</v>
      </c>
      <c r="BX316">
        <v>0</v>
      </c>
      <c r="BZ316">
        <v>0</v>
      </c>
      <c r="CA316">
        <v>0</v>
      </c>
      <c r="CB316">
        <v>0</v>
      </c>
      <c r="CC316" s="3">
        <v>239999.6</v>
      </c>
      <c r="CD316" s="5">
        <v>0</v>
      </c>
      <c r="CF316" s="6">
        <v>46082</v>
      </c>
      <c r="CH316">
        <v>0</v>
      </c>
      <c r="CI316">
        <v>0</v>
      </c>
      <c r="CJ316">
        <v>0</v>
      </c>
      <c r="CK316">
        <v>0</v>
      </c>
      <c r="CL316">
        <v>0</v>
      </c>
      <c r="CM316">
        <v>0</v>
      </c>
      <c r="CN316">
        <v>0</v>
      </c>
      <c r="CO316">
        <v>0</v>
      </c>
      <c r="CP316">
        <v>0</v>
      </c>
      <c r="CQ316">
        <v>0</v>
      </c>
      <c r="CR316">
        <v>0</v>
      </c>
      <c r="CS316" t="s">
        <v>428</v>
      </c>
      <c r="CT316" t="s">
        <v>214</v>
      </c>
      <c r="CU316" t="s">
        <v>1165</v>
      </c>
      <c r="CW316">
        <v>-51.554400000000001</v>
      </c>
      <c r="CZ316" s="1">
        <v>46095</v>
      </c>
      <c r="DA316" t="s">
        <v>172</v>
      </c>
      <c r="DB316" t="s">
        <v>172</v>
      </c>
      <c r="DC316" t="s">
        <v>172</v>
      </c>
      <c r="DD316" t="s">
        <v>172</v>
      </c>
      <c r="DG316" s="1">
        <v>46095</v>
      </c>
      <c r="DH316">
        <v>0</v>
      </c>
      <c r="DI316">
        <v>0</v>
      </c>
      <c r="DL316" t="s">
        <v>224</v>
      </c>
      <c r="DM316" t="s">
        <v>172</v>
      </c>
      <c r="DN316" t="s">
        <v>511</v>
      </c>
      <c r="DV316" s="3">
        <v>239999.6</v>
      </c>
      <c r="DW316">
        <v>0</v>
      </c>
      <c r="DX316" s="3">
        <v>239999.6</v>
      </c>
      <c r="DY316">
        <v>0</v>
      </c>
      <c r="EF316" s="1">
        <v>46098</v>
      </c>
      <c r="EG316" s="1">
        <v>46098</v>
      </c>
      <c r="EK316" s="1">
        <v>46098</v>
      </c>
    </row>
    <row r="317" spans="1:153" ht="290" x14ac:dyDescent="0.35">
      <c r="A317" t="str">
        <f>HYPERLINK("https://7lm.cvcrm.com.br/gestor/comercial/reservas/6803/administrar","6803")</f>
        <v>6803</v>
      </c>
      <c r="B317" t="s">
        <v>156</v>
      </c>
      <c r="C317" s="1">
        <v>46095</v>
      </c>
      <c r="D317" s="2">
        <v>0.58888888888888891</v>
      </c>
      <c r="E317" t="s">
        <v>294</v>
      </c>
      <c r="F317" t="s">
        <v>202</v>
      </c>
      <c r="G317" t="s">
        <v>203</v>
      </c>
      <c r="H317" t="s">
        <v>306</v>
      </c>
      <c r="I317" t="s">
        <v>2211</v>
      </c>
      <c r="J317">
        <v>1</v>
      </c>
      <c r="L317">
        <v>20031</v>
      </c>
      <c r="M317" t="s">
        <v>2212</v>
      </c>
      <c r="N317" s="1">
        <v>46101</v>
      </c>
      <c r="O317" s="2">
        <v>0.4097337962962963</v>
      </c>
      <c r="R317" t="str">
        <f>HYPERLINK("https://7lm.cvcrm.com.br/gestor/relatorios/associado/html?q[1|r.idreserva]=6803","ALEXANDRE BISPO ROSA DOS SANTOS")</f>
        <v>ALEXANDRE BISPO ROSA DOS SANTOS</v>
      </c>
      <c r="S317">
        <v>86448860533</v>
      </c>
      <c r="T317">
        <v>556186597841</v>
      </c>
      <c r="V317" t="s">
        <v>2213</v>
      </c>
      <c r="W317" t="s">
        <v>163</v>
      </c>
      <c r="Y317" t="s">
        <v>165</v>
      </c>
      <c r="Z317" t="s">
        <v>575</v>
      </c>
      <c r="AA317" t="s">
        <v>2214</v>
      </c>
      <c r="AB317" t="s">
        <v>2215</v>
      </c>
      <c r="AC317" t="s">
        <v>2149</v>
      </c>
      <c r="AF317" t="s">
        <v>399</v>
      </c>
      <c r="AG317" t="s">
        <v>195</v>
      </c>
      <c r="AH317" s="3">
        <v>229998.06</v>
      </c>
      <c r="AI317" s="3">
        <v>229998.06</v>
      </c>
      <c r="AJ317" s="1">
        <v>46095</v>
      </c>
      <c r="AN317" t="s">
        <v>172</v>
      </c>
      <c r="AR317" s="7" t="s">
        <v>2216</v>
      </c>
      <c r="AT317" t="s">
        <v>196</v>
      </c>
      <c r="AU317" t="s">
        <v>316</v>
      </c>
      <c r="AW317">
        <v>0</v>
      </c>
      <c r="AX317" s="1">
        <v>46105</v>
      </c>
      <c r="AY317" s="2">
        <v>0.45748842592592592</v>
      </c>
      <c r="AZ317">
        <v>160474</v>
      </c>
      <c r="BA317" s="1">
        <v>45819</v>
      </c>
      <c r="BC317" t="s">
        <v>0</v>
      </c>
      <c r="BD317" s="1">
        <v>46095</v>
      </c>
      <c r="BE317" t="s">
        <v>198</v>
      </c>
      <c r="BL317" s="4">
        <v>0</v>
      </c>
      <c r="BM317" s="1">
        <v>46808</v>
      </c>
      <c r="BN317" s="1">
        <v>46105</v>
      </c>
      <c r="BO317">
        <v>0</v>
      </c>
      <c r="BP317">
        <v>29630</v>
      </c>
      <c r="BQ317" t="s">
        <v>156</v>
      </c>
      <c r="BR317" s="3">
        <v>106788.41</v>
      </c>
      <c r="BS317" s="3">
        <v>55000</v>
      </c>
      <c r="BT317">
        <v>0</v>
      </c>
      <c r="BU317" s="3">
        <v>161788.41</v>
      </c>
      <c r="BV317" s="3">
        <v>229998.06</v>
      </c>
      <c r="BX317">
        <v>0</v>
      </c>
      <c r="BZ317">
        <v>0</v>
      </c>
      <c r="CA317">
        <v>0</v>
      </c>
      <c r="CB317">
        <v>0</v>
      </c>
      <c r="CC317" s="3">
        <v>229998.06</v>
      </c>
      <c r="CD317" s="5">
        <v>0</v>
      </c>
      <c r="CF317" s="6">
        <v>46082</v>
      </c>
      <c r="CH317">
        <v>0</v>
      </c>
      <c r="CI317">
        <v>0</v>
      </c>
      <c r="CJ317">
        <v>0</v>
      </c>
      <c r="CK317">
        <v>0</v>
      </c>
      <c r="CL317">
        <v>0</v>
      </c>
      <c r="CM317">
        <v>0</v>
      </c>
      <c r="CN317">
        <v>0</v>
      </c>
      <c r="CO317">
        <v>0</v>
      </c>
      <c r="CP317">
        <v>0</v>
      </c>
      <c r="CQ317">
        <v>0</v>
      </c>
      <c r="CR317">
        <v>0</v>
      </c>
      <c r="CS317" t="s">
        <v>360</v>
      </c>
      <c r="CT317" t="s">
        <v>214</v>
      </c>
      <c r="CU317" t="s">
        <v>2211</v>
      </c>
      <c r="CW317">
        <v>-51.631399999999999</v>
      </c>
      <c r="CZ317" s="1">
        <v>46095</v>
      </c>
      <c r="DA317" t="s">
        <v>172</v>
      </c>
      <c r="DB317" t="s">
        <v>172</v>
      </c>
      <c r="DC317" t="s">
        <v>172</v>
      </c>
      <c r="DD317" t="s">
        <v>172</v>
      </c>
      <c r="DG317" s="1">
        <v>46095</v>
      </c>
      <c r="DH317">
        <v>0</v>
      </c>
      <c r="DI317">
        <v>0</v>
      </c>
      <c r="DL317" t="s">
        <v>224</v>
      </c>
      <c r="DM317" t="s">
        <v>172</v>
      </c>
      <c r="DN317" t="s">
        <v>225</v>
      </c>
      <c r="DV317" s="3">
        <v>229998.06</v>
      </c>
      <c r="DW317">
        <v>0</v>
      </c>
      <c r="DX317" s="3">
        <v>229998.06</v>
      </c>
      <c r="DY317">
        <v>0</v>
      </c>
      <c r="EF317" s="1">
        <v>46101</v>
      </c>
      <c r="EG317" s="1">
        <v>46099</v>
      </c>
      <c r="EK317" s="1">
        <v>46101</v>
      </c>
      <c r="EP317" s="1">
        <v>46098</v>
      </c>
    </row>
    <row r="318" spans="1:153" x14ac:dyDescent="0.35">
      <c r="A318" t="str">
        <f>HYPERLINK("https://7lm.cvcrm.com.br/gestor/comercial/reservas/6802/administrar","6802")</f>
        <v>6802</v>
      </c>
      <c r="B318" t="s">
        <v>156</v>
      </c>
      <c r="C318" s="1">
        <v>46095</v>
      </c>
      <c r="D318" s="2">
        <v>0.52469907407407412</v>
      </c>
      <c r="E318" t="s">
        <v>294</v>
      </c>
      <c r="F318" t="s">
        <v>458</v>
      </c>
      <c r="G318" t="s">
        <v>203</v>
      </c>
      <c r="H318" t="s">
        <v>277</v>
      </c>
      <c r="I318" t="s">
        <v>382</v>
      </c>
      <c r="J318">
        <v>1</v>
      </c>
      <c r="L318">
        <v>20001</v>
      </c>
      <c r="M318" t="s">
        <v>2217</v>
      </c>
      <c r="N318" s="1">
        <v>46101</v>
      </c>
      <c r="O318" s="2">
        <v>0.50964120370370369</v>
      </c>
      <c r="R318" t="str">
        <f>HYPERLINK("https://7lm.cvcrm.com.br/gestor/relatorios/associado/html?q[1|r.idreserva]=6802","ANA LIDIA DA CONCEIÇÃO OLIVEIRA")</f>
        <v>ANA LIDIA DA CONCEIÇÃO OLIVEIRA</v>
      </c>
      <c r="S318">
        <v>88750787268</v>
      </c>
      <c r="T318">
        <v>5561983777166</v>
      </c>
      <c r="V318" t="s">
        <v>2218</v>
      </c>
      <c r="W318" t="s">
        <v>187</v>
      </c>
      <c r="X318" t="s">
        <v>2219</v>
      </c>
      <c r="Y318" t="s">
        <v>165</v>
      </c>
      <c r="Z318" t="s">
        <v>385</v>
      </c>
      <c r="AA318" t="s">
        <v>386</v>
      </c>
      <c r="AB318" t="s">
        <v>2220</v>
      </c>
      <c r="AC318" t="s">
        <v>314</v>
      </c>
      <c r="AF318" t="s">
        <v>634</v>
      </c>
      <c r="AG318" t="s">
        <v>195</v>
      </c>
      <c r="AH318" s="3">
        <v>226955.12</v>
      </c>
      <c r="AI318" s="3">
        <v>226955.12</v>
      </c>
      <c r="AJ318" s="1">
        <v>46157</v>
      </c>
      <c r="AN318" t="s">
        <v>172</v>
      </c>
      <c r="AR318" t="s">
        <v>1715</v>
      </c>
      <c r="AT318" t="s">
        <v>173</v>
      </c>
      <c r="AU318" t="s">
        <v>292</v>
      </c>
      <c r="AW318">
        <v>0</v>
      </c>
      <c r="AX318" s="1">
        <v>46106</v>
      </c>
      <c r="AY318" s="2">
        <v>0.44322916666666667</v>
      </c>
      <c r="AZ318">
        <v>114086</v>
      </c>
      <c r="BA318" s="1">
        <v>45392</v>
      </c>
      <c r="BC318" t="s">
        <v>0</v>
      </c>
      <c r="BD318" s="1">
        <v>46095</v>
      </c>
      <c r="BE318" t="s">
        <v>317</v>
      </c>
      <c r="BL318" s="4">
        <v>0</v>
      </c>
      <c r="BM318" s="1">
        <v>46572</v>
      </c>
      <c r="BN318" s="1">
        <v>46106</v>
      </c>
      <c r="BO318">
        <v>0</v>
      </c>
      <c r="BP318">
        <v>28001</v>
      </c>
      <c r="BQ318" t="s">
        <v>156</v>
      </c>
      <c r="BR318" s="3">
        <v>114463.64</v>
      </c>
      <c r="BS318" s="3">
        <v>45528</v>
      </c>
      <c r="BT318">
        <v>0</v>
      </c>
      <c r="BU318" s="3">
        <v>159991.64000000001</v>
      </c>
      <c r="BV318" s="3">
        <v>226955.12</v>
      </c>
      <c r="BX318">
        <v>0</v>
      </c>
      <c r="BZ318">
        <v>0</v>
      </c>
      <c r="CA318">
        <v>0</v>
      </c>
      <c r="CB318">
        <v>0</v>
      </c>
      <c r="CC318" s="3">
        <v>226955.12</v>
      </c>
      <c r="CD318" s="5">
        <v>0</v>
      </c>
      <c r="CE318" t="s">
        <v>467</v>
      </c>
      <c r="CF318" s="6">
        <v>46082</v>
      </c>
      <c r="CH318">
        <v>0</v>
      </c>
      <c r="CI318">
        <v>0</v>
      </c>
      <c r="CJ318">
        <v>0</v>
      </c>
      <c r="CK318">
        <v>0</v>
      </c>
      <c r="CL318">
        <v>0</v>
      </c>
      <c r="CM318">
        <v>0</v>
      </c>
      <c r="CN318">
        <v>0</v>
      </c>
      <c r="CO318">
        <v>0</v>
      </c>
      <c r="CP318">
        <v>0</v>
      </c>
      <c r="CQ318">
        <v>0</v>
      </c>
      <c r="CR318">
        <v>0</v>
      </c>
      <c r="CS318" t="s">
        <v>415</v>
      </c>
      <c r="CT318" t="s">
        <v>214</v>
      </c>
      <c r="CU318" t="s">
        <v>382</v>
      </c>
      <c r="CW318">
        <v>-51.997599999999998</v>
      </c>
      <c r="CZ318" s="1">
        <v>46095</v>
      </c>
      <c r="DA318" t="s">
        <v>172</v>
      </c>
      <c r="DB318" t="s">
        <v>172</v>
      </c>
      <c r="DC318" t="s">
        <v>172</v>
      </c>
      <c r="DD318" t="s">
        <v>172</v>
      </c>
      <c r="DG318" s="1">
        <v>46095</v>
      </c>
      <c r="DH318">
        <v>0</v>
      </c>
      <c r="DI318">
        <v>0</v>
      </c>
      <c r="DL318" t="s">
        <v>200</v>
      </c>
      <c r="DM318" t="s">
        <v>172</v>
      </c>
      <c r="DN318" t="s">
        <v>201</v>
      </c>
      <c r="DV318" s="3">
        <v>226955.12</v>
      </c>
      <c r="DW318">
        <v>0</v>
      </c>
      <c r="DX318" s="3">
        <v>226955.12</v>
      </c>
      <c r="DY318">
        <v>0</v>
      </c>
      <c r="EF318" s="1">
        <v>46097</v>
      </c>
      <c r="EG318" s="1">
        <v>46097</v>
      </c>
      <c r="EK318" s="1">
        <v>46097</v>
      </c>
      <c r="EL318" s="1">
        <v>46097</v>
      </c>
      <c r="EM318" s="1">
        <v>46104</v>
      </c>
      <c r="EN318" t="s">
        <v>156</v>
      </c>
      <c r="EP318" s="1">
        <v>46101</v>
      </c>
      <c r="ET318" t="s">
        <v>2221</v>
      </c>
      <c r="EU318" s="1">
        <v>46097</v>
      </c>
      <c r="EW318" s="1">
        <v>46095</v>
      </c>
    </row>
    <row r="319" spans="1:153" ht="246.5" x14ac:dyDescent="0.35">
      <c r="A319" t="str">
        <f>HYPERLINK("https://7lm.cvcrm.com.br/gestor/comercial/reservas/6801/administrar","6801")</f>
        <v>6801</v>
      </c>
      <c r="B319" t="s">
        <v>156</v>
      </c>
      <c r="C319" s="1">
        <v>46095</v>
      </c>
      <c r="D319" s="2">
        <v>0.47606481481481483</v>
      </c>
      <c r="E319" t="s">
        <v>294</v>
      </c>
      <c r="F319" t="s">
        <v>458</v>
      </c>
      <c r="G319" t="s">
        <v>203</v>
      </c>
      <c r="H319" t="s">
        <v>204</v>
      </c>
      <c r="I319" t="s">
        <v>2222</v>
      </c>
      <c r="J319">
        <v>1</v>
      </c>
      <c r="L319">
        <v>20001</v>
      </c>
      <c r="M319" t="s">
        <v>2223</v>
      </c>
      <c r="N319" s="1">
        <v>46095</v>
      </c>
      <c r="O319" s="2">
        <v>0.50570601851851849</v>
      </c>
      <c r="R319" t="str">
        <f>HYPERLINK("https://7lm.cvcrm.com.br/gestor/relatorios/associado/html?q[1|r.idreserva]=6801","WISLAYNE SANTOS PEREIRA DIAS")</f>
        <v>WISLAYNE SANTOS PEREIRA DIAS</v>
      </c>
      <c r="S319">
        <v>7721482100</v>
      </c>
      <c r="T319">
        <v>556196383107</v>
      </c>
      <c r="V319" t="s">
        <v>2224</v>
      </c>
      <c r="W319" t="s">
        <v>187</v>
      </c>
      <c r="Y319" t="s">
        <v>165</v>
      </c>
      <c r="Z319" t="s">
        <v>1670</v>
      </c>
      <c r="AA319" t="s">
        <v>1670</v>
      </c>
      <c r="AB319" t="s">
        <v>2225</v>
      </c>
      <c r="AC319" t="s">
        <v>388</v>
      </c>
      <c r="AF319" t="s">
        <v>389</v>
      </c>
      <c r="AG319" t="s">
        <v>195</v>
      </c>
      <c r="AH319" s="3">
        <v>225146.68</v>
      </c>
      <c r="AI319" s="3">
        <v>225146.68</v>
      </c>
      <c r="AJ319" s="1">
        <v>46157</v>
      </c>
      <c r="AN319" t="s">
        <v>172</v>
      </c>
      <c r="AR319" s="7" t="s">
        <v>353</v>
      </c>
      <c r="AT319" t="s">
        <v>196</v>
      </c>
      <c r="AU319" t="s">
        <v>316</v>
      </c>
      <c r="AW319">
        <v>0</v>
      </c>
      <c r="AX319" s="1">
        <v>46105</v>
      </c>
      <c r="AY319" s="2">
        <v>0.47537037037037039</v>
      </c>
      <c r="AZ319">
        <v>84067</v>
      </c>
      <c r="BA319" s="1">
        <v>44985</v>
      </c>
      <c r="BB319" s="1">
        <v>46091</v>
      </c>
      <c r="BC319" t="s">
        <v>0</v>
      </c>
      <c r="BD319" s="1">
        <v>46095</v>
      </c>
      <c r="BE319" t="s">
        <v>317</v>
      </c>
      <c r="BL319" s="4">
        <v>0</v>
      </c>
      <c r="BM319" s="1">
        <v>46572</v>
      </c>
      <c r="BN319" s="1">
        <v>46105</v>
      </c>
      <c r="BO319">
        <v>0</v>
      </c>
      <c r="BP319">
        <v>29482</v>
      </c>
      <c r="BQ319" t="s">
        <v>156</v>
      </c>
      <c r="BR319" s="3">
        <v>117993.85</v>
      </c>
      <c r="BS319" s="3">
        <v>46236</v>
      </c>
      <c r="BT319">
        <v>0</v>
      </c>
      <c r="BU319" s="3">
        <v>164229.85</v>
      </c>
      <c r="BV319" s="3">
        <v>225146.68</v>
      </c>
      <c r="BX319">
        <v>0</v>
      </c>
      <c r="BZ319">
        <v>0</v>
      </c>
      <c r="CA319">
        <v>0</v>
      </c>
      <c r="CB319">
        <v>0</v>
      </c>
      <c r="CC319" s="3">
        <v>225146.68</v>
      </c>
      <c r="CD319" s="5">
        <v>0</v>
      </c>
      <c r="CE319" t="s">
        <v>467</v>
      </c>
      <c r="CF319" s="6">
        <v>46082</v>
      </c>
      <c r="CH319">
        <v>0</v>
      </c>
      <c r="CI319">
        <v>0</v>
      </c>
      <c r="CJ319">
        <v>0</v>
      </c>
      <c r="CK319">
        <v>0</v>
      </c>
      <c r="CL319">
        <v>0</v>
      </c>
      <c r="CM319">
        <v>0</v>
      </c>
      <c r="CN319">
        <v>0</v>
      </c>
      <c r="CO319">
        <v>0</v>
      </c>
      <c r="CP319">
        <v>0</v>
      </c>
      <c r="CQ319">
        <v>0</v>
      </c>
      <c r="CR319">
        <v>0</v>
      </c>
      <c r="CS319" t="s">
        <v>428</v>
      </c>
      <c r="CT319" t="s">
        <v>214</v>
      </c>
      <c r="CU319" t="s">
        <v>2222</v>
      </c>
      <c r="CW319">
        <v>-52.380099999999999</v>
      </c>
      <c r="CZ319" s="1">
        <v>46095</v>
      </c>
      <c r="DA319" t="s">
        <v>172</v>
      </c>
      <c r="DB319" t="s">
        <v>172</v>
      </c>
      <c r="DC319" t="s">
        <v>172</v>
      </c>
      <c r="DD319" t="s">
        <v>172</v>
      </c>
      <c r="DG319" s="1">
        <v>46095</v>
      </c>
      <c r="DH319">
        <v>0</v>
      </c>
      <c r="DI319">
        <v>0</v>
      </c>
      <c r="DL319" t="s">
        <v>200</v>
      </c>
      <c r="DM319" t="s">
        <v>172</v>
      </c>
      <c r="DN319" t="s">
        <v>201</v>
      </c>
      <c r="DV319" s="3">
        <v>225146.68</v>
      </c>
      <c r="DW319">
        <v>0</v>
      </c>
      <c r="DX319" s="3">
        <v>225146.68</v>
      </c>
      <c r="DY319">
        <v>0</v>
      </c>
      <c r="EF319" s="1">
        <v>46099</v>
      </c>
      <c r="EG319" s="1">
        <v>46099</v>
      </c>
      <c r="EK319" s="1">
        <v>46100</v>
      </c>
      <c r="EP319" s="1">
        <v>46098</v>
      </c>
    </row>
    <row r="320" spans="1:153" ht="246.5" x14ac:dyDescent="0.35">
      <c r="A320" t="str">
        <f>HYPERLINK("https://7lm.cvcrm.com.br/gestor/comercial/reservas/6800/administrar","6800")</f>
        <v>6800</v>
      </c>
      <c r="B320" t="s">
        <v>156</v>
      </c>
      <c r="C320" s="1">
        <v>46095</v>
      </c>
      <c r="D320" s="2">
        <v>0.43657407407407406</v>
      </c>
      <c r="E320" t="s">
        <v>294</v>
      </c>
      <c r="F320" t="s">
        <v>1164</v>
      </c>
      <c r="G320" t="s">
        <v>203</v>
      </c>
      <c r="H320" t="s">
        <v>319</v>
      </c>
      <c r="I320" t="s">
        <v>1039</v>
      </c>
      <c r="J320">
        <v>1</v>
      </c>
      <c r="L320">
        <v>30001</v>
      </c>
      <c r="M320" t="s">
        <v>2226</v>
      </c>
      <c r="N320" s="1">
        <v>46126</v>
      </c>
      <c r="O320" s="2">
        <v>0.69519675925925928</v>
      </c>
      <c r="R320" t="str">
        <f>HYPERLINK("https://7lm.cvcrm.com.br/gestor/relatorios/associado/html?q[1|r.idreserva]=6800","ANDRE LUIZ FERNANDES VIEIRA")</f>
        <v>ANDRE LUIZ FERNANDES VIEIRA</v>
      </c>
      <c r="S320">
        <v>6941157119</v>
      </c>
      <c r="T320">
        <v>5561998801844</v>
      </c>
      <c r="V320" t="s">
        <v>2227</v>
      </c>
      <c r="W320" t="s">
        <v>163</v>
      </c>
      <c r="X320" t="s">
        <v>376</v>
      </c>
      <c r="Y320" t="s">
        <v>189</v>
      </c>
      <c r="Z320" t="s">
        <v>190</v>
      </c>
      <c r="AA320" t="s">
        <v>2228</v>
      </c>
      <c r="AB320" t="s">
        <v>2229</v>
      </c>
      <c r="AC320" t="s">
        <v>2088</v>
      </c>
      <c r="AD320" t="s">
        <v>2088</v>
      </c>
      <c r="AF320" t="s">
        <v>303</v>
      </c>
      <c r="AG320" t="s">
        <v>195</v>
      </c>
      <c r="AH320" s="3">
        <v>260000.43</v>
      </c>
      <c r="AI320" s="3">
        <v>260000.43</v>
      </c>
      <c r="AJ320" s="1">
        <v>46157</v>
      </c>
      <c r="AN320" t="s">
        <v>172</v>
      </c>
      <c r="AR320" s="7" t="s">
        <v>353</v>
      </c>
      <c r="AT320" t="s">
        <v>261</v>
      </c>
      <c r="AU320" t="s">
        <v>292</v>
      </c>
      <c r="AW320">
        <v>0</v>
      </c>
      <c r="AX320" s="1">
        <v>46106</v>
      </c>
      <c r="AY320" s="2">
        <v>0.41751157407407408</v>
      </c>
      <c r="AZ320">
        <v>118115</v>
      </c>
      <c r="BA320" s="1">
        <v>45433</v>
      </c>
      <c r="BB320" s="1">
        <v>46091</v>
      </c>
      <c r="BC320" t="s">
        <v>0</v>
      </c>
      <c r="BD320" s="1">
        <v>46095</v>
      </c>
      <c r="BE320" t="s">
        <v>276</v>
      </c>
      <c r="BL320" s="4">
        <v>0</v>
      </c>
      <c r="BM320" s="1">
        <v>46416</v>
      </c>
      <c r="BN320" s="1">
        <v>46106</v>
      </c>
      <c r="BO320">
        <v>0</v>
      </c>
      <c r="BP320">
        <v>29496</v>
      </c>
      <c r="BQ320" t="s">
        <v>156</v>
      </c>
      <c r="BR320" s="3">
        <v>152458.15</v>
      </c>
      <c r="BS320" s="3">
        <v>20222</v>
      </c>
      <c r="BT320">
        <v>0</v>
      </c>
      <c r="BU320" s="3">
        <v>172680.15</v>
      </c>
      <c r="BV320" s="3">
        <v>260000.43</v>
      </c>
      <c r="BX320">
        <v>0</v>
      </c>
      <c r="BZ320">
        <v>0</v>
      </c>
      <c r="CA320">
        <v>0</v>
      </c>
      <c r="CB320">
        <v>0</v>
      </c>
      <c r="CC320" s="3">
        <v>260000.43</v>
      </c>
      <c r="CD320" s="5">
        <v>0</v>
      </c>
      <c r="CE320" t="s">
        <v>1170</v>
      </c>
      <c r="CF320" s="6">
        <v>46082</v>
      </c>
      <c r="CH320">
        <v>0</v>
      </c>
      <c r="CI320">
        <v>0</v>
      </c>
      <c r="CJ320">
        <v>0</v>
      </c>
      <c r="CK320">
        <v>0</v>
      </c>
      <c r="CL320">
        <v>0</v>
      </c>
      <c r="CM320">
        <v>0</v>
      </c>
      <c r="CN320">
        <v>0</v>
      </c>
      <c r="CO320">
        <v>0</v>
      </c>
      <c r="CP320">
        <v>0</v>
      </c>
      <c r="CQ320">
        <v>0</v>
      </c>
      <c r="CR320">
        <v>0</v>
      </c>
      <c r="CS320" t="s">
        <v>649</v>
      </c>
      <c r="CT320" t="s">
        <v>190</v>
      </c>
      <c r="CU320" t="s">
        <v>1039</v>
      </c>
      <c r="CW320">
        <v>-39.386899999999997</v>
      </c>
      <c r="CX320" t="s">
        <v>194</v>
      </c>
      <c r="CZ320" s="1">
        <v>46095</v>
      </c>
      <c r="DA320" t="s">
        <v>172</v>
      </c>
      <c r="DB320" t="s">
        <v>172</v>
      </c>
      <c r="DC320" t="s">
        <v>172</v>
      </c>
      <c r="DD320" t="s">
        <v>172</v>
      </c>
      <c r="DG320" s="1">
        <v>46095</v>
      </c>
      <c r="DH320">
        <v>0</v>
      </c>
      <c r="DI320">
        <v>0</v>
      </c>
      <c r="DL320" t="s">
        <v>1171</v>
      </c>
      <c r="DM320" t="s">
        <v>172</v>
      </c>
      <c r="DN320" t="s">
        <v>225</v>
      </c>
      <c r="DV320" s="3">
        <v>260000.43</v>
      </c>
      <c r="DW320">
        <v>0</v>
      </c>
      <c r="DX320" s="3">
        <v>260000.43</v>
      </c>
      <c r="DY320">
        <v>0</v>
      </c>
      <c r="EF320" s="1">
        <v>46099</v>
      </c>
      <c r="EG320" s="1">
        <v>46098</v>
      </c>
      <c r="EK320" s="1">
        <v>46099</v>
      </c>
      <c r="EL320" s="1">
        <v>46099</v>
      </c>
      <c r="EN320" t="s">
        <v>156</v>
      </c>
      <c r="EP320" s="1">
        <v>46099</v>
      </c>
      <c r="EQ320" s="1">
        <v>46099</v>
      </c>
      <c r="ER320" s="1">
        <v>46099</v>
      </c>
      <c r="ES320" t="s">
        <v>2230</v>
      </c>
      <c r="EV320" s="1">
        <v>46099</v>
      </c>
      <c r="EW320" s="1">
        <v>46095</v>
      </c>
    </row>
    <row r="321" spans="1:153" ht="246.5" x14ac:dyDescent="0.35">
      <c r="A321" t="str">
        <f>HYPERLINK("https://7lm.cvcrm.com.br/gestor/comercial/reservas/6799/administrar","6799")</f>
        <v>6799</v>
      </c>
      <c r="B321" t="s">
        <v>156</v>
      </c>
      <c r="C321" s="1">
        <v>46094</v>
      </c>
      <c r="D321" s="2">
        <v>0.74333333333333329</v>
      </c>
      <c r="E321" t="s">
        <v>294</v>
      </c>
      <c r="F321" t="s">
        <v>182</v>
      </c>
      <c r="G321" t="s">
        <v>159</v>
      </c>
      <c r="H321" t="s">
        <v>538</v>
      </c>
      <c r="I321" t="s">
        <v>2231</v>
      </c>
      <c r="J321">
        <v>1</v>
      </c>
      <c r="L321">
        <v>30151</v>
      </c>
      <c r="M321" t="s">
        <v>2232</v>
      </c>
      <c r="N321" s="1">
        <v>46105</v>
      </c>
      <c r="O321" s="2">
        <v>0.46962962962962962</v>
      </c>
      <c r="R321" t="str">
        <f>HYPERLINK("https://7lm.cvcrm.com.br/gestor/relatorios/associado/html?q[1|r.idreserva]=6799","RENATA AUGUSTA DOS SANTOS")</f>
        <v>RENATA AUGUSTA DOS SANTOS</v>
      </c>
      <c r="S321">
        <v>97090280144</v>
      </c>
      <c r="T321">
        <v>5561996700016</v>
      </c>
      <c r="V321" t="s">
        <v>2233</v>
      </c>
      <c r="W321" t="s">
        <v>187</v>
      </c>
      <c r="X321" t="s">
        <v>376</v>
      </c>
      <c r="Y321" t="s">
        <v>189</v>
      </c>
      <c r="Z321" t="s">
        <v>190</v>
      </c>
      <c r="AA321" t="s">
        <v>596</v>
      </c>
      <c r="AB321" t="s">
        <v>2234</v>
      </c>
      <c r="AC321" t="s">
        <v>988</v>
      </c>
      <c r="AF321" t="s">
        <v>250</v>
      </c>
      <c r="AG321" t="s">
        <v>251</v>
      </c>
      <c r="AH321" s="3">
        <v>241001</v>
      </c>
      <c r="AI321" s="3">
        <v>241001</v>
      </c>
      <c r="AJ321" s="1">
        <v>46094</v>
      </c>
      <c r="AN321" t="s">
        <v>172</v>
      </c>
      <c r="AR321" s="7" t="s">
        <v>353</v>
      </c>
      <c r="AT321" t="s">
        <v>173</v>
      </c>
      <c r="AU321" t="s">
        <v>175</v>
      </c>
      <c r="AW321">
        <v>0</v>
      </c>
      <c r="AX321" s="1">
        <v>46106</v>
      </c>
      <c r="AY321" s="2">
        <v>0.68098379629629635</v>
      </c>
      <c r="AZ321">
        <v>25297</v>
      </c>
      <c r="BA321" s="1">
        <v>43945</v>
      </c>
      <c r="BB321" s="1">
        <v>45981</v>
      </c>
      <c r="BC321" t="s">
        <v>0</v>
      </c>
      <c r="BD321" s="1">
        <v>46094</v>
      </c>
      <c r="BE321" t="s">
        <v>317</v>
      </c>
      <c r="BL321" s="4">
        <v>0</v>
      </c>
      <c r="BM321" s="1">
        <v>46899</v>
      </c>
      <c r="BN321" s="1">
        <v>46106</v>
      </c>
      <c r="BO321">
        <v>0</v>
      </c>
      <c r="BP321">
        <v>29284</v>
      </c>
      <c r="BQ321" t="s">
        <v>156</v>
      </c>
      <c r="BR321" s="3">
        <v>136509.5</v>
      </c>
      <c r="BS321" s="3">
        <v>20557</v>
      </c>
      <c r="BT321">
        <v>0</v>
      </c>
      <c r="BU321" s="3">
        <v>157066.5</v>
      </c>
      <c r="BV321" s="3">
        <v>241001</v>
      </c>
      <c r="BX321">
        <v>0</v>
      </c>
      <c r="BZ321">
        <v>0</v>
      </c>
      <c r="CA321">
        <v>0</v>
      </c>
      <c r="CB321">
        <v>0</v>
      </c>
      <c r="CC321" s="3">
        <v>241001</v>
      </c>
      <c r="CD321" s="5">
        <v>0</v>
      </c>
      <c r="CF321" s="6">
        <v>46082</v>
      </c>
      <c r="CH321">
        <v>0</v>
      </c>
      <c r="CI321">
        <v>0</v>
      </c>
      <c r="CJ321">
        <v>0</v>
      </c>
      <c r="CK321">
        <v>0</v>
      </c>
      <c r="CL321">
        <v>0</v>
      </c>
      <c r="CM321">
        <v>0</v>
      </c>
      <c r="CN321">
        <v>0</v>
      </c>
      <c r="CO321">
        <v>0</v>
      </c>
      <c r="CP321">
        <v>0</v>
      </c>
      <c r="CQ321">
        <v>0</v>
      </c>
      <c r="CR321">
        <v>0</v>
      </c>
      <c r="CS321" t="s">
        <v>360</v>
      </c>
      <c r="CT321" t="s">
        <v>190</v>
      </c>
      <c r="CU321" t="s">
        <v>2231</v>
      </c>
      <c r="CW321">
        <v>-51.984299999999998</v>
      </c>
      <c r="CZ321" s="1">
        <v>46094</v>
      </c>
      <c r="DA321" t="s">
        <v>172</v>
      </c>
      <c r="DB321" t="s">
        <v>172</v>
      </c>
      <c r="DC321" t="s">
        <v>172</v>
      </c>
      <c r="DD321" t="s">
        <v>172</v>
      </c>
      <c r="DG321" s="1">
        <v>46094</v>
      </c>
      <c r="DH321">
        <v>0</v>
      </c>
      <c r="DI321">
        <v>0</v>
      </c>
      <c r="DK321" t="s">
        <v>179</v>
      </c>
      <c r="DL321" t="s">
        <v>200</v>
      </c>
      <c r="DM321" t="s">
        <v>172</v>
      </c>
      <c r="DN321" t="s">
        <v>201</v>
      </c>
      <c r="DV321" s="3">
        <v>241001</v>
      </c>
      <c r="DW321">
        <v>0</v>
      </c>
      <c r="DX321" s="3">
        <v>241001</v>
      </c>
      <c r="DY321">
        <v>0</v>
      </c>
      <c r="EF321" s="1">
        <v>46105</v>
      </c>
      <c r="EG321" s="1">
        <v>46104</v>
      </c>
      <c r="EK321" s="1">
        <v>46105</v>
      </c>
      <c r="EN321" t="s">
        <v>156</v>
      </c>
      <c r="EP321" s="1">
        <v>46105</v>
      </c>
      <c r="ER321" s="1">
        <v>46101</v>
      </c>
      <c r="ES321" t="s">
        <v>2235</v>
      </c>
      <c r="ET321" t="s">
        <v>2236</v>
      </c>
      <c r="EU321" s="1">
        <v>46102</v>
      </c>
      <c r="EW321" s="1">
        <v>46094</v>
      </c>
    </row>
    <row r="322" spans="1:153" x14ac:dyDescent="0.35">
      <c r="A322" t="str">
        <f>HYPERLINK("https://7lm.cvcrm.com.br/gestor/comercial/reservas/6798/administrar","6798")</f>
        <v>6798</v>
      </c>
      <c r="B322" t="s">
        <v>172</v>
      </c>
      <c r="C322" s="1">
        <v>46094</v>
      </c>
      <c r="D322" s="2">
        <v>0.62940972222222225</v>
      </c>
      <c r="E322" t="s">
        <v>527</v>
      </c>
      <c r="F322" t="s">
        <v>182</v>
      </c>
      <c r="G322" t="s">
        <v>159</v>
      </c>
      <c r="H322" t="s">
        <v>643</v>
      </c>
      <c r="I322" t="s">
        <v>899</v>
      </c>
      <c r="J322">
        <v>1</v>
      </c>
      <c r="L322">
        <v>30151</v>
      </c>
      <c r="M322" t="s">
        <v>900</v>
      </c>
      <c r="R322" t="str">
        <f>HYPERLINK("https://7lm.cvcrm.com.br/gestor/relatorios/associado/html?q[1|r.idreserva]=6798","ANDREWS EDUARDO FERREIRA CARDOSO")</f>
        <v>ANDREWS EDUARDO FERREIRA CARDOSO</v>
      </c>
      <c r="S322">
        <v>9660230133</v>
      </c>
      <c r="T322">
        <v>5561996986117</v>
      </c>
      <c r="V322" t="s">
        <v>2237</v>
      </c>
      <c r="W322" t="s">
        <v>163</v>
      </c>
      <c r="X322" t="s">
        <v>366</v>
      </c>
      <c r="Y322" t="s">
        <v>189</v>
      </c>
      <c r="Z322" t="s">
        <v>190</v>
      </c>
      <c r="AA322" t="s">
        <v>332</v>
      </c>
      <c r="AB322" t="s">
        <v>2156</v>
      </c>
      <c r="AC322" t="s">
        <v>988</v>
      </c>
      <c r="AF322" t="s">
        <v>250</v>
      </c>
      <c r="AG322" t="s">
        <v>195</v>
      </c>
      <c r="AH322" s="3">
        <v>261000.36</v>
      </c>
      <c r="AI322" s="3">
        <v>261000.36</v>
      </c>
      <c r="AJ322" s="1">
        <v>46125</v>
      </c>
      <c r="AN322" t="s">
        <v>172</v>
      </c>
      <c r="AO322" t="s">
        <v>1175</v>
      </c>
      <c r="AR322" t="s">
        <v>2238</v>
      </c>
      <c r="AT322" t="s">
        <v>173</v>
      </c>
      <c r="AU322" t="s">
        <v>175</v>
      </c>
      <c r="AW322">
        <v>0</v>
      </c>
      <c r="AX322" s="1">
        <v>46118</v>
      </c>
      <c r="AY322" s="2">
        <v>0.44232638888888887</v>
      </c>
      <c r="AZ322">
        <v>71225</v>
      </c>
      <c r="BA322" s="1">
        <v>44627</v>
      </c>
      <c r="BB322" s="1">
        <v>46087</v>
      </c>
      <c r="BC322" t="s">
        <v>0</v>
      </c>
      <c r="BD322" s="1">
        <v>46094</v>
      </c>
      <c r="BE322" t="s">
        <v>317</v>
      </c>
      <c r="BL322" s="4">
        <v>0</v>
      </c>
      <c r="BM322" s="1">
        <v>46899</v>
      </c>
      <c r="BO322">
        <v>0</v>
      </c>
      <c r="BP322">
        <v>29384</v>
      </c>
      <c r="BQ322" t="s">
        <v>156</v>
      </c>
      <c r="BR322" s="3">
        <v>144285.16</v>
      </c>
      <c r="BS322" s="3">
        <v>19988</v>
      </c>
      <c r="BT322">
        <v>0</v>
      </c>
      <c r="BU322" s="3">
        <v>164273.16</v>
      </c>
      <c r="BV322" s="3">
        <v>261000.36</v>
      </c>
      <c r="BX322">
        <v>0</v>
      </c>
      <c r="BZ322">
        <v>0</v>
      </c>
      <c r="CA322">
        <v>0</v>
      </c>
      <c r="CB322">
        <v>0</v>
      </c>
      <c r="CC322" s="3">
        <v>261000.36</v>
      </c>
      <c r="CD322" s="5">
        <v>0</v>
      </c>
      <c r="CF322" s="6">
        <v>46113</v>
      </c>
      <c r="CH322">
        <v>0</v>
      </c>
      <c r="CI322">
        <v>0</v>
      </c>
      <c r="CJ322">
        <v>0</v>
      </c>
      <c r="CK322">
        <v>0</v>
      </c>
      <c r="CL322">
        <v>0</v>
      </c>
      <c r="CM322">
        <v>0</v>
      </c>
      <c r="CN322">
        <v>0</v>
      </c>
      <c r="CO322">
        <v>0</v>
      </c>
      <c r="CP322">
        <v>0</v>
      </c>
      <c r="CQ322">
        <v>0</v>
      </c>
      <c r="CR322">
        <v>0</v>
      </c>
      <c r="CT322" t="s">
        <v>190</v>
      </c>
      <c r="CU322" t="s">
        <v>899</v>
      </c>
      <c r="CW322">
        <v>0</v>
      </c>
      <c r="CZ322" s="1">
        <v>46094</v>
      </c>
      <c r="DA322" t="s">
        <v>172</v>
      </c>
      <c r="DB322" t="s">
        <v>172</v>
      </c>
      <c r="DC322" t="s">
        <v>172</v>
      </c>
      <c r="DD322" t="s">
        <v>172</v>
      </c>
      <c r="DG322" s="1">
        <v>46094</v>
      </c>
      <c r="DH322">
        <v>0</v>
      </c>
      <c r="DI322">
        <v>0</v>
      </c>
      <c r="DK322" t="s">
        <v>179</v>
      </c>
      <c r="DL322" t="s">
        <v>200</v>
      </c>
      <c r="DM322" t="s">
        <v>172</v>
      </c>
      <c r="DN322" t="s">
        <v>511</v>
      </c>
      <c r="DV322" s="3">
        <v>261000.36</v>
      </c>
      <c r="DW322">
        <v>0</v>
      </c>
      <c r="DX322" s="3">
        <v>261000.36</v>
      </c>
      <c r="DY322">
        <v>0</v>
      </c>
      <c r="EN322" t="s">
        <v>537</v>
      </c>
      <c r="ET322" t="s">
        <v>2239</v>
      </c>
      <c r="EU322" s="1">
        <v>46102</v>
      </c>
      <c r="EW322" s="1">
        <v>46098</v>
      </c>
    </row>
    <row r="323" spans="1:153" x14ac:dyDescent="0.35">
      <c r="A323" t="str">
        <f>HYPERLINK("https://7lm.cvcrm.com.br/gestor/comercial/reservas/6797/administrar","6797")</f>
        <v>6797</v>
      </c>
      <c r="B323" t="s">
        <v>156</v>
      </c>
      <c r="C323" s="1">
        <v>46094</v>
      </c>
      <c r="D323" s="2">
        <v>0.59953703703703709</v>
      </c>
      <c r="E323" t="s">
        <v>527</v>
      </c>
      <c r="F323" t="s">
        <v>226</v>
      </c>
      <c r="G323" t="s">
        <v>159</v>
      </c>
      <c r="H323" t="s">
        <v>252</v>
      </c>
      <c r="I323" t="s">
        <v>253</v>
      </c>
      <c r="J323">
        <v>1</v>
      </c>
      <c r="L323">
        <v>10031</v>
      </c>
      <c r="M323" t="s">
        <v>254</v>
      </c>
      <c r="N323" s="1">
        <v>46094</v>
      </c>
      <c r="O323" s="2">
        <v>0.64995370370370376</v>
      </c>
      <c r="R323" t="str">
        <f>HYPERLINK("https://7lm.cvcrm.com.br/gestor/relatorios/associado/html?q[1|r.idreserva]=6797","IVONETE FERREIRA DE SOUSA")</f>
        <v>IVONETE FERREIRA DE SOUSA</v>
      </c>
      <c r="S323">
        <v>87585901100</v>
      </c>
      <c r="T323">
        <v>5561991119087</v>
      </c>
      <c r="U323">
        <v>5561991119087</v>
      </c>
      <c r="V323" t="s">
        <v>2197</v>
      </c>
      <c r="W323" t="s">
        <v>187</v>
      </c>
      <c r="X323" t="s">
        <v>1147</v>
      </c>
      <c r="Y323" t="s">
        <v>165</v>
      </c>
      <c r="Z323" t="s">
        <v>257</v>
      </c>
      <c r="AA323" t="s">
        <v>812</v>
      </c>
      <c r="AB323" t="s">
        <v>2198</v>
      </c>
      <c r="AC323" t="s">
        <v>169</v>
      </c>
      <c r="AE323" t="s">
        <v>169</v>
      </c>
      <c r="AF323" t="s">
        <v>170</v>
      </c>
      <c r="AG323" t="s">
        <v>171</v>
      </c>
      <c r="AH323" s="3">
        <v>401360</v>
      </c>
      <c r="AI323" s="3">
        <v>401360</v>
      </c>
      <c r="AJ323" s="1">
        <v>46094</v>
      </c>
      <c r="AN323" t="s">
        <v>172</v>
      </c>
      <c r="AO323" t="s">
        <v>725</v>
      </c>
      <c r="AP323" t="s">
        <v>2240</v>
      </c>
      <c r="AT323" t="s">
        <v>196</v>
      </c>
      <c r="AU323" t="s">
        <v>197</v>
      </c>
      <c r="AW323">
        <v>0</v>
      </c>
      <c r="AX323" s="1">
        <v>46095</v>
      </c>
      <c r="AY323" s="2">
        <v>0.78900462962962958</v>
      </c>
      <c r="AZ323">
        <v>195078</v>
      </c>
      <c r="BA323" s="1">
        <v>46094</v>
      </c>
      <c r="BC323" t="s">
        <v>0</v>
      </c>
      <c r="BD323" s="1">
        <v>46095</v>
      </c>
      <c r="BE323" t="s">
        <v>176</v>
      </c>
      <c r="BL323" s="4">
        <v>0</v>
      </c>
      <c r="BM323" s="1">
        <v>46698</v>
      </c>
      <c r="BO323">
        <v>0</v>
      </c>
      <c r="BP323">
        <v>29616</v>
      </c>
      <c r="BQ323" t="s">
        <v>156</v>
      </c>
      <c r="BR323" s="3">
        <v>350000</v>
      </c>
      <c r="BS323">
        <v>0</v>
      </c>
      <c r="BT323">
        <v>0</v>
      </c>
      <c r="BU323" s="3">
        <v>350000</v>
      </c>
      <c r="BV323" s="3">
        <v>401360</v>
      </c>
      <c r="BX323">
        <v>0</v>
      </c>
      <c r="BZ323">
        <v>0</v>
      </c>
      <c r="CA323">
        <v>0</v>
      </c>
      <c r="CB323">
        <v>0</v>
      </c>
      <c r="CC323" s="3">
        <v>401360</v>
      </c>
      <c r="CD323" s="5">
        <v>0</v>
      </c>
      <c r="CF323" s="6">
        <v>46082</v>
      </c>
      <c r="CH323">
        <v>0</v>
      </c>
      <c r="CI323">
        <v>0</v>
      </c>
      <c r="CJ323">
        <v>0</v>
      </c>
      <c r="CK323">
        <v>0</v>
      </c>
      <c r="CL323">
        <v>0</v>
      </c>
      <c r="CM323">
        <v>0</v>
      </c>
      <c r="CN323">
        <v>0</v>
      </c>
      <c r="CO323">
        <v>0</v>
      </c>
      <c r="CP323">
        <v>0</v>
      </c>
      <c r="CQ323">
        <v>0</v>
      </c>
      <c r="CR323">
        <v>0</v>
      </c>
      <c r="CS323" t="s">
        <v>177</v>
      </c>
      <c r="CT323" t="s">
        <v>238</v>
      </c>
      <c r="CU323" t="s">
        <v>253</v>
      </c>
      <c r="CW323">
        <v>-58.191699999999997</v>
      </c>
      <c r="CX323" t="s">
        <v>170</v>
      </c>
      <c r="CZ323" s="1">
        <v>46094</v>
      </c>
      <c r="DA323" t="s">
        <v>172</v>
      </c>
      <c r="DB323" t="s">
        <v>172</v>
      </c>
      <c r="DC323" t="s">
        <v>172</v>
      </c>
      <c r="DD323" t="s">
        <v>172</v>
      </c>
      <c r="DG323" s="1">
        <v>46094</v>
      </c>
      <c r="DH323">
        <v>0</v>
      </c>
      <c r="DI323">
        <v>0</v>
      </c>
      <c r="DL323" t="s">
        <v>263</v>
      </c>
      <c r="DM323" t="s">
        <v>172</v>
      </c>
      <c r="DN323" t="s">
        <v>264</v>
      </c>
      <c r="DU323" t="s">
        <v>240</v>
      </c>
      <c r="DV323" s="3">
        <v>558640</v>
      </c>
      <c r="DW323">
        <v>-58.19</v>
      </c>
      <c r="DX323" s="3">
        <v>558640</v>
      </c>
      <c r="DY323">
        <v>-58.19</v>
      </c>
    </row>
    <row r="324" spans="1:153" ht="159.5" x14ac:dyDescent="0.35">
      <c r="A324" t="str">
        <f>HYPERLINK("https://7lm.cvcrm.com.br/gestor/comercial/reservas/6796/administrar","6796")</f>
        <v>6796</v>
      </c>
      <c r="B324" t="s">
        <v>156</v>
      </c>
      <c r="C324" s="1">
        <v>46093</v>
      </c>
      <c r="D324" s="2">
        <v>0.57630787037037035</v>
      </c>
      <c r="E324" t="s">
        <v>1310</v>
      </c>
      <c r="F324" t="s">
        <v>226</v>
      </c>
      <c r="G324" t="s">
        <v>159</v>
      </c>
      <c r="H324" t="s">
        <v>227</v>
      </c>
      <c r="I324" t="s">
        <v>228</v>
      </c>
      <c r="J324">
        <v>1</v>
      </c>
      <c r="L324">
        <v>10031</v>
      </c>
      <c r="M324" t="s">
        <v>229</v>
      </c>
      <c r="N324" s="1">
        <v>46093</v>
      </c>
      <c r="O324" s="2">
        <v>0.58383101851851849</v>
      </c>
      <c r="R324" t="str">
        <f>HYPERLINK("https://7lm.cvcrm.com.br/gestor/relatorios/associado/html?q[1|r.idreserva]=6796","VICTORIA ARGOLO BORGES")</f>
        <v>VICTORIA ARGOLO BORGES</v>
      </c>
      <c r="S324">
        <v>4132612120</v>
      </c>
      <c r="T324">
        <v>5561981986766</v>
      </c>
      <c r="U324">
        <v>5561981986766</v>
      </c>
      <c r="V324" t="s">
        <v>2241</v>
      </c>
      <c r="W324" t="s">
        <v>187</v>
      </c>
      <c r="X324" t="s">
        <v>1116</v>
      </c>
      <c r="Y324" t="s">
        <v>165</v>
      </c>
      <c r="Z324" t="s">
        <v>257</v>
      </c>
      <c r="AA324" t="s">
        <v>238</v>
      </c>
      <c r="AB324" t="s">
        <v>2242</v>
      </c>
      <c r="AC324" t="s">
        <v>732</v>
      </c>
      <c r="AE324" t="s">
        <v>733</v>
      </c>
      <c r="AF324" t="s">
        <v>170</v>
      </c>
      <c r="AG324" t="s">
        <v>552</v>
      </c>
      <c r="AH324" s="3">
        <v>350000</v>
      </c>
      <c r="AI324" s="3">
        <v>350000</v>
      </c>
      <c r="AJ324" s="1">
        <v>46086</v>
      </c>
      <c r="AN324" t="s">
        <v>172</v>
      </c>
      <c r="AR324" s="7" t="s">
        <v>2243</v>
      </c>
      <c r="AT324" t="s">
        <v>173</v>
      </c>
      <c r="AU324" t="s">
        <v>197</v>
      </c>
      <c r="AW324">
        <v>0</v>
      </c>
      <c r="AX324" s="1">
        <v>46149</v>
      </c>
      <c r="AY324" s="2">
        <v>0.41783564814814816</v>
      </c>
      <c r="AZ324">
        <v>193741</v>
      </c>
      <c r="BA324" s="1">
        <v>46086</v>
      </c>
      <c r="BC324" t="s">
        <v>0</v>
      </c>
      <c r="BD324" s="1">
        <v>46093</v>
      </c>
      <c r="BE324" t="s">
        <v>401</v>
      </c>
      <c r="BL324" s="4">
        <v>0</v>
      </c>
      <c r="BM324" s="1">
        <v>46698</v>
      </c>
      <c r="BN324" s="1">
        <v>46098</v>
      </c>
      <c r="BO324">
        <v>0</v>
      </c>
      <c r="BP324">
        <v>29302</v>
      </c>
      <c r="BQ324" t="s">
        <v>156</v>
      </c>
      <c r="BR324" s="3">
        <v>280000</v>
      </c>
      <c r="BS324">
        <v>0</v>
      </c>
      <c r="BT324">
        <v>0</v>
      </c>
      <c r="BU324" s="3">
        <v>280000</v>
      </c>
      <c r="BV324" s="3">
        <v>350000</v>
      </c>
      <c r="BX324">
        <v>0</v>
      </c>
      <c r="BZ324">
        <v>0</v>
      </c>
      <c r="CA324">
        <v>0</v>
      </c>
      <c r="CB324">
        <v>0</v>
      </c>
      <c r="CC324" s="3">
        <v>350000</v>
      </c>
      <c r="CD324" s="5">
        <v>0</v>
      </c>
      <c r="CF324" s="6">
        <v>46082</v>
      </c>
      <c r="CH324">
        <v>0</v>
      </c>
      <c r="CI324">
        <v>0</v>
      </c>
      <c r="CJ324">
        <v>0</v>
      </c>
      <c r="CK324">
        <v>0</v>
      </c>
      <c r="CL324">
        <v>0</v>
      </c>
      <c r="CM324">
        <v>0</v>
      </c>
      <c r="CN324">
        <v>0</v>
      </c>
      <c r="CO324">
        <v>0</v>
      </c>
      <c r="CP324">
        <v>0</v>
      </c>
      <c r="CQ324">
        <v>0</v>
      </c>
      <c r="CR324">
        <v>0</v>
      </c>
      <c r="CS324" t="s">
        <v>177</v>
      </c>
      <c r="CT324" t="s">
        <v>238</v>
      </c>
      <c r="CU324" t="s">
        <v>228</v>
      </c>
      <c r="CW324">
        <v>-60.890999999999998</v>
      </c>
      <c r="CX324" t="s">
        <v>170</v>
      </c>
      <c r="CZ324" s="1">
        <v>46093</v>
      </c>
      <c r="DA324" t="s">
        <v>172</v>
      </c>
      <c r="DB324" t="s">
        <v>172</v>
      </c>
      <c r="DC324" t="s">
        <v>172</v>
      </c>
      <c r="DD324" t="s">
        <v>172</v>
      </c>
      <c r="DG324" s="1">
        <v>46093</v>
      </c>
      <c r="DH324">
        <v>0</v>
      </c>
      <c r="DI324">
        <v>0</v>
      </c>
      <c r="DL324" t="s">
        <v>239</v>
      </c>
      <c r="DM324" t="s">
        <v>172</v>
      </c>
      <c r="DU324" t="s">
        <v>240</v>
      </c>
      <c r="DV324" s="3">
        <v>544934.13</v>
      </c>
      <c r="DW324">
        <v>-60.89</v>
      </c>
      <c r="DX324" s="3">
        <v>544934.13</v>
      </c>
      <c r="DY324">
        <v>-60.89</v>
      </c>
    </row>
    <row r="325" spans="1:153" x14ac:dyDescent="0.35">
      <c r="A325" t="str">
        <f>HYPERLINK("https://7lm.cvcrm.com.br/gestor/comercial/reservas/6795/administrar","6795")</f>
        <v>6795</v>
      </c>
      <c r="B325" t="s">
        <v>156</v>
      </c>
      <c r="C325" s="1">
        <v>46092</v>
      </c>
      <c r="D325" s="2">
        <v>0.71476851851851853</v>
      </c>
      <c r="E325" t="s">
        <v>527</v>
      </c>
      <c r="F325" t="s">
        <v>226</v>
      </c>
      <c r="G325" t="s">
        <v>159</v>
      </c>
      <c r="H325" t="s">
        <v>227</v>
      </c>
      <c r="I325" t="s">
        <v>228</v>
      </c>
      <c r="J325">
        <v>1</v>
      </c>
      <c r="L325">
        <v>10031</v>
      </c>
      <c r="M325" t="s">
        <v>229</v>
      </c>
      <c r="N325" s="1">
        <v>46093</v>
      </c>
      <c r="O325" s="2">
        <v>0.45302083333333332</v>
      </c>
      <c r="R325" t="str">
        <f>HYPERLINK("https://7lm.cvcrm.com.br/gestor/relatorios/associado/html?q[1|r.idreserva]=6795","VICTORIA ARGOLO BORGES")</f>
        <v>VICTORIA ARGOLO BORGES</v>
      </c>
      <c r="S325">
        <v>4132612120</v>
      </c>
      <c r="T325">
        <v>5561981986766</v>
      </c>
      <c r="U325">
        <v>5561981986766</v>
      </c>
      <c r="V325" t="s">
        <v>2241</v>
      </c>
      <c r="W325" t="s">
        <v>187</v>
      </c>
      <c r="X325" t="s">
        <v>1116</v>
      </c>
      <c r="Y325" t="s">
        <v>165</v>
      </c>
      <c r="Z325" t="s">
        <v>257</v>
      </c>
      <c r="AA325" t="s">
        <v>238</v>
      </c>
      <c r="AB325" t="s">
        <v>2242</v>
      </c>
      <c r="AC325" t="s">
        <v>732</v>
      </c>
      <c r="AE325" t="s">
        <v>733</v>
      </c>
      <c r="AF325" t="s">
        <v>170</v>
      </c>
      <c r="AG325" t="s">
        <v>552</v>
      </c>
      <c r="AH325" s="3">
        <v>350000</v>
      </c>
      <c r="AI325" s="3">
        <v>350000</v>
      </c>
      <c r="AJ325" s="1">
        <v>46086</v>
      </c>
      <c r="AN325" t="s">
        <v>172</v>
      </c>
      <c r="AO325" t="s">
        <v>966</v>
      </c>
      <c r="AU325" t="s">
        <v>197</v>
      </c>
      <c r="AW325">
        <v>0</v>
      </c>
      <c r="AX325" s="1">
        <v>46093</v>
      </c>
      <c r="AY325" s="2">
        <v>0.56152777777777774</v>
      </c>
      <c r="AZ325">
        <v>193741</v>
      </c>
      <c r="BA325" s="1">
        <v>46086</v>
      </c>
      <c r="BC325" t="s">
        <v>0</v>
      </c>
      <c r="BD325" s="1">
        <v>46093</v>
      </c>
      <c r="BE325" t="s">
        <v>401</v>
      </c>
      <c r="BL325" s="4">
        <v>0</v>
      </c>
      <c r="BM325" s="1">
        <v>46698</v>
      </c>
      <c r="BO325">
        <v>0</v>
      </c>
      <c r="BP325">
        <v>29302</v>
      </c>
      <c r="BQ325" t="s">
        <v>156</v>
      </c>
      <c r="BR325" s="3">
        <v>280000</v>
      </c>
      <c r="BS325">
        <v>0</v>
      </c>
      <c r="BT325">
        <v>0</v>
      </c>
      <c r="BU325" s="3">
        <v>280000</v>
      </c>
      <c r="BV325" s="3">
        <v>350000</v>
      </c>
      <c r="BX325">
        <v>0</v>
      </c>
      <c r="BZ325">
        <v>0</v>
      </c>
      <c r="CA325">
        <v>0</v>
      </c>
      <c r="CB325">
        <v>0</v>
      </c>
      <c r="CC325" s="3">
        <v>350000</v>
      </c>
      <c r="CD325" s="5">
        <v>0</v>
      </c>
      <c r="CF325" s="6">
        <v>46082</v>
      </c>
      <c r="CH325">
        <v>0</v>
      </c>
      <c r="CI325">
        <v>0</v>
      </c>
      <c r="CJ325">
        <v>0</v>
      </c>
      <c r="CK325">
        <v>0</v>
      </c>
      <c r="CL325">
        <v>0</v>
      </c>
      <c r="CM325">
        <v>0</v>
      </c>
      <c r="CN325">
        <v>0</v>
      </c>
      <c r="CO325">
        <v>0</v>
      </c>
      <c r="CP325">
        <v>0</v>
      </c>
      <c r="CQ325">
        <v>0</v>
      </c>
      <c r="CR325">
        <v>0</v>
      </c>
      <c r="CS325" t="s">
        <v>177</v>
      </c>
      <c r="CT325" t="s">
        <v>238</v>
      </c>
      <c r="CU325" t="s">
        <v>228</v>
      </c>
      <c r="CW325">
        <v>-60.890999999999998</v>
      </c>
      <c r="CX325" t="s">
        <v>170</v>
      </c>
      <c r="CZ325" s="1">
        <v>46092</v>
      </c>
      <c r="DA325" t="s">
        <v>172</v>
      </c>
      <c r="DB325" t="s">
        <v>172</v>
      </c>
      <c r="DC325" t="s">
        <v>172</v>
      </c>
      <c r="DD325" t="s">
        <v>172</v>
      </c>
      <c r="DF325" t="s">
        <v>2244</v>
      </c>
      <c r="DG325" s="1">
        <v>46092</v>
      </c>
      <c r="DH325">
        <v>0</v>
      </c>
      <c r="DI325">
        <v>0</v>
      </c>
      <c r="DL325" t="s">
        <v>239</v>
      </c>
      <c r="DM325" t="s">
        <v>172</v>
      </c>
      <c r="DU325" t="s">
        <v>240</v>
      </c>
      <c r="DV325" s="3">
        <v>544934.13</v>
      </c>
      <c r="DW325">
        <v>-60.89</v>
      </c>
      <c r="DX325" s="3">
        <v>544934.13</v>
      </c>
      <c r="DY325">
        <v>-60.89</v>
      </c>
    </row>
    <row r="326" spans="1:153" ht="246.5" x14ac:dyDescent="0.35">
      <c r="A326" t="str">
        <f>HYPERLINK("https://7lm.cvcrm.com.br/gestor/comercial/reservas/6794/administrar","6794")</f>
        <v>6794</v>
      </c>
      <c r="B326" t="s">
        <v>172</v>
      </c>
      <c r="C326" s="1">
        <v>46092</v>
      </c>
      <c r="D326" s="2">
        <v>0.64480324074074069</v>
      </c>
      <c r="E326" t="s">
        <v>527</v>
      </c>
      <c r="F326" t="s">
        <v>216</v>
      </c>
      <c r="G326" t="s">
        <v>159</v>
      </c>
      <c r="H326" t="s">
        <v>217</v>
      </c>
      <c r="I326" t="s">
        <v>1683</v>
      </c>
      <c r="J326">
        <v>1</v>
      </c>
      <c r="L326">
        <v>20061</v>
      </c>
      <c r="M326" t="s">
        <v>2245</v>
      </c>
      <c r="R326" t="str">
        <f>HYPERLINK("https://7lm.cvcrm.com.br/gestor/relatorios/associado/html?q[1|r.idreserva]=6794","MARCOS RAULISSON PASSOS BARROS")</f>
        <v>MARCOS RAULISSON PASSOS BARROS</v>
      </c>
      <c r="S326">
        <v>7899036100</v>
      </c>
      <c r="T326">
        <v>5562995280420</v>
      </c>
      <c r="V326" t="s">
        <v>2246</v>
      </c>
      <c r="W326" t="s">
        <v>163</v>
      </c>
      <c r="Y326" t="s">
        <v>189</v>
      </c>
      <c r="Z326" t="s">
        <v>208</v>
      </c>
      <c r="AA326" t="s">
        <v>2247</v>
      </c>
      <c r="AB326" t="s">
        <v>2248</v>
      </c>
      <c r="AC326" t="s">
        <v>455</v>
      </c>
      <c r="AF326" t="s">
        <v>389</v>
      </c>
      <c r="AG326" t="s">
        <v>195</v>
      </c>
      <c r="AH326" s="3">
        <v>211593.88</v>
      </c>
      <c r="AI326" s="3">
        <v>211593.88</v>
      </c>
      <c r="AJ326" s="1">
        <v>46157</v>
      </c>
      <c r="AN326" t="s">
        <v>172</v>
      </c>
      <c r="AO326" t="s">
        <v>535</v>
      </c>
      <c r="AR326" s="7" t="s">
        <v>2249</v>
      </c>
      <c r="AT326" t="s">
        <v>400</v>
      </c>
      <c r="AU326" t="s">
        <v>197</v>
      </c>
      <c r="AW326">
        <v>0</v>
      </c>
      <c r="AX326" s="1">
        <v>46100</v>
      </c>
      <c r="AY326" s="2">
        <v>0.43483796296296295</v>
      </c>
      <c r="AZ326">
        <v>193631</v>
      </c>
      <c r="BA326" s="1">
        <v>46086</v>
      </c>
      <c r="BC326" t="s">
        <v>0</v>
      </c>
      <c r="BD326" s="1">
        <v>46092</v>
      </c>
      <c r="BE326" t="s">
        <v>276</v>
      </c>
      <c r="BL326" s="4">
        <v>0</v>
      </c>
      <c r="BM326" s="1">
        <v>46995</v>
      </c>
      <c r="BO326">
        <v>0</v>
      </c>
      <c r="BP326">
        <v>29433</v>
      </c>
      <c r="BQ326" t="s">
        <v>156</v>
      </c>
      <c r="BR326" s="3">
        <v>105905.88</v>
      </c>
      <c r="BS326" s="3">
        <v>55000</v>
      </c>
      <c r="BT326">
        <v>0</v>
      </c>
      <c r="BU326" s="3">
        <v>160905.88</v>
      </c>
      <c r="BV326" s="3">
        <v>211593.88</v>
      </c>
      <c r="BX326">
        <v>0</v>
      </c>
      <c r="BZ326">
        <v>0</v>
      </c>
      <c r="CA326">
        <v>0</v>
      </c>
      <c r="CB326">
        <v>0</v>
      </c>
      <c r="CC326" s="3">
        <v>211593.88</v>
      </c>
      <c r="CD326" s="5">
        <v>0</v>
      </c>
      <c r="CF326" s="6">
        <v>46082</v>
      </c>
      <c r="CH326">
        <v>0</v>
      </c>
      <c r="CI326">
        <v>0</v>
      </c>
      <c r="CJ326">
        <v>0</v>
      </c>
      <c r="CK326">
        <v>0</v>
      </c>
      <c r="CL326">
        <v>0</v>
      </c>
      <c r="CM326">
        <v>0</v>
      </c>
      <c r="CN326">
        <v>0</v>
      </c>
      <c r="CO326">
        <v>0</v>
      </c>
      <c r="CP326">
        <v>0</v>
      </c>
      <c r="CQ326">
        <v>0</v>
      </c>
      <c r="CR326">
        <v>0</v>
      </c>
      <c r="CT326" t="s">
        <v>214</v>
      </c>
      <c r="CU326" t="s">
        <v>1683</v>
      </c>
      <c r="CW326">
        <v>0</v>
      </c>
      <c r="CZ326" s="1">
        <v>46092</v>
      </c>
      <c r="DA326" t="s">
        <v>172</v>
      </c>
      <c r="DB326" t="s">
        <v>172</v>
      </c>
      <c r="DC326" t="s">
        <v>172</v>
      </c>
      <c r="DD326" t="s">
        <v>172</v>
      </c>
      <c r="DG326" s="1">
        <v>46092</v>
      </c>
      <c r="DH326">
        <v>0</v>
      </c>
      <c r="DI326">
        <v>0</v>
      </c>
      <c r="DK326" t="s">
        <v>179</v>
      </c>
      <c r="DL326" t="s">
        <v>224</v>
      </c>
      <c r="DM326" t="s">
        <v>172</v>
      </c>
      <c r="DN326" t="s">
        <v>201</v>
      </c>
      <c r="DV326" s="3">
        <v>211593.88</v>
      </c>
      <c r="DW326">
        <v>0</v>
      </c>
      <c r="DX326" s="3">
        <v>211593.88</v>
      </c>
      <c r="DY326">
        <v>0</v>
      </c>
      <c r="EN326" t="s">
        <v>537</v>
      </c>
    </row>
    <row r="327" spans="1:153" ht="246.5" x14ac:dyDescent="0.35">
      <c r="A327" t="str">
        <f>HYPERLINK("https://7lm.cvcrm.com.br/gestor/comercial/reservas/6793/administrar","6793")</f>
        <v>6793</v>
      </c>
      <c r="B327" t="s">
        <v>156</v>
      </c>
      <c r="C327" s="1">
        <v>46092</v>
      </c>
      <c r="D327" s="2">
        <v>0.58002314814814815</v>
      </c>
      <c r="E327" t="s">
        <v>294</v>
      </c>
      <c r="F327" t="s">
        <v>216</v>
      </c>
      <c r="G327" t="s">
        <v>159</v>
      </c>
      <c r="H327" t="s">
        <v>336</v>
      </c>
      <c r="I327" t="s">
        <v>1177</v>
      </c>
      <c r="J327">
        <v>1</v>
      </c>
      <c r="L327">
        <v>20061</v>
      </c>
      <c r="M327" t="s">
        <v>2250</v>
      </c>
      <c r="N327" s="1">
        <v>46099</v>
      </c>
      <c r="O327" s="2">
        <v>0.51656250000000004</v>
      </c>
      <c r="R327" t="str">
        <f>HYPERLINK("https://7lm.cvcrm.com.br/gestor/relatorios/associado/html?q[1|r.idreserva]=6793","MARCOS ALEXANDRE DE SOUSA")</f>
        <v>MARCOS ALEXANDRE DE SOUSA</v>
      </c>
      <c r="S327">
        <v>7006033101</v>
      </c>
      <c r="T327">
        <v>5562991483059</v>
      </c>
      <c r="V327" t="s">
        <v>2251</v>
      </c>
      <c r="W327" t="s">
        <v>163</v>
      </c>
      <c r="X327" t="s">
        <v>604</v>
      </c>
      <c r="Y327" t="s">
        <v>189</v>
      </c>
      <c r="Z327" t="s">
        <v>2252</v>
      </c>
      <c r="AA327" t="s">
        <v>2253</v>
      </c>
      <c r="AB327" t="s">
        <v>2254</v>
      </c>
      <c r="AC327" t="s">
        <v>1466</v>
      </c>
      <c r="AF327" t="s">
        <v>413</v>
      </c>
      <c r="AG327" t="s">
        <v>195</v>
      </c>
      <c r="AH327" s="3">
        <v>216042.49</v>
      </c>
      <c r="AI327" s="3">
        <v>216042.49</v>
      </c>
      <c r="AJ327" s="1">
        <v>46092</v>
      </c>
      <c r="AN327" t="s">
        <v>172</v>
      </c>
      <c r="AR327" s="7" t="s">
        <v>353</v>
      </c>
      <c r="AT327" t="s">
        <v>196</v>
      </c>
      <c r="AU327" t="s">
        <v>953</v>
      </c>
      <c r="AW327">
        <v>0</v>
      </c>
      <c r="AX327" s="1">
        <v>46106</v>
      </c>
      <c r="AY327" s="2">
        <v>0.42884259259259261</v>
      </c>
      <c r="AZ327">
        <v>194551</v>
      </c>
      <c r="BA327" s="1">
        <v>46091</v>
      </c>
      <c r="BC327" t="s">
        <v>0</v>
      </c>
      <c r="BD327" s="1">
        <v>46092</v>
      </c>
      <c r="BE327" t="s">
        <v>198</v>
      </c>
      <c r="BL327" s="4">
        <v>0</v>
      </c>
      <c r="BM327" s="1">
        <v>46995</v>
      </c>
      <c r="BN327" s="1">
        <v>46106</v>
      </c>
      <c r="BO327">
        <v>0</v>
      </c>
      <c r="BP327">
        <v>29447</v>
      </c>
      <c r="BQ327" t="s">
        <v>156</v>
      </c>
      <c r="BR327" s="3">
        <v>154284.04999999999</v>
      </c>
      <c r="BS327" s="3">
        <v>17371</v>
      </c>
      <c r="BT327">
        <v>0</v>
      </c>
      <c r="BU327" s="3">
        <v>171655.05</v>
      </c>
      <c r="BV327" s="3">
        <v>216042.49</v>
      </c>
      <c r="BX327">
        <v>0</v>
      </c>
      <c r="BZ327">
        <v>0</v>
      </c>
      <c r="CA327">
        <v>0</v>
      </c>
      <c r="CB327">
        <v>0</v>
      </c>
      <c r="CC327" s="3">
        <v>216042.49</v>
      </c>
      <c r="CD327" s="5">
        <v>0</v>
      </c>
      <c r="CF327" s="6">
        <v>46082</v>
      </c>
      <c r="CH327">
        <v>0</v>
      </c>
      <c r="CI327">
        <v>0</v>
      </c>
      <c r="CJ327">
        <v>0</v>
      </c>
      <c r="CK327">
        <v>0</v>
      </c>
      <c r="CL327">
        <v>0</v>
      </c>
      <c r="CM327">
        <v>0</v>
      </c>
      <c r="CN327">
        <v>0</v>
      </c>
      <c r="CO327">
        <v>0</v>
      </c>
      <c r="CP327">
        <v>0</v>
      </c>
      <c r="CQ327">
        <v>0</v>
      </c>
      <c r="CR327">
        <v>0</v>
      </c>
      <c r="CS327" t="s">
        <v>360</v>
      </c>
      <c r="CT327" t="s">
        <v>214</v>
      </c>
      <c r="CU327" t="s">
        <v>1177</v>
      </c>
      <c r="CW327">
        <v>-55.086399999999998</v>
      </c>
      <c r="CZ327" s="1">
        <v>46092</v>
      </c>
      <c r="DA327" t="s">
        <v>172</v>
      </c>
      <c r="DB327" t="s">
        <v>172</v>
      </c>
      <c r="DC327" t="s">
        <v>172</v>
      </c>
      <c r="DD327" t="s">
        <v>172</v>
      </c>
      <c r="DG327" s="1">
        <v>46092</v>
      </c>
      <c r="DH327">
        <v>0</v>
      </c>
      <c r="DI327">
        <v>0</v>
      </c>
      <c r="DK327" t="s">
        <v>179</v>
      </c>
      <c r="DL327" t="s">
        <v>224</v>
      </c>
      <c r="DM327" t="s">
        <v>172</v>
      </c>
      <c r="DN327" t="s">
        <v>225</v>
      </c>
      <c r="DV327" s="3">
        <v>216042.49</v>
      </c>
      <c r="DW327">
        <v>0</v>
      </c>
      <c r="DX327" s="3">
        <v>216042.49</v>
      </c>
      <c r="DY327">
        <v>0</v>
      </c>
      <c r="EF327" s="1">
        <v>46099</v>
      </c>
      <c r="EG327" s="1">
        <v>46098</v>
      </c>
      <c r="EK327" s="1">
        <v>46099</v>
      </c>
      <c r="EL327" s="1">
        <v>46099</v>
      </c>
      <c r="EN327" t="s">
        <v>156</v>
      </c>
      <c r="EP327" s="1">
        <v>46098</v>
      </c>
      <c r="ET327" t="s">
        <v>1074</v>
      </c>
      <c r="EU327" s="1">
        <v>46105</v>
      </c>
      <c r="EW327" s="1">
        <v>46092</v>
      </c>
    </row>
    <row r="328" spans="1:153" ht="246.5" x14ac:dyDescent="0.35">
      <c r="A328" t="str">
        <f>HYPERLINK("https://7lm.cvcrm.com.br/gestor/comercial/reservas/6792/administrar","6792")</f>
        <v>6792</v>
      </c>
      <c r="B328" t="s">
        <v>156</v>
      </c>
      <c r="C328" s="1">
        <v>46091</v>
      </c>
      <c r="D328" s="2">
        <v>0.7938425925925926</v>
      </c>
      <c r="E328" t="s">
        <v>294</v>
      </c>
      <c r="F328" t="s">
        <v>182</v>
      </c>
      <c r="G328" t="s">
        <v>159</v>
      </c>
      <c r="H328" t="s">
        <v>345</v>
      </c>
      <c r="I328" t="s">
        <v>2255</v>
      </c>
      <c r="J328">
        <v>1</v>
      </c>
      <c r="L328">
        <v>30151</v>
      </c>
      <c r="M328" t="s">
        <v>2256</v>
      </c>
      <c r="N328" s="1">
        <v>46126</v>
      </c>
      <c r="O328" s="2">
        <v>0.69230324074074079</v>
      </c>
      <c r="R328" t="str">
        <f>HYPERLINK("https://7lm.cvcrm.com.br/gestor/relatorios/associado/html?q[1|r.idreserva]=6792","RICARDO ROSA DOS SANTOS")</f>
        <v>RICARDO ROSA DOS SANTOS</v>
      </c>
      <c r="S328">
        <v>687991102</v>
      </c>
      <c r="T328">
        <v>5561998833585</v>
      </c>
      <c r="V328" t="s">
        <v>2257</v>
      </c>
      <c r="W328" t="s">
        <v>163</v>
      </c>
      <c r="X328" t="s">
        <v>376</v>
      </c>
      <c r="Y328" t="s">
        <v>189</v>
      </c>
      <c r="Z328" t="s">
        <v>190</v>
      </c>
      <c r="AA328" t="s">
        <v>2258</v>
      </c>
      <c r="AB328" t="s">
        <v>2259</v>
      </c>
      <c r="AC328" t="s">
        <v>534</v>
      </c>
      <c r="AF328" t="s">
        <v>303</v>
      </c>
      <c r="AG328" t="s">
        <v>195</v>
      </c>
      <c r="AH328" s="3">
        <v>240799.34</v>
      </c>
      <c r="AI328" s="3">
        <v>240799.34</v>
      </c>
      <c r="AJ328" s="1">
        <v>46147</v>
      </c>
      <c r="AN328" t="s">
        <v>172</v>
      </c>
      <c r="AR328" s="7" t="s">
        <v>353</v>
      </c>
      <c r="AT328" t="s">
        <v>196</v>
      </c>
      <c r="AU328" t="s">
        <v>292</v>
      </c>
      <c r="AW328">
        <v>0</v>
      </c>
      <c r="AX328" s="1">
        <v>46100</v>
      </c>
      <c r="AY328" s="2">
        <v>0.45618055555555553</v>
      </c>
      <c r="AZ328">
        <v>174640</v>
      </c>
      <c r="BA328" s="1">
        <v>45963</v>
      </c>
      <c r="BC328" t="s">
        <v>213</v>
      </c>
      <c r="BD328" s="1">
        <v>46170</v>
      </c>
      <c r="BE328" t="s">
        <v>317</v>
      </c>
      <c r="BL328" s="4">
        <v>0</v>
      </c>
      <c r="BM328" s="1">
        <v>46899</v>
      </c>
      <c r="BN328" s="1">
        <v>46100</v>
      </c>
      <c r="BO328">
        <v>0</v>
      </c>
      <c r="BP328">
        <v>28803</v>
      </c>
      <c r="BQ328" t="s">
        <v>156</v>
      </c>
      <c r="BR328">
        <v>0</v>
      </c>
      <c r="BS328">
        <v>0</v>
      </c>
      <c r="BT328">
        <v>0</v>
      </c>
      <c r="BU328">
        <v>0</v>
      </c>
      <c r="BV328" s="3">
        <v>240799.34</v>
      </c>
      <c r="BX328">
        <v>0</v>
      </c>
      <c r="BZ328">
        <v>0</v>
      </c>
      <c r="CA328">
        <v>0</v>
      </c>
      <c r="CB328">
        <v>0</v>
      </c>
      <c r="CC328" s="3">
        <v>240799.34</v>
      </c>
      <c r="CD328" s="5">
        <v>0</v>
      </c>
      <c r="CF328" s="6">
        <v>46082</v>
      </c>
      <c r="CH328">
        <v>0</v>
      </c>
      <c r="CI328">
        <v>0</v>
      </c>
      <c r="CJ328">
        <v>0</v>
      </c>
      <c r="CK328">
        <v>0</v>
      </c>
      <c r="CL328">
        <v>0</v>
      </c>
      <c r="CM328">
        <v>0</v>
      </c>
      <c r="CN328">
        <v>0</v>
      </c>
      <c r="CO328">
        <v>0</v>
      </c>
      <c r="CP328">
        <v>0</v>
      </c>
      <c r="CQ328">
        <v>0</v>
      </c>
      <c r="CR328">
        <v>0</v>
      </c>
      <c r="CS328" t="s">
        <v>649</v>
      </c>
      <c r="CT328" t="s">
        <v>190</v>
      </c>
      <c r="CU328" t="s">
        <v>2255</v>
      </c>
      <c r="CW328">
        <v>-50.6355</v>
      </c>
      <c r="CZ328" s="1">
        <v>46091</v>
      </c>
      <c r="DA328" t="s">
        <v>172</v>
      </c>
      <c r="DB328" t="s">
        <v>172</v>
      </c>
      <c r="DC328" t="s">
        <v>172</v>
      </c>
      <c r="DD328" t="s">
        <v>172</v>
      </c>
      <c r="DG328" s="1">
        <v>46091</v>
      </c>
      <c r="DH328">
        <v>0</v>
      </c>
      <c r="DI328">
        <v>0</v>
      </c>
      <c r="DK328" t="s">
        <v>179</v>
      </c>
      <c r="DL328" t="s">
        <v>200</v>
      </c>
      <c r="DM328" t="s">
        <v>172</v>
      </c>
      <c r="DN328" t="s">
        <v>201</v>
      </c>
      <c r="DP328" s="4">
        <v>1.2E-2</v>
      </c>
      <c r="DV328" s="3">
        <v>240799.34</v>
      </c>
      <c r="DW328">
        <v>0</v>
      </c>
      <c r="DX328" s="3">
        <v>240799.34</v>
      </c>
      <c r="DY328">
        <v>0</v>
      </c>
      <c r="EF328" s="1">
        <v>46097</v>
      </c>
      <c r="EG328" s="1">
        <v>46094</v>
      </c>
      <c r="EK328" s="1">
        <v>46097</v>
      </c>
      <c r="EL328" s="1">
        <v>46097</v>
      </c>
      <c r="EM328" s="1">
        <v>46097</v>
      </c>
      <c r="EN328" t="s">
        <v>156</v>
      </c>
      <c r="EP328" s="1">
        <v>46094</v>
      </c>
      <c r="EQ328" s="1">
        <v>46099</v>
      </c>
      <c r="ER328" s="1">
        <v>46093</v>
      </c>
      <c r="ES328" t="s">
        <v>2260</v>
      </c>
      <c r="ET328" t="s">
        <v>2261</v>
      </c>
      <c r="EV328" s="1">
        <v>46099</v>
      </c>
      <c r="EW328" s="1">
        <v>46094</v>
      </c>
    </row>
    <row r="329" spans="1:153" ht="246.5" x14ac:dyDescent="0.35">
      <c r="A329" t="str">
        <f>HYPERLINK("https://7lm.cvcrm.com.br/gestor/comercial/reservas/6791/administrar","6791")</f>
        <v>6791</v>
      </c>
      <c r="B329" t="s">
        <v>156</v>
      </c>
      <c r="C329" s="1">
        <v>46091</v>
      </c>
      <c r="D329" s="2">
        <v>0.78870370370370368</v>
      </c>
      <c r="E329" t="s">
        <v>294</v>
      </c>
      <c r="F329" t="s">
        <v>182</v>
      </c>
      <c r="G329" t="s">
        <v>159</v>
      </c>
      <c r="H329" t="s">
        <v>704</v>
      </c>
      <c r="I329" t="s">
        <v>1423</v>
      </c>
      <c r="J329">
        <v>1</v>
      </c>
      <c r="L329">
        <v>30151</v>
      </c>
      <c r="M329" t="s">
        <v>2262</v>
      </c>
      <c r="N329" s="1">
        <v>46112</v>
      </c>
      <c r="O329" s="2">
        <v>0.55116898148148152</v>
      </c>
      <c r="R329" t="str">
        <f>HYPERLINK("https://7lm.cvcrm.com.br/gestor/relatorios/associado/html?q[1|r.idreserva]=6791","STEFANY GRAZIELLY PEREIRA MELO")</f>
        <v>STEFANY GRAZIELLY PEREIRA MELO</v>
      </c>
      <c r="S329">
        <v>8895471148</v>
      </c>
      <c r="T329">
        <v>556999635522</v>
      </c>
      <c r="V329" t="s">
        <v>2263</v>
      </c>
      <c r="W329" t="s">
        <v>187</v>
      </c>
      <c r="X329" t="s">
        <v>366</v>
      </c>
      <c r="Y329" t="s">
        <v>189</v>
      </c>
      <c r="Z329" t="s">
        <v>190</v>
      </c>
      <c r="AA329" t="s">
        <v>2264</v>
      </c>
      <c r="AB329" t="s">
        <v>2265</v>
      </c>
      <c r="AC329" t="s">
        <v>1251</v>
      </c>
      <c r="AD329" t="s">
        <v>1251</v>
      </c>
      <c r="AF329" t="s">
        <v>250</v>
      </c>
      <c r="AG329" t="s">
        <v>251</v>
      </c>
      <c r="AH329" s="3">
        <v>240656.62</v>
      </c>
      <c r="AI329" s="3">
        <v>240656.62</v>
      </c>
      <c r="AJ329" s="1">
        <v>46129</v>
      </c>
      <c r="AN329" t="s">
        <v>172</v>
      </c>
      <c r="AR329" s="7" t="s">
        <v>353</v>
      </c>
      <c r="AT329" t="s">
        <v>261</v>
      </c>
      <c r="AU329" t="s">
        <v>175</v>
      </c>
      <c r="AW329">
        <v>0</v>
      </c>
      <c r="AX329" s="1">
        <v>46112</v>
      </c>
      <c r="AY329" s="2">
        <v>0.58321759259259254</v>
      </c>
      <c r="AZ329">
        <v>194656</v>
      </c>
      <c r="BA329" s="1">
        <v>46091</v>
      </c>
      <c r="BC329" t="s">
        <v>0</v>
      </c>
      <c r="BD329" s="1">
        <v>46091</v>
      </c>
      <c r="BE329" t="s">
        <v>213</v>
      </c>
      <c r="BL329" s="4">
        <v>0</v>
      </c>
      <c r="BM329" s="1">
        <v>46899</v>
      </c>
      <c r="BN329" s="1">
        <v>46112</v>
      </c>
      <c r="BO329">
        <v>0</v>
      </c>
      <c r="BP329">
        <v>29495</v>
      </c>
      <c r="BQ329" t="s">
        <v>156</v>
      </c>
      <c r="BR329">
        <v>0</v>
      </c>
      <c r="BS329">
        <v>0</v>
      </c>
      <c r="BT329">
        <v>0</v>
      </c>
      <c r="BU329">
        <v>0</v>
      </c>
      <c r="BV329" s="3">
        <v>240656.62</v>
      </c>
      <c r="BX329">
        <v>0</v>
      </c>
      <c r="BZ329">
        <v>0</v>
      </c>
      <c r="CA329">
        <v>0</v>
      </c>
      <c r="CB329">
        <v>0</v>
      </c>
      <c r="CC329" s="3">
        <v>240656.62</v>
      </c>
      <c r="CD329" s="5">
        <v>0</v>
      </c>
      <c r="CF329" s="6">
        <v>46082</v>
      </c>
      <c r="CH329">
        <v>0</v>
      </c>
      <c r="CI329">
        <v>0</v>
      </c>
      <c r="CJ329">
        <v>0</v>
      </c>
      <c r="CK329">
        <v>0</v>
      </c>
      <c r="CL329">
        <v>0</v>
      </c>
      <c r="CM329">
        <v>0</v>
      </c>
      <c r="CN329">
        <v>0</v>
      </c>
      <c r="CO329">
        <v>0</v>
      </c>
      <c r="CP329">
        <v>0</v>
      </c>
      <c r="CQ329">
        <v>0</v>
      </c>
      <c r="CR329">
        <v>0</v>
      </c>
      <c r="CS329" t="s">
        <v>360</v>
      </c>
      <c r="CT329" t="s">
        <v>190</v>
      </c>
      <c r="CU329" t="s">
        <v>1423</v>
      </c>
      <c r="CW329">
        <v>-52.019399999999997</v>
      </c>
      <c r="CZ329" s="1">
        <v>46091</v>
      </c>
      <c r="DA329" t="s">
        <v>172</v>
      </c>
      <c r="DB329" t="s">
        <v>172</v>
      </c>
      <c r="DC329" t="s">
        <v>172</v>
      </c>
      <c r="DD329" t="s">
        <v>172</v>
      </c>
      <c r="DG329" s="1">
        <v>46091</v>
      </c>
      <c r="DH329">
        <v>0</v>
      </c>
      <c r="DI329">
        <v>0</v>
      </c>
      <c r="DK329" t="s">
        <v>179</v>
      </c>
      <c r="DL329" t="s">
        <v>200</v>
      </c>
      <c r="DM329" t="s">
        <v>172</v>
      </c>
      <c r="DN329" t="s">
        <v>201</v>
      </c>
      <c r="DV329" s="3">
        <v>240656.62</v>
      </c>
      <c r="DW329">
        <v>0</v>
      </c>
      <c r="DX329" s="3">
        <v>240656.62</v>
      </c>
      <c r="DY329">
        <v>0</v>
      </c>
      <c r="EG329" s="1">
        <v>46111</v>
      </c>
      <c r="EN329" t="s">
        <v>172</v>
      </c>
      <c r="ER329" s="1">
        <v>46108</v>
      </c>
      <c r="ES329" t="s">
        <v>2266</v>
      </c>
      <c r="ET329" t="s">
        <v>2236</v>
      </c>
      <c r="EU329" s="1">
        <v>46104</v>
      </c>
    </row>
    <row r="330" spans="1:153" ht="246.5" x14ac:dyDescent="0.35">
      <c r="A330" t="str">
        <f>HYPERLINK("https://7lm.cvcrm.com.br/gestor/comercial/reservas/6790/administrar","6790")</f>
        <v>6790</v>
      </c>
      <c r="B330" t="s">
        <v>156</v>
      </c>
      <c r="C330" s="1">
        <v>46091</v>
      </c>
      <c r="D330" s="2">
        <v>0.7668518518518519</v>
      </c>
      <c r="E330" t="s">
        <v>294</v>
      </c>
      <c r="F330" t="s">
        <v>182</v>
      </c>
      <c r="G330" t="s">
        <v>159</v>
      </c>
      <c r="H330" t="s">
        <v>241</v>
      </c>
      <c r="I330" t="s">
        <v>2267</v>
      </c>
      <c r="J330">
        <v>1</v>
      </c>
      <c r="L330">
        <v>30151</v>
      </c>
      <c r="M330" t="s">
        <v>2268</v>
      </c>
      <c r="N330" s="1">
        <v>46094</v>
      </c>
      <c r="O330" s="2">
        <v>0.64193287037037039</v>
      </c>
      <c r="R330" t="str">
        <f>HYPERLINK("https://7lm.cvcrm.com.br/gestor/relatorios/associado/html?q[1|r.idreserva]=6790","WILLIAN FERREIRA D ABADIA JUNIOR")</f>
        <v>WILLIAN FERREIRA D ABADIA JUNIOR</v>
      </c>
      <c r="S330">
        <v>70927172135</v>
      </c>
      <c r="T330">
        <v>5561998569794</v>
      </c>
      <c r="V330" t="s">
        <v>2269</v>
      </c>
      <c r="W330" t="s">
        <v>163</v>
      </c>
      <c r="X330" t="s">
        <v>376</v>
      </c>
      <c r="Y330" t="s">
        <v>189</v>
      </c>
      <c r="Z330" t="s">
        <v>190</v>
      </c>
      <c r="AA330" t="s">
        <v>799</v>
      </c>
      <c r="AB330" t="s">
        <v>2270</v>
      </c>
      <c r="AC330" t="s">
        <v>917</v>
      </c>
      <c r="AF330" t="s">
        <v>194</v>
      </c>
      <c r="AG330" t="s">
        <v>195</v>
      </c>
      <c r="AH330" s="3">
        <v>245656.52</v>
      </c>
      <c r="AI330" s="3">
        <v>245656.52</v>
      </c>
      <c r="AJ330" s="1">
        <v>46091</v>
      </c>
      <c r="AN330" t="s">
        <v>172</v>
      </c>
      <c r="AR330" s="7" t="s">
        <v>353</v>
      </c>
      <c r="AT330" t="s">
        <v>196</v>
      </c>
      <c r="AU330" t="s">
        <v>335</v>
      </c>
      <c r="AW330">
        <v>0</v>
      </c>
      <c r="AX330" s="1">
        <v>46106</v>
      </c>
      <c r="AY330" s="2">
        <v>0.42501157407407408</v>
      </c>
      <c r="AZ330">
        <v>193909</v>
      </c>
      <c r="BA330" s="1">
        <v>46087</v>
      </c>
      <c r="BC330" t="s">
        <v>0</v>
      </c>
      <c r="BD330" s="1">
        <v>46091</v>
      </c>
      <c r="BE330" t="s">
        <v>198</v>
      </c>
      <c r="BL330" s="4">
        <v>0</v>
      </c>
      <c r="BM330" s="1">
        <v>46899</v>
      </c>
      <c r="BN330" s="1">
        <v>46106</v>
      </c>
      <c r="BO330">
        <v>0</v>
      </c>
      <c r="BP330">
        <v>29436</v>
      </c>
      <c r="BQ330" t="s">
        <v>156</v>
      </c>
      <c r="BR330" s="3">
        <v>135901.44</v>
      </c>
      <c r="BS330" s="3">
        <v>25088</v>
      </c>
      <c r="BT330">
        <v>0</v>
      </c>
      <c r="BU330" s="3">
        <v>160989.44</v>
      </c>
      <c r="BV330" s="3">
        <v>245656.52</v>
      </c>
      <c r="BX330">
        <v>0</v>
      </c>
      <c r="BZ330">
        <v>0</v>
      </c>
      <c r="CA330">
        <v>0</v>
      </c>
      <c r="CB330">
        <v>0</v>
      </c>
      <c r="CC330" s="3">
        <v>245656.52</v>
      </c>
      <c r="CD330" s="5">
        <v>0</v>
      </c>
      <c r="CF330" s="6">
        <v>46082</v>
      </c>
      <c r="CH330">
        <v>0</v>
      </c>
      <c r="CI330">
        <v>0</v>
      </c>
      <c r="CJ330">
        <v>0</v>
      </c>
      <c r="CK330">
        <v>0</v>
      </c>
      <c r="CL330">
        <v>0</v>
      </c>
      <c r="CM330">
        <v>0</v>
      </c>
      <c r="CN330">
        <v>0</v>
      </c>
      <c r="CO330">
        <v>0</v>
      </c>
      <c r="CP330">
        <v>0</v>
      </c>
      <c r="CQ330">
        <v>0</v>
      </c>
      <c r="CR330">
        <v>0</v>
      </c>
      <c r="CS330" t="s">
        <v>360</v>
      </c>
      <c r="CT330" t="s">
        <v>190</v>
      </c>
      <c r="CU330" t="s">
        <v>2267</v>
      </c>
      <c r="CW330">
        <v>-50.6708</v>
      </c>
      <c r="CZ330" s="1">
        <v>46091</v>
      </c>
      <c r="DA330" t="s">
        <v>172</v>
      </c>
      <c r="DB330" t="s">
        <v>172</v>
      </c>
      <c r="DC330" t="s">
        <v>172</v>
      </c>
      <c r="DD330" t="s">
        <v>172</v>
      </c>
      <c r="DG330" s="1">
        <v>46091</v>
      </c>
      <c r="DH330">
        <v>0</v>
      </c>
      <c r="DI330">
        <v>0</v>
      </c>
      <c r="DK330" t="s">
        <v>179</v>
      </c>
      <c r="DL330" t="s">
        <v>200</v>
      </c>
      <c r="DM330" t="s">
        <v>172</v>
      </c>
      <c r="DN330" t="s">
        <v>201</v>
      </c>
      <c r="DV330" s="3">
        <v>245656.52</v>
      </c>
      <c r="DW330">
        <v>0</v>
      </c>
      <c r="DX330" s="3">
        <v>245656.52</v>
      </c>
      <c r="DY330">
        <v>0</v>
      </c>
      <c r="EF330" s="1">
        <v>46094</v>
      </c>
      <c r="EG330" s="1">
        <v>46093</v>
      </c>
      <c r="EK330" s="1">
        <v>46094</v>
      </c>
      <c r="EL330" s="1">
        <v>46094</v>
      </c>
      <c r="EN330" t="s">
        <v>156</v>
      </c>
      <c r="EP330" s="1">
        <v>46098</v>
      </c>
      <c r="EQ330" s="1">
        <v>46099</v>
      </c>
      <c r="ER330" s="1">
        <v>46094</v>
      </c>
      <c r="ES330" t="s">
        <v>2271</v>
      </c>
      <c r="ET330" t="s">
        <v>1930</v>
      </c>
      <c r="EU330" s="1">
        <v>46094</v>
      </c>
      <c r="EV330" s="1">
        <v>46099</v>
      </c>
      <c r="EW330" s="1">
        <v>46091</v>
      </c>
    </row>
    <row r="331" spans="1:153" ht="246.5" x14ac:dyDescent="0.35">
      <c r="A331" t="str">
        <f>HYPERLINK("https://7lm.cvcrm.com.br/gestor/comercial/reservas/6789/administrar","6789")</f>
        <v>6789</v>
      </c>
      <c r="B331" t="s">
        <v>156</v>
      </c>
      <c r="C331" s="1">
        <v>46091</v>
      </c>
      <c r="D331" s="2">
        <v>0.76349537037037041</v>
      </c>
      <c r="E331" t="s">
        <v>294</v>
      </c>
      <c r="F331" t="s">
        <v>182</v>
      </c>
      <c r="G331" t="s">
        <v>159</v>
      </c>
      <c r="H331" t="s">
        <v>372</v>
      </c>
      <c r="I331" t="s">
        <v>2272</v>
      </c>
      <c r="J331">
        <v>1</v>
      </c>
      <c r="L331">
        <v>30151</v>
      </c>
      <c r="M331" t="s">
        <v>2273</v>
      </c>
      <c r="N331" s="1">
        <v>46126</v>
      </c>
      <c r="O331" s="2">
        <v>0.68638888888888894</v>
      </c>
      <c r="R331" t="str">
        <f>HYPERLINK("https://7lm.cvcrm.com.br/gestor/relatorios/associado/html?q[1|r.idreserva]=6789","EMANUEL LORIANO BRITO")</f>
        <v>EMANUEL LORIANO BRITO</v>
      </c>
      <c r="S331">
        <v>71405646128</v>
      </c>
      <c r="T331">
        <v>5561998920375</v>
      </c>
      <c r="V331" t="s">
        <v>2274</v>
      </c>
      <c r="W331" t="s">
        <v>163</v>
      </c>
      <c r="X331" t="s">
        <v>299</v>
      </c>
      <c r="Y331" t="s">
        <v>189</v>
      </c>
      <c r="Z331" t="s">
        <v>190</v>
      </c>
      <c r="AA331" t="s">
        <v>532</v>
      </c>
      <c r="AB331" t="s">
        <v>2275</v>
      </c>
      <c r="AC331" t="s">
        <v>2276</v>
      </c>
      <c r="AD331" t="s">
        <v>2277</v>
      </c>
      <c r="AF331" t="s">
        <v>303</v>
      </c>
      <c r="AG331" t="s">
        <v>251</v>
      </c>
      <c r="AH331" s="3">
        <v>240655.97</v>
      </c>
      <c r="AI331" s="3">
        <v>240655.97</v>
      </c>
      <c r="AJ331" s="1">
        <v>46167</v>
      </c>
      <c r="AN331" t="s">
        <v>172</v>
      </c>
      <c r="AR331" s="7" t="s">
        <v>353</v>
      </c>
      <c r="AT331" t="s">
        <v>196</v>
      </c>
      <c r="AU331" t="s">
        <v>292</v>
      </c>
      <c r="AW331">
        <v>0</v>
      </c>
      <c r="AX331" s="1">
        <v>46100</v>
      </c>
      <c r="AY331" s="2">
        <v>0.46149305555555553</v>
      </c>
      <c r="AZ331">
        <v>194390</v>
      </c>
      <c r="BA331" s="1">
        <v>46090</v>
      </c>
      <c r="BC331" t="s">
        <v>0</v>
      </c>
      <c r="BD331" s="1">
        <v>46091</v>
      </c>
      <c r="BE331" t="s">
        <v>176</v>
      </c>
      <c r="BL331" s="4">
        <v>0</v>
      </c>
      <c r="BM331" s="1">
        <v>46899</v>
      </c>
      <c r="BN331" s="1">
        <v>46100</v>
      </c>
      <c r="BO331">
        <v>0</v>
      </c>
      <c r="BP331">
        <v>29395</v>
      </c>
      <c r="BQ331" t="s">
        <v>156</v>
      </c>
      <c r="BR331" s="3">
        <v>134341.45000000001</v>
      </c>
      <c r="BS331" s="3">
        <v>24961</v>
      </c>
      <c r="BT331">
        <v>0</v>
      </c>
      <c r="BU331" s="3">
        <v>159302.45000000001</v>
      </c>
      <c r="BV331" s="3">
        <v>240655.97</v>
      </c>
      <c r="BX331">
        <v>0</v>
      </c>
      <c r="BZ331">
        <v>0</v>
      </c>
      <c r="CA331">
        <v>0</v>
      </c>
      <c r="CB331">
        <v>0</v>
      </c>
      <c r="CC331" s="3">
        <v>240655.97</v>
      </c>
      <c r="CD331" s="5">
        <v>0</v>
      </c>
      <c r="CF331" s="6">
        <v>46082</v>
      </c>
      <c r="CH331">
        <v>0</v>
      </c>
      <c r="CI331">
        <v>0</v>
      </c>
      <c r="CJ331">
        <v>0</v>
      </c>
      <c r="CK331">
        <v>0</v>
      </c>
      <c r="CL331">
        <v>0</v>
      </c>
      <c r="CM331">
        <v>0</v>
      </c>
      <c r="CN331">
        <v>0</v>
      </c>
      <c r="CO331">
        <v>0</v>
      </c>
      <c r="CP331">
        <v>0</v>
      </c>
      <c r="CQ331">
        <v>0</v>
      </c>
      <c r="CR331">
        <v>0</v>
      </c>
      <c r="CS331" t="s">
        <v>649</v>
      </c>
      <c r="CT331" t="s">
        <v>190</v>
      </c>
      <c r="CU331" t="s">
        <v>2272</v>
      </c>
      <c r="CW331">
        <v>-50.931699999999999</v>
      </c>
      <c r="CZ331" s="1">
        <v>46091</v>
      </c>
      <c r="DA331" t="s">
        <v>172</v>
      </c>
      <c r="DB331" t="s">
        <v>172</v>
      </c>
      <c r="DC331" t="s">
        <v>172</v>
      </c>
      <c r="DD331" t="s">
        <v>172</v>
      </c>
      <c r="DG331" s="1">
        <v>46091</v>
      </c>
      <c r="DH331">
        <v>0</v>
      </c>
      <c r="DI331">
        <v>0</v>
      </c>
      <c r="DK331" t="s">
        <v>179</v>
      </c>
      <c r="DL331" t="s">
        <v>200</v>
      </c>
      <c r="DM331" t="s">
        <v>172</v>
      </c>
      <c r="DN331" t="s">
        <v>201</v>
      </c>
      <c r="DV331" s="3">
        <v>240655.97</v>
      </c>
      <c r="DW331">
        <v>0</v>
      </c>
      <c r="DX331" s="3">
        <v>240655.97</v>
      </c>
      <c r="DY331">
        <v>0</v>
      </c>
      <c r="EG331" s="1">
        <v>46097</v>
      </c>
      <c r="EN331" t="s">
        <v>156</v>
      </c>
      <c r="EP331" s="1">
        <v>46098</v>
      </c>
      <c r="EQ331" s="1">
        <v>46097</v>
      </c>
      <c r="EU331" s="1">
        <v>46094</v>
      </c>
      <c r="EV331" s="1">
        <v>46097</v>
      </c>
      <c r="EW331" s="1">
        <v>46091</v>
      </c>
    </row>
    <row r="332" spans="1:153" x14ac:dyDescent="0.35">
      <c r="A332" t="str">
        <f>HYPERLINK("https://7lm.cvcrm.com.br/gestor/comercial/reservas/6788/administrar","6788")</f>
        <v>6788</v>
      </c>
      <c r="B332" t="s">
        <v>172</v>
      </c>
      <c r="C332" s="1">
        <v>46091</v>
      </c>
      <c r="D332" s="2">
        <v>0.74922453703703706</v>
      </c>
      <c r="E332" t="s">
        <v>527</v>
      </c>
      <c r="F332" t="s">
        <v>182</v>
      </c>
      <c r="G332" t="s">
        <v>159</v>
      </c>
      <c r="H332" t="s">
        <v>975</v>
      </c>
      <c r="I332" t="s">
        <v>1188</v>
      </c>
      <c r="J332">
        <v>1</v>
      </c>
      <c r="L332">
        <v>30151</v>
      </c>
      <c r="M332" t="s">
        <v>2278</v>
      </c>
      <c r="R332" t="str">
        <f>HYPERLINK("https://7lm.cvcrm.com.br/gestor/relatorios/associado/html?q[1|r.idreserva]=6788","PAULO RICARDO REIS DA SILVA")</f>
        <v>PAULO RICARDO REIS DA SILVA</v>
      </c>
      <c r="S332">
        <v>70820435112</v>
      </c>
      <c r="T332">
        <v>5561992570467</v>
      </c>
      <c r="V332" t="s">
        <v>2279</v>
      </c>
      <c r="W332" t="s">
        <v>163</v>
      </c>
      <c r="X332" t="s">
        <v>2280</v>
      </c>
      <c r="Y332" t="s">
        <v>189</v>
      </c>
      <c r="Z332" t="s">
        <v>2281</v>
      </c>
      <c r="AA332" t="s">
        <v>2282</v>
      </c>
      <c r="AB332" t="s">
        <v>2283</v>
      </c>
      <c r="AC332" t="s">
        <v>598</v>
      </c>
      <c r="AD332" t="s">
        <v>598</v>
      </c>
      <c r="AF332" t="s">
        <v>250</v>
      </c>
      <c r="AG332" t="s">
        <v>251</v>
      </c>
      <c r="AH332" s="3">
        <v>261000.25</v>
      </c>
      <c r="AI332" s="3">
        <v>261000.25</v>
      </c>
      <c r="AJ332" s="1">
        <v>46122</v>
      </c>
      <c r="AN332" t="s">
        <v>172</v>
      </c>
      <c r="AO332" t="s">
        <v>1368</v>
      </c>
      <c r="AR332" t="s">
        <v>2284</v>
      </c>
      <c r="AT332" t="s">
        <v>173</v>
      </c>
      <c r="AU332" t="s">
        <v>175</v>
      </c>
      <c r="AW332">
        <v>0</v>
      </c>
      <c r="AX332" s="1">
        <v>46118</v>
      </c>
      <c r="AY332" s="2">
        <v>0.44332175925925926</v>
      </c>
      <c r="AZ332">
        <v>86500</v>
      </c>
      <c r="BA332" s="1">
        <v>45033</v>
      </c>
      <c r="BB332" s="1">
        <v>46091</v>
      </c>
      <c r="BC332" t="s">
        <v>0</v>
      </c>
      <c r="BD332" s="1">
        <v>46091</v>
      </c>
      <c r="BE332" t="s">
        <v>317</v>
      </c>
      <c r="BL332" s="4">
        <v>0</v>
      </c>
      <c r="BM332" s="1">
        <v>46899</v>
      </c>
      <c r="BO332">
        <v>0</v>
      </c>
      <c r="BP332">
        <v>29494</v>
      </c>
      <c r="BQ332" t="s">
        <v>156</v>
      </c>
      <c r="BR332">
        <v>0</v>
      </c>
      <c r="BS332">
        <v>0</v>
      </c>
      <c r="BT332">
        <v>0</v>
      </c>
      <c r="BU332">
        <v>0</v>
      </c>
      <c r="BV332" s="3">
        <v>261000.25</v>
      </c>
      <c r="BX332">
        <v>0</v>
      </c>
      <c r="BZ332">
        <v>0</v>
      </c>
      <c r="CA332">
        <v>0</v>
      </c>
      <c r="CB332">
        <v>0</v>
      </c>
      <c r="CC332" s="3">
        <v>261000.25</v>
      </c>
      <c r="CD332" s="5">
        <v>0</v>
      </c>
      <c r="CF332" s="6">
        <v>46113</v>
      </c>
      <c r="CH332">
        <v>0</v>
      </c>
      <c r="CI332">
        <v>0</v>
      </c>
      <c r="CJ332">
        <v>0</v>
      </c>
      <c r="CK332">
        <v>0</v>
      </c>
      <c r="CL332">
        <v>0</v>
      </c>
      <c r="CM332">
        <v>0</v>
      </c>
      <c r="CN332">
        <v>0</v>
      </c>
      <c r="CO332">
        <v>0</v>
      </c>
      <c r="CP332">
        <v>0</v>
      </c>
      <c r="CQ332">
        <v>0</v>
      </c>
      <c r="CR332">
        <v>0</v>
      </c>
      <c r="CT332" t="s">
        <v>190</v>
      </c>
      <c r="CU332" t="s">
        <v>1188</v>
      </c>
      <c r="CW332">
        <v>0</v>
      </c>
      <c r="CZ332" s="1">
        <v>46091</v>
      </c>
      <c r="DA332" t="s">
        <v>172</v>
      </c>
      <c r="DB332" t="s">
        <v>172</v>
      </c>
      <c r="DC332" t="s">
        <v>172</v>
      </c>
      <c r="DD332" t="s">
        <v>172</v>
      </c>
      <c r="DG332" s="1">
        <v>46091</v>
      </c>
      <c r="DH332">
        <v>0</v>
      </c>
      <c r="DI332">
        <v>0</v>
      </c>
      <c r="DK332" t="s">
        <v>179</v>
      </c>
      <c r="DL332" t="s">
        <v>200</v>
      </c>
      <c r="DM332" t="s">
        <v>172</v>
      </c>
      <c r="DN332" t="s">
        <v>511</v>
      </c>
      <c r="DV332" s="3">
        <v>261000.25</v>
      </c>
      <c r="DW332">
        <v>0</v>
      </c>
      <c r="DX332" s="3">
        <v>261000.25</v>
      </c>
      <c r="DY332">
        <v>0</v>
      </c>
      <c r="EN332" t="s">
        <v>537</v>
      </c>
      <c r="ET332" t="s">
        <v>2285</v>
      </c>
    </row>
    <row r="333" spans="1:153" ht="246.5" x14ac:dyDescent="0.35">
      <c r="A333" t="str">
        <f>HYPERLINK("https://7lm.cvcrm.com.br/gestor/comercial/reservas/6787/administrar","6787")</f>
        <v>6787</v>
      </c>
      <c r="B333" t="s">
        <v>156</v>
      </c>
      <c r="C333" s="1">
        <v>46091</v>
      </c>
      <c r="D333" s="2">
        <v>0.70737268518518515</v>
      </c>
      <c r="E333" t="s">
        <v>294</v>
      </c>
      <c r="F333" t="s">
        <v>957</v>
      </c>
      <c r="G333" t="s">
        <v>159</v>
      </c>
      <c r="H333" t="s">
        <v>636</v>
      </c>
      <c r="I333" t="s">
        <v>2286</v>
      </c>
      <c r="J333">
        <v>1</v>
      </c>
      <c r="L333">
        <v>30121</v>
      </c>
      <c r="M333" t="s">
        <v>2287</v>
      </c>
      <c r="N333" s="1">
        <v>46100</v>
      </c>
      <c r="O333" s="2">
        <v>0.64539351851851856</v>
      </c>
      <c r="R333" t="str">
        <f>HYPERLINK("https://7lm.cvcrm.com.br/gestor/relatorios/associado/html?q[1|r.idreserva]=6787","HIGOR JUNIOR PEREIRA DE BARROS")</f>
        <v>HIGOR JUNIOR PEREIRA DE BARROS</v>
      </c>
      <c r="S333">
        <v>6361742121</v>
      </c>
      <c r="T333">
        <v>5562999120551</v>
      </c>
      <c r="V333" t="s">
        <v>2288</v>
      </c>
      <c r="W333" t="s">
        <v>163</v>
      </c>
      <c r="X333" t="s">
        <v>188</v>
      </c>
      <c r="Y333" t="s">
        <v>189</v>
      </c>
      <c r="Z333" t="s">
        <v>2289</v>
      </c>
      <c r="AA333" t="s">
        <v>423</v>
      </c>
      <c r="AB333" t="s">
        <v>2290</v>
      </c>
      <c r="AC333" t="s">
        <v>2291</v>
      </c>
      <c r="AF333" t="s">
        <v>194</v>
      </c>
      <c r="AG333" t="s">
        <v>251</v>
      </c>
      <c r="AH333" s="3">
        <v>254000.08</v>
      </c>
      <c r="AI333" s="3">
        <v>254000.08</v>
      </c>
      <c r="AJ333" s="1">
        <v>46157</v>
      </c>
      <c r="AN333" t="s">
        <v>172</v>
      </c>
      <c r="AR333" s="7" t="s">
        <v>353</v>
      </c>
      <c r="AT333" t="s">
        <v>261</v>
      </c>
      <c r="AU333" t="s">
        <v>292</v>
      </c>
      <c r="AW333">
        <v>0</v>
      </c>
      <c r="AX333" s="1">
        <v>46106</v>
      </c>
      <c r="AY333" s="2">
        <v>0.4334722222222222</v>
      </c>
      <c r="AZ333">
        <v>186265</v>
      </c>
      <c r="BA333" s="1">
        <v>46048</v>
      </c>
      <c r="BC333" t="s">
        <v>0</v>
      </c>
      <c r="BD333" s="1">
        <v>46091</v>
      </c>
      <c r="BE333" t="s">
        <v>176</v>
      </c>
      <c r="BL333" s="4">
        <v>0</v>
      </c>
      <c r="BM333" s="1">
        <v>47031</v>
      </c>
      <c r="BN333" s="1">
        <v>46106</v>
      </c>
      <c r="BO333">
        <v>0</v>
      </c>
      <c r="BP333">
        <v>29061</v>
      </c>
      <c r="BQ333" t="s">
        <v>156</v>
      </c>
      <c r="BR333" s="3">
        <v>179596.93</v>
      </c>
      <c r="BS333" s="3">
        <v>2878</v>
      </c>
      <c r="BT333">
        <v>0</v>
      </c>
      <c r="BU333" s="3">
        <v>182474.93</v>
      </c>
      <c r="BV333" s="3">
        <v>254000.08</v>
      </c>
      <c r="BX333">
        <v>0</v>
      </c>
      <c r="BZ333">
        <v>0</v>
      </c>
      <c r="CA333">
        <v>0</v>
      </c>
      <c r="CB333">
        <v>0</v>
      </c>
      <c r="CC333" s="3">
        <v>254000.08</v>
      </c>
      <c r="CD333" s="5">
        <v>0</v>
      </c>
      <c r="CF333" s="6">
        <v>46082</v>
      </c>
      <c r="CH333">
        <v>0</v>
      </c>
      <c r="CI333">
        <v>0</v>
      </c>
      <c r="CJ333">
        <v>0</v>
      </c>
      <c r="CK333">
        <v>0</v>
      </c>
      <c r="CL333">
        <v>0</v>
      </c>
      <c r="CM333">
        <v>0</v>
      </c>
      <c r="CN333">
        <v>0</v>
      </c>
      <c r="CO333">
        <v>0</v>
      </c>
      <c r="CP333">
        <v>0</v>
      </c>
      <c r="CQ333">
        <v>0</v>
      </c>
      <c r="CR333">
        <v>0</v>
      </c>
      <c r="CS333" t="s">
        <v>199</v>
      </c>
      <c r="CT333" t="s">
        <v>190</v>
      </c>
      <c r="CU333" t="s">
        <v>2286</v>
      </c>
      <c r="CW333">
        <v>-49.940899999999999</v>
      </c>
      <c r="CZ333" s="1">
        <v>46091</v>
      </c>
      <c r="DA333" t="s">
        <v>172</v>
      </c>
      <c r="DB333" t="s">
        <v>172</v>
      </c>
      <c r="DC333" t="s">
        <v>172</v>
      </c>
      <c r="DD333" t="s">
        <v>172</v>
      </c>
      <c r="DG333" s="1">
        <v>46091</v>
      </c>
      <c r="DH333">
        <v>0</v>
      </c>
      <c r="DI333">
        <v>0</v>
      </c>
      <c r="DL333" t="s">
        <v>963</v>
      </c>
      <c r="DM333" t="s">
        <v>172</v>
      </c>
      <c r="DN333" t="s">
        <v>201</v>
      </c>
      <c r="DV333" s="3">
        <v>254000.08</v>
      </c>
      <c r="DW333">
        <v>0</v>
      </c>
      <c r="DX333" s="3">
        <v>254000.08</v>
      </c>
      <c r="DY333">
        <v>0</v>
      </c>
      <c r="EG333" s="1">
        <v>46101</v>
      </c>
      <c r="EN333" t="s">
        <v>156</v>
      </c>
      <c r="EP333" s="1">
        <v>46101</v>
      </c>
      <c r="ER333" s="1">
        <v>46100</v>
      </c>
      <c r="ES333" t="s">
        <v>2292</v>
      </c>
      <c r="ET333" t="s">
        <v>2293</v>
      </c>
      <c r="EU333" s="1">
        <v>46101</v>
      </c>
      <c r="EW333" s="1">
        <v>46091</v>
      </c>
    </row>
    <row r="334" spans="1:153" ht="101.5" x14ac:dyDescent="0.35">
      <c r="A334" t="str">
        <f>HYPERLINK("https://7lm.cvcrm.com.br/gestor/comercial/reservas/6786/administrar","6786")</f>
        <v>6786</v>
      </c>
      <c r="B334" t="s">
        <v>172</v>
      </c>
      <c r="C334" s="1">
        <v>46091</v>
      </c>
      <c r="D334" s="2">
        <v>0.68158564814814815</v>
      </c>
      <c r="E334" t="s">
        <v>527</v>
      </c>
      <c r="F334" t="s">
        <v>957</v>
      </c>
      <c r="G334" t="s">
        <v>159</v>
      </c>
      <c r="H334" t="s">
        <v>183</v>
      </c>
      <c r="I334" t="s">
        <v>1837</v>
      </c>
      <c r="J334">
        <v>1</v>
      </c>
      <c r="L334">
        <v>30121</v>
      </c>
      <c r="M334" t="s">
        <v>1838</v>
      </c>
      <c r="R334" t="str">
        <f>HYPERLINK("https://7lm.cvcrm.com.br/gestor/relatorios/associado/html?q[1|r.idreserva]=6786","LOISLENE MARTINS DOS SANTOS")</f>
        <v>LOISLENE MARTINS DOS SANTOS</v>
      </c>
      <c r="S334">
        <v>5756999140</v>
      </c>
      <c r="T334">
        <v>5561998610861</v>
      </c>
      <c r="V334" t="s">
        <v>2294</v>
      </c>
      <c r="W334" t="s">
        <v>187</v>
      </c>
      <c r="X334" t="s">
        <v>288</v>
      </c>
      <c r="Y334" t="s">
        <v>189</v>
      </c>
      <c r="Z334" t="s">
        <v>2295</v>
      </c>
      <c r="AA334" t="s">
        <v>2296</v>
      </c>
      <c r="AB334" t="s">
        <v>2297</v>
      </c>
      <c r="AC334" t="s">
        <v>379</v>
      </c>
      <c r="AD334" t="s">
        <v>379</v>
      </c>
      <c r="AF334" t="s">
        <v>352</v>
      </c>
      <c r="AG334" t="s">
        <v>251</v>
      </c>
      <c r="AH334" s="3">
        <v>259999.54</v>
      </c>
      <c r="AI334" s="3">
        <v>259999.54</v>
      </c>
      <c r="AJ334" s="1">
        <v>46122</v>
      </c>
      <c r="AN334" t="s">
        <v>172</v>
      </c>
      <c r="AO334" t="s">
        <v>2109</v>
      </c>
      <c r="AR334" s="7" t="s">
        <v>2298</v>
      </c>
      <c r="AT334" t="s">
        <v>196</v>
      </c>
      <c r="AU334" t="s">
        <v>292</v>
      </c>
      <c r="AW334">
        <v>0</v>
      </c>
      <c r="AX334" s="1">
        <v>46094</v>
      </c>
      <c r="AY334" s="2">
        <v>0.70052083333333337</v>
      </c>
      <c r="AZ334" t="s">
        <v>2299</v>
      </c>
      <c r="BA334" t="s">
        <v>2300</v>
      </c>
      <c r="BB334" t="s">
        <v>356</v>
      </c>
      <c r="BC334" t="s">
        <v>850</v>
      </c>
      <c r="BD334" t="s">
        <v>2300</v>
      </c>
      <c r="BE334" t="s">
        <v>2301</v>
      </c>
      <c r="BL334" s="4">
        <v>0</v>
      </c>
      <c r="BM334" s="1">
        <v>47031</v>
      </c>
      <c r="BO334">
        <v>0</v>
      </c>
      <c r="BP334">
        <v>29371</v>
      </c>
      <c r="BQ334" t="s">
        <v>156</v>
      </c>
      <c r="BR334" s="3">
        <v>145303.34</v>
      </c>
      <c r="BS334" s="3">
        <v>19009</v>
      </c>
      <c r="BT334">
        <v>0</v>
      </c>
      <c r="BU334" s="3">
        <v>164312.34</v>
      </c>
      <c r="BV334" s="3">
        <v>259999.54</v>
      </c>
      <c r="BX334">
        <v>0</v>
      </c>
      <c r="BZ334">
        <v>0</v>
      </c>
      <c r="CA334">
        <v>0</v>
      </c>
      <c r="CB334">
        <v>0</v>
      </c>
      <c r="CC334" s="3">
        <v>259999.54</v>
      </c>
      <c r="CD334" s="5">
        <v>0</v>
      </c>
      <c r="CF334" s="6">
        <v>46082</v>
      </c>
      <c r="CH334">
        <v>0</v>
      </c>
      <c r="CI334">
        <v>0</v>
      </c>
      <c r="CJ334">
        <v>0</v>
      </c>
      <c r="CK334">
        <v>0</v>
      </c>
      <c r="CL334">
        <v>0</v>
      </c>
      <c r="CM334">
        <v>0</v>
      </c>
      <c r="CN334">
        <v>0</v>
      </c>
      <c r="CO334">
        <v>0</v>
      </c>
      <c r="CP334">
        <v>0</v>
      </c>
      <c r="CQ334">
        <v>0</v>
      </c>
      <c r="CR334">
        <v>0</v>
      </c>
      <c r="CT334" t="s">
        <v>190</v>
      </c>
      <c r="CU334" t="s">
        <v>1837</v>
      </c>
      <c r="CW334">
        <v>0</v>
      </c>
      <c r="CZ334" s="1">
        <v>46091</v>
      </c>
      <c r="DA334" t="s">
        <v>172</v>
      </c>
      <c r="DB334" t="s">
        <v>172</v>
      </c>
      <c r="DC334" t="s">
        <v>172</v>
      </c>
      <c r="DD334" t="s">
        <v>172</v>
      </c>
      <c r="DG334" s="1">
        <v>46091</v>
      </c>
      <c r="DH334">
        <v>0</v>
      </c>
      <c r="DI334">
        <v>0</v>
      </c>
      <c r="DL334" t="s">
        <v>963</v>
      </c>
      <c r="DM334" t="s">
        <v>172</v>
      </c>
      <c r="DN334" t="s">
        <v>201</v>
      </c>
      <c r="DV334" s="3">
        <v>259999.54</v>
      </c>
      <c r="DW334">
        <v>0</v>
      </c>
      <c r="DX334" s="3">
        <v>259999.54</v>
      </c>
      <c r="DY334">
        <v>0</v>
      </c>
      <c r="EN334" t="s">
        <v>537</v>
      </c>
      <c r="EW334" s="1">
        <v>46091</v>
      </c>
    </row>
    <row r="335" spans="1:153" ht="409.5" x14ac:dyDescent="0.35">
      <c r="A335" t="str">
        <f>HYPERLINK("https://7lm.cvcrm.com.br/gestor/comercial/reservas/6785/administrar","6785")</f>
        <v>6785</v>
      </c>
      <c r="B335" t="s">
        <v>172</v>
      </c>
      <c r="C335" s="1">
        <v>46091</v>
      </c>
      <c r="D335" s="2">
        <v>0.64019675925925923</v>
      </c>
      <c r="E335" t="s">
        <v>527</v>
      </c>
      <c r="F335" t="s">
        <v>216</v>
      </c>
      <c r="G335" t="s">
        <v>159</v>
      </c>
      <c r="H335" t="s">
        <v>513</v>
      </c>
      <c r="I335" t="s">
        <v>514</v>
      </c>
      <c r="J335">
        <v>1</v>
      </c>
      <c r="L335">
        <v>20061</v>
      </c>
      <c r="M335" t="s">
        <v>2302</v>
      </c>
      <c r="R335" t="str">
        <f>HYPERLINK("https://7lm.cvcrm.com.br/gestor/relatorios/associado/html?q[1|r.idreserva]=6785","PEDRO HENRIQUE ROQUE DE BARROS")</f>
        <v>PEDRO HENRIQUE ROQUE DE BARROS</v>
      </c>
      <c r="S335">
        <v>8724359114</v>
      </c>
      <c r="T335">
        <v>556181580014</v>
      </c>
      <c r="V335" t="s">
        <v>2303</v>
      </c>
      <c r="W335" t="s">
        <v>163</v>
      </c>
      <c r="AC335" t="s">
        <v>388</v>
      </c>
      <c r="AF335" t="s">
        <v>389</v>
      </c>
      <c r="AG335" t="s">
        <v>195</v>
      </c>
      <c r="AH335" s="3">
        <v>219984.59</v>
      </c>
      <c r="AI335" s="3">
        <v>219984.59</v>
      </c>
      <c r="AJ335" s="1">
        <v>46157</v>
      </c>
      <c r="AN335" t="s">
        <v>172</v>
      </c>
      <c r="AO335" t="s">
        <v>816</v>
      </c>
      <c r="AR335" s="7" t="s">
        <v>2304</v>
      </c>
      <c r="AT335" t="s">
        <v>196</v>
      </c>
      <c r="AU335" t="s">
        <v>316</v>
      </c>
      <c r="AW335">
        <v>0</v>
      </c>
      <c r="AX335" s="1">
        <v>46093</v>
      </c>
      <c r="AY335" s="2">
        <v>0.63148148148148153</v>
      </c>
      <c r="AZ335">
        <v>194400</v>
      </c>
      <c r="BA335" s="1">
        <v>46090</v>
      </c>
      <c r="BC335" t="s">
        <v>275</v>
      </c>
      <c r="BD335" s="1">
        <v>46090</v>
      </c>
      <c r="BE335" t="s">
        <v>615</v>
      </c>
      <c r="BL335" s="4">
        <v>0</v>
      </c>
      <c r="BM335" s="1">
        <v>46995</v>
      </c>
      <c r="BO335">
        <v>0</v>
      </c>
      <c r="BP335">
        <v>29405</v>
      </c>
      <c r="BQ335" t="s">
        <v>156</v>
      </c>
      <c r="BR335" s="3">
        <v>123045.59</v>
      </c>
      <c r="BS335" s="3">
        <v>41601</v>
      </c>
      <c r="BT335">
        <v>0</v>
      </c>
      <c r="BU335" s="3">
        <v>164646.59</v>
      </c>
      <c r="BV335" s="3">
        <v>219984.59</v>
      </c>
      <c r="BX335">
        <v>0</v>
      </c>
      <c r="BZ335">
        <v>0</v>
      </c>
      <c r="CA335">
        <v>0</v>
      </c>
      <c r="CB335">
        <v>0</v>
      </c>
      <c r="CC335" s="3">
        <v>219984.59</v>
      </c>
      <c r="CD335" s="5">
        <v>0</v>
      </c>
      <c r="CF335" s="6">
        <v>46082</v>
      </c>
      <c r="CH335">
        <v>0</v>
      </c>
      <c r="CI335">
        <v>0</v>
      </c>
      <c r="CJ335">
        <v>0</v>
      </c>
      <c r="CK335">
        <v>0</v>
      </c>
      <c r="CL335">
        <v>0</v>
      </c>
      <c r="CM335">
        <v>0</v>
      </c>
      <c r="CN335">
        <v>0</v>
      </c>
      <c r="CO335">
        <v>0</v>
      </c>
      <c r="CP335">
        <v>0</v>
      </c>
      <c r="CQ335">
        <v>0</v>
      </c>
      <c r="CR335">
        <v>0</v>
      </c>
      <c r="CT335" t="s">
        <v>214</v>
      </c>
      <c r="CU335" t="s">
        <v>514</v>
      </c>
      <c r="CW335">
        <v>0</v>
      </c>
      <c r="CZ335" s="1">
        <v>46091</v>
      </c>
      <c r="DA335" t="s">
        <v>172</v>
      </c>
      <c r="DB335" t="s">
        <v>172</v>
      </c>
      <c r="DC335" t="s">
        <v>172</v>
      </c>
      <c r="DD335" t="s">
        <v>172</v>
      </c>
      <c r="DG335" s="1">
        <v>46091</v>
      </c>
      <c r="DH335">
        <v>0</v>
      </c>
      <c r="DI335">
        <v>0</v>
      </c>
      <c r="DK335" t="s">
        <v>179</v>
      </c>
      <c r="DL335" t="s">
        <v>215</v>
      </c>
      <c r="DM335" t="s">
        <v>172</v>
      </c>
      <c r="DN335" t="s">
        <v>201</v>
      </c>
      <c r="DU335" t="s">
        <v>1887</v>
      </c>
      <c r="DV335" s="3">
        <v>255415.41</v>
      </c>
      <c r="DW335">
        <v>-53.73</v>
      </c>
      <c r="DX335" s="3">
        <v>255415.41</v>
      </c>
      <c r="DY335">
        <v>-53.73</v>
      </c>
      <c r="EN335" t="s">
        <v>537</v>
      </c>
    </row>
    <row r="336" spans="1:153" ht="72.5" x14ac:dyDescent="0.35">
      <c r="A336" t="str">
        <f>HYPERLINK("https://7lm.cvcrm.com.br/gestor/comercial/reservas/6784/administrar","6784")</f>
        <v>6784</v>
      </c>
      <c r="B336" t="s">
        <v>172</v>
      </c>
      <c r="C336" s="1">
        <v>46091</v>
      </c>
      <c r="D336" s="2">
        <v>0.5688657407407407</v>
      </c>
      <c r="E336" t="s">
        <v>527</v>
      </c>
      <c r="F336" t="s">
        <v>182</v>
      </c>
      <c r="G336" t="s">
        <v>159</v>
      </c>
      <c r="H336" t="s">
        <v>418</v>
      </c>
      <c r="I336" t="s">
        <v>1581</v>
      </c>
      <c r="J336">
        <v>1</v>
      </c>
      <c r="L336">
        <v>30151</v>
      </c>
      <c r="M336" t="s">
        <v>1582</v>
      </c>
      <c r="R336" t="str">
        <f>HYPERLINK("https://7lm.cvcrm.com.br/gestor/relatorios/associado/html?q[1|r.idreserva]=6784","JOÃO VICTOR GOMES XAVIER SIQUEIRA")</f>
        <v>JOÃO VICTOR GOMES XAVIER SIQUEIRA</v>
      </c>
      <c r="S336">
        <v>71455129127</v>
      </c>
      <c r="T336">
        <v>5561998038623</v>
      </c>
      <c r="V336" t="s">
        <v>2305</v>
      </c>
      <c r="W336" t="s">
        <v>163</v>
      </c>
      <c r="X336" t="s">
        <v>2306</v>
      </c>
      <c r="Y336" t="s">
        <v>189</v>
      </c>
      <c r="Z336" t="s">
        <v>190</v>
      </c>
      <c r="AA336" t="s">
        <v>2307</v>
      </c>
      <c r="AB336" t="s">
        <v>2308</v>
      </c>
      <c r="AC336" t="s">
        <v>896</v>
      </c>
      <c r="AF336" t="s">
        <v>194</v>
      </c>
      <c r="AG336" t="s">
        <v>251</v>
      </c>
      <c r="AH336" s="3">
        <v>241000</v>
      </c>
      <c r="AI336" s="3">
        <v>241000</v>
      </c>
      <c r="AJ336" s="1">
        <v>46091</v>
      </c>
      <c r="AN336" t="s">
        <v>172</v>
      </c>
      <c r="AO336" t="s">
        <v>816</v>
      </c>
      <c r="AR336" s="7" t="s">
        <v>2309</v>
      </c>
      <c r="AT336" t="s">
        <v>173</v>
      </c>
      <c r="AU336" t="s">
        <v>292</v>
      </c>
      <c r="AW336">
        <v>0</v>
      </c>
      <c r="AX336" s="1">
        <v>46100</v>
      </c>
      <c r="AY336" s="2">
        <v>0.4465277777777778</v>
      </c>
      <c r="AZ336">
        <v>118919</v>
      </c>
      <c r="BA336" s="1">
        <v>45441</v>
      </c>
      <c r="BC336" t="s">
        <v>0</v>
      </c>
      <c r="BD336" s="1">
        <v>46091</v>
      </c>
      <c r="BE336" t="s">
        <v>175</v>
      </c>
      <c r="BL336" s="4">
        <v>0</v>
      </c>
      <c r="BM336" s="1">
        <v>46899</v>
      </c>
      <c r="BO336">
        <v>0</v>
      </c>
      <c r="BP336">
        <v>29392</v>
      </c>
      <c r="BQ336" t="s">
        <v>156</v>
      </c>
      <c r="BR336" s="3">
        <v>178630.12</v>
      </c>
      <c r="BS336" s="3">
        <v>3022</v>
      </c>
      <c r="BT336">
        <v>0</v>
      </c>
      <c r="BU336" s="3">
        <v>181652.12</v>
      </c>
      <c r="BV336" s="3">
        <v>241000</v>
      </c>
      <c r="BX336">
        <v>0</v>
      </c>
      <c r="BZ336">
        <v>0</v>
      </c>
      <c r="CA336">
        <v>0</v>
      </c>
      <c r="CB336">
        <v>0</v>
      </c>
      <c r="CC336" s="3">
        <v>241000</v>
      </c>
      <c r="CD336" s="5">
        <v>0</v>
      </c>
      <c r="CF336" s="6">
        <v>46082</v>
      </c>
      <c r="CH336">
        <v>0</v>
      </c>
      <c r="CI336">
        <v>0</v>
      </c>
      <c r="CJ336">
        <v>0</v>
      </c>
      <c r="CK336">
        <v>0</v>
      </c>
      <c r="CL336">
        <v>0</v>
      </c>
      <c r="CM336">
        <v>0</v>
      </c>
      <c r="CN336">
        <v>0</v>
      </c>
      <c r="CO336">
        <v>0</v>
      </c>
      <c r="CP336">
        <v>0</v>
      </c>
      <c r="CQ336">
        <v>0</v>
      </c>
      <c r="CR336">
        <v>0</v>
      </c>
      <c r="CT336" t="s">
        <v>190</v>
      </c>
      <c r="CU336" t="s">
        <v>1581</v>
      </c>
      <c r="CW336">
        <v>0</v>
      </c>
      <c r="CZ336" s="1">
        <v>46091</v>
      </c>
      <c r="DA336" t="s">
        <v>172</v>
      </c>
      <c r="DB336" t="s">
        <v>172</v>
      </c>
      <c r="DC336" t="s">
        <v>172</v>
      </c>
      <c r="DD336" t="s">
        <v>172</v>
      </c>
      <c r="DG336" s="1">
        <v>46091</v>
      </c>
      <c r="DH336">
        <v>0</v>
      </c>
      <c r="DI336">
        <v>0</v>
      </c>
      <c r="DK336" t="s">
        <v>179</v>
      </c>
      <c r="DL336" t="s">
        <v>200</v>
      </c>
      <c r="DM336" t="s">
        <v>172</v>
      </c>
      <c r="DN336" t="s">
        <v>201</v>
      </c>
      <c r="DU336" t="s">
        <v>440</v>
      </c>
      <c r="DV336" s="3">
        <v>291400</v>
      </c>
      <c r="DW336">
        <v>-54.73</v>
      </c>
      <c r="DX336" s="3">
        <v>291400</v>
      </c>
      <c r="DY336">
        <v>-54.73</v>
      </c>
      <c r="EN336" t="s">
        <v>537</v>
      </c>
      <c r="ET336" t="s">
        <v>2310</v>
      </c>
      <c r="EU336" s="1">
        <v>46094</v>
      </c>
      <c r="EW336" s="1">
        <v>46091</v>
      </c>
    </row>
    <row r="337" spans="1:153" ht="217.5" x14ac:dyDescent="0.35">
      <c r="A337" t="str">
        <f>HYPERLINK("https://7lm.cvcrm.com.br/gestor/comercial/reservas/6783/administrar","6783")</f>
        <v>6783</v>
      </c>
      <c r="B337" t="s">
        <v>172</v>
      </c>
      <c r="C337" s="1">
        <v>46091</v>
      </c>
      <c r="D337" s="2">
        <v>0.52824074074074079</v>
      </c>
      <c r="E337" t="s">
        <v>527</v>
      </c>
      <c r="F337" t="s">
        <v>216</v>
      </c>
      <c r="G337" t="s">
        <v>159</v>
      </c>
      <c r="H337" t="s">
        <v>513</v>
      </c>
      <c r="I337" t="s">
        <v>1783</v>
      </c>
      <c r="J337">
        <v>1</v>
      </c>
      <c r="L337">
        <v>20061</v>
      </c>
      <c r="M337" t="s">
        <v>1784</v>
      </c>
      <c r="R337" t="str">
        <f>HYPERLINK("https://7lm.cvcrm.com.br/gestor/relatorios/associado/html?q[1|r.idreserva]=6783","PAMMELA HAYANA ALMEIDA DO NASCIMENTO")</f>
        <v>PAMMELA HAYANA ALMEIDA DO NASCIMENTO</v>
      </c>
      <c r="S337">
        <v>2580541152</v>
      </c>
      <c r="T337">
        <v>5561974008039</v>
      </c>
      <c r="V337" t="s">
        <v>2311</v>
      </c>
      <c r="W337" t="s">
        <v>187</v>
      </c>
      <c r="X337" t="s">
        <v>299</v>
      </c>
      <c r="AC337" t="s">
        <v>425</v>
      </c>
      <c r="AF337" t="s">
        <v>389</v>
      </c>
      <c r="AG337" t="s">
        <v>195</v>
      </c>
      <c r="AH337" s="3">
        <v>214976.76</v>
      </c>
      <c r="AI337" s="3">
        <v>214976.76</v>
      </c>
      <c r="AJ337" s="1">
        <v>46157</v>
      </c>
      <c r="AN337" t="s">
        <v>172</v>
      </c>
      <c r="AO337" t="s">
        <v>1334</v>
      </c>
      <c r="AR337" s="7" t="s">
        <v>2312</v>
      </c>
      <c r="AT337" t="s">
        <v>400</v>
      </c>
      <c r="AU337" t="s">
        <v>292</v>
      </c>
      <c r="AW337">
        <v>0</v>
      </c>
      <c r="AX337" s="1">
        <v>46100</v>
      </c>
      <c r="AY337" s="2">
        <v>0.50322916666666662</v>
      </c>
      <c r="AZ337">
        <v>192969</v>
      </c>
      <c r="BA337" s="1">
        <v>46083</v>
      </c>
      <c r="BC337" t="s">
        <v>0</v>
      </c>
      <c r="BD337" s="1">
        <v>46091</v>
      </c>
      <c r="BE337" t="s">
        <v>276</v>
      </c>
      <c r="BL337" s="4">
        <v>0</v>
      </c>
      <c r="BM337" s="1">
        <v>46995</v>
      </c>
      <c r="BO337">
        <v>0</v>
      </c>
      <c r="BP337">
        <v>29149</v>
      </c>
      <c r="BQ337" t="s">
        <v>156</v>
      </c>
      <c r="BR337" s="3">
        <v>134403.26</v>
      </c>
      <c r="BS337" s="3">
        <v>21125</v>
      </c>
      <c r="BT337">
        <v>0</v>
      </c>
      <c r="BU337" s="3">
        <v>155528.26</v>
      </c>
      <c r="BV337" s="3">
        <v>214976.76</v>
      </c>
      <c r="BX337">
        <v>0</v>
      </c>
      <c r="BZ337">
        <v>0</v>
      </c>
      <c r="CA337">
        <v>0</v>
      </c>
      <c r="CB337">
        <v>0</v>
      </c>
      <c r="CC337" s="3">
        <v>214976.76</v>
      </c>
      <c r="CD337" s="5">
        <v>0</v>
      </c>
      <c r="CF337" s="6">
        <v>46082</v>
      </c>
      <c r="CH337">
        <v>0</v>
      </c>
      <c r="CI337">
        <v>0</v>
      </c>
      <c r="CJ337">
        <v>0</v>
      </c>
      <c r="CK337">
        <v>0</v>
      </c>
      <c r="CL337">
        <v>0</v>
      </c>
      <c r="CM337">
        <v>0</v>
      </c>
      <c r="CN337">
        <v>0</v>
      </c>
      <c r="CO337">
        <v>0</v>
      </c>
      <c r="CP337">
        <v>0</v>
      </c>
      <c r="CQ337">
        <v>0</v>
      </c>
      <c r="CR337">
        <v>0</v>
      </c>
      <c r="CT337" t="s">
        <v>214</v>
      </c>
      <c r="CU337" t="s">
        <v>1783</v>
      </c>
      <c r="CW337">
        <v>0</v>
      </c>
      <c r="CZ337" s="1">
        <v>46091</v>
      </c>
      <c r="DA337" t="s">
        <v>172</v>
      </c>
      <c r="DB337" t="s">
        <v>172</v>
      </c>
      <c r="DC337" t="s">
        <v>172</v>
      </c>
      <c r="DD337" t="s">
        <v>172</v>
      </c>
      <c r="DG337" s="1">
        <v>46091</v>
      </c>
      <c r="DH337">
        <v>0</v>
      </c>
      <c r="DI337">
        <v>0</v>
      </c>
      <c r="DK337" t="s">
        <v>179</v>
      </c>
      <c r="DL337" t="s">
        <v>215</v>
      </c>
      <c r="DM337" t="s">
        <v>172</v>
      </c>
      <c r="DN337" t="s">
        <v>201</v>
      </c>
      <c r="DV337" s="3">
        <v>214976.76</v>
      </c>
      <c r="DW337">
        <v>0</v>
      </c>
      <c r="DX337" s="3">
        <v>214976.76</v>
      </c>
      <c r="DY337">
        <v>0</v>
      </c>
    </row>
    <row r="338" spans="1:153" ht="232" x14ac:dyDescent="0.35">
      <c r="A338" t="str">
        <f>HYPERLINK("https://7lm.cvcrm.com.br/gestor/comercial/reservas/6782/administrar","6782")</f>
        <v>6782</v>
      </c>
      <c r="B338" t="s">
        <v>156</v>
      </c>
      <c r="C338" s="1">
        <v>46091</v>
      </c>
      <c r="D338" s="2">
        <v>0.45525462962962965</v>
      </c>
      <c r="E338" t="s">
        <v>527</v>
      </c>
      <c r="F338" t="s">
        <v>202</v>
      </c>
      <c r="G338" t="s">
        <v>203</v>
      </c>
      <c r="H338" t="s">
        <v>404</v>
      </c>
      <c r="I338" t="s">
        <v>1020</v>
      </c>
      <c r="J338">
        <v>1</v>
      </c>
      <c r="L338">
        <v>20031</v>
      </c>
      <c r="M338" t="s">
        <v>1690</v>
      </c>
      <c r="N338" s="1">
        <v>46091</v>
      </c>
      <c r="O338" s="2">
        <v>0.50599537037037035</v>
      </c>
      <c r="R338" t="str">
        <f>HYPERLINK("https://7lm.cvcrm.com.br/gestor/relatorios/associado/html?q[1|r.idreserva]=6782","VICTORIA VIVIAN MEDEIROS AMARAL")</f>
        <v>VICTORIA VIVIAN MEDEIROS AMARAL</v>
      </c>
      <c r="S338">
        <v>7570602188</v>
      </c>
      <c r="T338">
        <v>5561995289997</v>
      </c>
      <c r="V338" t="s">
        <v>2313</v>
      </c>
      <c r="W338" t="s">
        <v>187</v>
      </c>
      <c r="X338" t="s">
        <v>521</v>
      </c>
      <c r="Y338" t="s">
        <v>165</v>
      </c>
      <c r="Z338" t="s">
        <v>385</v>
      </c>
      <c r="AA338" t="s">
        <v>783</v>
      </c>
      <c r="AB338" t="s">
        <v>2314</v>
      </c>
      <c r="AC338" t="s">
        <v>2315</v>
      </c>
      <c r="AF338" t="s">
        <v>413</v>
      </c>
      <c r="AG338" t="s">
        <v>195</v>
      </c>
      <c r="AH338" s="3">
        <v>218058.95</v>
      </c>
      <c r="AI338" s="3">
        <v>218058.95</v>
      </c>
      <c r="AJ338" s="1">
        <v>46147</v>
      </c>
      <c r="AN338" t="s">
        <v>172</v>
      </c>
      <c r="AO338" t="s">
        <v>2109</v>
      </c>
      <c r="AR338" s="7" t="s">
        <v>2316</v>
      </c>
      <c r="AT338" t="s">
        <v>196</v>
      </c>
      <c r="AU338" t="s">
        <v>335</v>
      </c>
      <c r="AW338">
        <v>0</v>
      </c>
      <c r="AX338" s="1">
        <v>46108</v>
      </c>
      <c r="AY338" s="2">
        <v>0.59354166666666663</v>
      </c>
      <c r="AZ338">
        <v>171756</v>
      </c>
      <c r="BA338" s="1">
        <v>45937</v>
      </c>
      <c r="BB338" s="1">
        <v>45973</v>
      </c>
      <c r="BC338" t="s">
        <v>0</v>
      </c>
      <c r="BD338" s="1">
        <v>46091</v>
      </c>
      <c r="BE338" t="s">
        <v>198</v>
      </c>
      <c r="BL338" s="4">
        <v>0</v>
      </c>
      <c r="BM338" s="1">
        <v>46808</v>
      </c>
      <c r="BO338">
        <v>0</v>
      </c>
      <c r="BP338">
        <v>29070</v>
      </c>
      <c r="BQ338" t="s">
        <v>156</v>
      </c>
      <c r="BR338" s="3">
        <v>125532.51</v>
      </c>
      <c r="BS338" s="3">
        <v>40808</v>
      </c>
      <c r="BT338">
        <v>0</v>
      </c>
      <c r="BU338" s="3">
        <v>166340.51</v>
      </c>
      <c r="BV338" s="3">
        <v>218058.95</v>
      </c>
      <c r="BX338">
        <v>0</v>
      </c>
      <c r="BZ338">
        <v>0</v>
      </c>
      <c r="CA338">
        <v>0</v>
      </c>
      <c r="CB338">
        <v>0</v>
      </c>
      <c r="CC338" s="3">
        <v>218058.95</v>
      </c>
      <c r="CD338" s="5">
        <v>0</v>
      </c>
      <c r="CF338" s="6">
        <v>46082</v>
      </c>
      <c r="CH338">
        <v>0</v>
      </c>
      <c r="CI338">
        <v>0</v>
      </c>
      <c r="CJ338">
        <v>0</v>
      </c>
      <c r="CK338">
        <v>0</v>
      </c>
      <c r="CL338">
        <v>0</v>
      </c>
      <c r="CM338">
        <v>0</v>
      </c>
      <c r="CN338">
        <v>0</v>
      </c>
      <c r="CO338">
        <v>0</v>
      </c>
      <c r="CP338">
        <v>0</v>
      </c>
      <c r="CQ338">
        <v>0</v>
      </c>
      <c r="CR338">
        <v>0</v>
      </c>
      <c r="CS338" t="s">
        <v>415</v>
      </c>
      <c r="CT338" t="s">
        <v>214</v>
      </c>
      <c r="CU338" t="s">
        <v>1020</v>
      </c>
      <c r="CW338">
        <v>-54.131500000000003</v>
      </c>
      <c r="CZ338" s="1">
        <v>46091</v>
      </c>
      <c r="DA338" t="s">
        <v>172</v>
      </c>
      <c r="DB338" t="s">
        <v>172</v>
      </c>
      <c r="DC338" t="s">
        <v>172</v>
      </c>
      <c r="DD338" t="s">
        <v>172</v>
      </c>
      <c r="DG338" s="1">
        <v>46091</v>
      </c>
      <c r="DH338">
        <v>0</v>
      </c>
      <c r="DI338">
        <v>0</v>
      </c>
      <c r="DL338" t="s">
        <v>215</v>
      </c>
      <c r="DM338" t="s">
        <v>172</v>
      </c>
      <c r="DN338" t="s">
        <v>201</v>
      </c>
      <c r="DV338" s="3">
        <v>218058.95</v>
      </c>
      <c r="DW338">
        <v>0</v>
      </c>
      <c r="DX338" s="3">
        <v>218058.95</v>
      </c>
      <c r="DY338">
        <v>0</v>
      </c>
      <c r="EN338" t="s">
        <v>172</v>
      </c>
      <c r="ET338" t="s">
        <v>2040</v>
      </c>
      <c r="EW338" s="1">
        <v>46091</v>
      </c>
    </row>
    <row r="339" spans="1:153" ht="232" x14ac:dyDescent="0.35">
      <c r="A339" t="str">
        <f>HYPERLINK("https://7lm.cvcrm.com.br/gestor/comercial/reservas/6781/administrar","6781")</f>
        <v>6781</v>
      </c>
      <c r="B339" t="s">
        <v>156</v>
      </c>
      <c r="C339" s="1">
        <v>46091</v>
      </c>
      <c r="D339" s="2">
        <v>0.44815972222222222</v>
      </c>
      <c r="E339" t="s">
        <v>1310</v>
      </c>
      <c r="F339" t="s">
        <v>182</v>
      </c>
      <c r="G339" t="s">
        <v>159</v>
      </c>
      <c r="H339" t="s">
        <v>1371</v>
      </c>
      <c r="I339" t="s">
        <v>1869</v>
      </c>
      <c r="J339">
        <v>1</v>
      </c>
      <c r="K339">
        <v>8228</v>
      </c>
      <c r="L339">
        <v>30151</v>
      </c>
      <c r="M339" t="s">
        <v>1870</v>
      </c>
      <c r="N339" s="1">
        <v>46098</v>
      </c>
      <c r="O339" s="2">
        <v>0.40834490740740742</v>
      </c>
      <c r="R339" t="str">
        <f>HYPERLINK("https://7lm.cvcrm.com.br/gestor/relatorios/associado/html?q[1|r.idreserva]=6781","VITORIA EDUARDA RODRIGUES PEREIRA")</f>
        <v>VITORIA EDUARDA RODRIGUES PEREIRA</v>
      </c>
      <c r="S339">
        <v>11588940152</v>
      </c>
      <c r="T339">
        <v>5562996492878</v>
      </c>
      <c r="V339" t="s">
        <v>1977</v>
      </c>
      <c r="W339" t="s">
        <v>187</v>
      </c>
      <c r="X339" t="s">
        <v>1978</v>
      </c>
      <c r="Y339" t="s">
        <v>189</v>
      </c>
      <c r="Z339" t="s">
        <v>1979</v>
      </c>
      <c r="AA339" t="s">
        <v>1980</v>
      </c>
      <c r="AB339" t="s">
        <v>1981</v>
      </c>
      <c r="AC339" t="s">
        <v>641</v>
      </c>
      <c r="AF339" t="s">
        <v>194</v>
      </c>
      <c r="AG339" t="s">
        <v>251</v>
      </c>
      <c r="AH339" s="3">
        <v>240932.83</v>
      </c>
      <c r="AI339" s="3">
        <v>240932.83</v>
      </c>
      <c r="AJ339" s="1">
        <v>46091</v>
      </c>
      <c r="AN339" t="s">
        <v>172</v>
      </c>
      <c r="AR339" s="7" t="s">
        <v>2317</v>
      </c>
      <c r="AT339" t="s">
        <v>261</v>
      </c>
      <c r="AU339" t="s">
        <v>292</v>
      </c>
      <c r="AW339">
        <v>0</v>
      </c>
      <c r="AX339" s="1">
        <v>46105</v>
      </c>
      <c r="AY339" s="2">
        <v>0.66862268518518519</v>
      </c>
      <c r="AZ339">
        <v>171738</v>
      </c>
      <c r="BA339" s="1">
        <v>45937</v>
      </c>
      <c r="BC339" t="s">
        <v>0</v>
      </c>
      <c r="BD339" s="1">
        <v>46091</v>
      </c>
      <c r="BE339" t="s">
        <v>625</v>
      </c>
      <c r="BL339" s="4">
        <v>0</v>
      </c>
      <c r="BM339" s="1">
        <v>46899</v>
      </c>
      <c r="BN339" s="1">
        <v>46097</v>
      </c>
      <c r="BO339">
        <v>0</v>
      </c>
      <c r="BP339">
        <v>29135</v>
      </c>
      <c r="BQ339" t="s">
        <v>156</v>
      </c>
      <c r="BR339" s="3">
        <v>134341.45000000001</v>
      </c>
      <c r="BS339" s="3">
        <v>25037</v>
      </c>
      <c r="BT339">
        <v>0</v>
      </c>
      <c r="BU339" s="3">
        <v>159378.45000000001</v>
      </c>
      <c r="BV339" s="3">
        <v>240932.83</v>
      </c>
      <c r="BX339">
        <v>0</v>
      </c>
      <c r="BZ339">
        <v>0</v>
      </c>
      <c r="CA339">
        <v>0</v>
      </c>
      <c r="CB339">
        <v>0</v>
      </c>
      <c r="CC339" s="3">
        <v>240932.83</v>
      </c>
      <c r="CD339" s="5">
        <v>0</v>
      </c>
      <c r="CF339" s="6">
        <v>46082</v>
      </c>
      <c r="CH339">
        <v>0</v>
      </c>
      <c r="CI339">
        <v>0</v>
      </c>
      <c r="CJ339">
        <v>0</v>
      </c>
      <c r="CK339">
        <v>0</v>
      </c>
      <c r="CL339">
        <v>0</v>
      </c>
      <c r="CM339">
        <v>0</v>
      </c>
      <c r="CN339">
        <v>0</v>
      </c>
      <c r="CO339">
        <v>0</v>
      </c>
      <c r="CP339">
        <v>0</v>
      </c>
      <c r="CQ339">
        <v>0</v>
      </c>
      <c r="CR339">
        <v>0</v>
      </c>
      <c r="CS339" t="s">
        <v>360</v>
      </c>
      <c r="CT339" t="s">
        <v>190</v>
      </c>
      <c r="CU339" t="s">
        <v>1869</v>
      </c>
      <c r="CW339">
        <v>-52.5608</v>
      </c>
      <c r="CZ339" s="1">
        <v>46091</v>
      </c>
      <c r="DA339" t="s">
        <v>172</v>
      </c>
      <c r="DB339" t="s">
        <v>172</v>
      </c>
      <c r="DC339" t="s">
        <v>172</v>
      </c>
      <c r="DD339" t="s">
        <v>172</v>
      </c>
      <c r="DG339" s="1">
        <v>46091</v>
      </c>
      <c r="DH339">
        <v>0</v>
      </c>
      <c r="DI339">
        <v>0</v>
      </c>
      <c r="DK339" t="s">
        <v>179</v>
      </c>
      <c r="DL339" t="s">
        <v>200</v>
      </c>
      <c r="DM339" t="s">
        <v>172</v>
      </c>
      <c r="DN339" t="s">
        <v>201</v>
      </c>
      <c r="DV339" s="3">
        <v>240932.83</v>
      </c>
      <c r="DW339">
        <v>0</v>
      </c>
      <c r="DX339" s="3">
        <v>240932.83</v>
      </c>
      <c r="DY339">
        <v>0</v>
      </c>
      <c r="EG339" s="1">
        <v>46093</v>
      </c>
      <c r="EN339" t="s">
        <v>156</v>
      </c>
      <c r="EP339" s="1">
        <v>46093</v>
      </c>
      <c r="EQ339" s="1">
        <v>46099</v>
      </c>
      <c r="ER339" s="1">
        <v>46093</v>
      </c>
      <c r="ES339" t="s">
        <v>2318</v>
      </c>
      <c r="ET339" t="s">
        <v>1930</v>
      </c>
      <c r="EU339" s="1">
        <v>46094</v>
      </c>
      <c r="EV339" s="1">
        <v>46099</v>
      </c>
      <c r="EW339" s="1">
        <v>46091</v>
      </c>
    </row>
    <row r="340" spans="1:153" x14ac:dyDescent="0.35">
      <c r="A340" t="str">
        <f>HYPERLINK("https://7lm.cvcrm.com.br/gestor/comercial/reservas/6780/administrar","6780")</f>
        <v>6780</v>
      </c>
      <c r="B340" t="s">
        <v>172</v>
      </c>
      <c r="C340" s="1">
        <v>46090</v>
      </c>
      <c r="D340" s="2">
        <v>0.83780092592592592</v>
      </c>
      <c r="E340" t="s">
        <v>527</v>
      </c>
      <c r="F340" t="s">
        <v>226</v>
      </c>
      <c r="G340" t="s">
        <v>159</v>
      </c>
      <c r="H340" t="s">
        <v>252</v>
      </c>
      <c r="I340" t="s">
        <v>1683</v>
      </c>
      <c r="J340">
        <v>1</v>
      </c>
      <c r="L340">
        <v>10031</v>
      </c>
      <c r="M340" t="s">
        <v>1684</v>
      </c>
      <c r="R340" t="str">
        <f>HYPERLINK("https://7lm.cvcrm.com.br/gestor/relatorios/associado/html?q[1|r.idreserva]=6780","CARLOS MAX MAZZEI DE SOUZA")</f>
        <v>CARLOS MAX MAZZEI DE SOUZA</v>
      </c>
      <c r="S340">
        <v>4460377101</v>
      </c>
      <c r="T340">
        <v>5561996174045</v>
      </c>
      <c r="U340">
        <v>5561996174045</v>
      </c>
      <c r="V340" t="s">
        <v>2319</v>
      </c>
      <c r="W340" t="s">
        <v>163</v>
      </c>
      <c r="X340" t="s">
        <v>547</v>
      </c>
      <c r="Y340" t="s">
        <v>165</v>
      </c>
      <c r="Z340" t="s">
        <v>166</v>
      </c>
      <c r="AA340" t="s">
        <v>730</v>
      </c>
      <c r="AB340" t="s">
        <v>2320</v>
      </c>
      <c r="AC340" t="s">
        <v>260</v>
      </c>
      <c r="AE340" t="s">
        <v>169</v>
      </c>
      <c r="AF340" t="s">
        <v>170</v>
      </c>
      <c r="AG340" t="s">
        <v>171</v>
      </c>
      <c r="AH340" s="3">
        <v>350000</v>
      </c>
      <c r="AI340" s="3">
        <v>350000</v>
      </c>
      <c r="AJ340" s="1">
        <v>46112</v>
      </c>
      <c r="AN340" t="s">
        <v>172</v>
      </c>
      <c r="AO340" t="s">
        <v>932</v>
      </c>
      <c r="AP340" t="s">
        <v>2321</v>
      </c>
      <c r="AT340" t="s">
        <v>173</v>
      </c>
      <c r="AU340" t="s">
        <v>262</v>
      </c>
      <c r="AW340">
        <v>0</v>
      </c>
      <c r="AX340" s="1">
        <v>46122</v>
      </c>
      <c r="AY340" s="2">
        <v>0.52143518518518517</v>
      </c>
      <c r="AZ340">
        <v>193975</v>
      </c>
      <c r="BA340" s="1">
        <v>46088</v>
      </c>
      <c r="BC340" t="s">
        <v>0</v>
      </c>
      <c r="BD340" s="1">
        <v>46090</v>
      </c>
      <c r="BE340" t="s">
        <v>466</v>
      </c>
      <c r="BL340" s="4">
        <v>0</v>
      </c>
      <c r="BM340" s="1">
        <v>46698</v>
      </c>
      <c r="BO340">
        <v>0</v>
      </c>
      <c r="BP340">
        <v>29350</v>
      </c>
      <c r="BQ340" t="s">
        <v>156</v>
      </c>
      <c r="BR340" s="3">
        <v>350000</v>
      </c>
      <c r="BS340">
        <v>0</v>
      </c>
      <c r="BT340" s="3">
        <v>4000</v>
      </c>
      <c r="BU340" s="3">
        <v>354000</v>
      </c>
      <c r="BV340" s="3">
        <v>350000</v>
      </c>
      <c r="BX340">
        <v>0</v>
      </c>
      <c r="BZ340">
        <v>0</v>
      </c>
      <c r="CA340">
        <v>0</v>
      </c>
      <c r="CB340">
        <v>0</v>
      </c>
      <c r="CC340" s="3">
        <v>350000</v>
      </c>
      <c r="CD340" s="5">
        <v>0</v>
      </c>
      <c r="CF340" s="6">
        <v>46113</v>
      </c>
      <c r="CH340">
        <v>0</v>
      </c>
      <c r="CI340">
        <v>0</v>
      </c>
      <c r="CJ340">
        <v>0</v>
      </c>
      <c r="CK340">
        <v>0</v>
      </c>
      <c r="CL340">
        <v>0</v>
      </c>
      <c r="CM340">
        <v>0</v>
      </c>
      <c r="CN340">
        <v>0</v>
      </c>
      <c r="CO340">
        <v>0</v>
      </c>
      <c r="CP340">
        <v>0</v>
      </c>
      <c r="CQ340">
        <v>0</v>
      </c>
      <c r="CR340">
        <v>0</v>
      </c>
      <c r="CT340" t="s">
        <v>238</v>
      </c>
      <c r="CU340" t="s">
        <v>1683</v>
      </c>
      <c r="CW340">
        <v>0</v>
      </c>
      <c r="CX340" t="s">
        <v>170</v>
      </c>
      <c r="CZ340" s="1">
        <v>46090</v>
      </c>
      <c r="DA340" t="s">
        <v>172</v>
      </c>
      <c r="DB340" t="s">
        <v>172</v>
      </c>
      <c r="DC340" t="s">
        <v>172</v>
      </c>
      <c r="DD340" t="s">
        <v>172</v>
      </c>
      <c r="DG340" s="1">
        <v>46090</v>
      </c>
      <c r="DH340">
        <v>0</v>
      </c>
      <c r="DI340">
        <v>0</v>
      </c>
      <c r="DL340" t="s">
        <v>263</v>
      </c>
      <c r="DM340" t="s">
        <v>172</v>
      </c>
      <c r="DN340" t="s">
        <v>264</v>
      </c>
      <c r="DU340" t="s">
        <v>240</v>
      </c>
      <c r="DV340" s="3">
        <v>510000</v>
      </c>
      <c r="DW340">
        <v>-59.3</v>
      </c>
      <c r="DX340" s="3">
        <v>510000</v>
      </c>
      <c r="DY340">
        <v>-59.3</v>
      </c>
    </row>
    <row r="341" spans="1:153" ht="130.5" x14ac:dyDescent="0.35">
      <c r="A341" t="str">
        <f>HYPERLINK("https://7lm.cvcrm.com.br/gestor/comercial/reservas/6779/administrar","6779")</f>
        <v>6779</v>
      </c>
      <c r="B341" t="s">
        <v>156</v>
      </c>
      <c r="C341" s="1">
        <v>46090</v>
      </c>
      <c r="D341" s="2">
        <v>0.79576388888888894</v>
      </c>
      <c r="E341" t="s">
        <v>294</v>
      </c>
      <c r="F341" t="s">
        <v>226</v>
      </c>
      <c r="G341" t="s">
        <v>159</v>
      </c>
      <c r="H341" t="s">
        <v>1143</v>
      </c>
      <c r="I341" t="s">
        <v>780</v>
      </c>
      <c r="J341">
        <v>1</v>
      </c>
      <c r="L341">
        <v>10031</v>
      </c>
      <c r="M341" t="s">
        <v>2322</v>
      </c>
      <c r="N341" s="1">
        <v>46093</v>
      </c>
      <c r="O341" s="2">
        <v>0.68768518518518518</v>
      </c>
      <c r="R341" t="str">
        <f>HYPERLINK("https://7lm.cvcrm.com.br/gestor/relatorios/associado/html?q[1|r.idreserva]=6779","CLENIO EMIDIO DA FONSECA")</f>
        <v>CLENIO EMIDIO DA FONSECA</v>
      </c>
      <c r="S341">
        <v>3195861623</v>
      </c>
      <c r="T341">
        <v>5561999530488</v>
      </c>
      <c r="U341">
        <v>5561999530488</v>
      </c>
      <c r="V341" t="s">
        <v>2323</v>
      </c>
      <c r="W341" t="s">
        <v>163</v>
      </c>
      <c r="X341" t="s">
        <v>2324</v>
      </c>
      <c r="Y341" t="s">
        <v>165</v>
      </c>
      <c r="Z341" t="s">
        <v>257</v>
      </c>
      <c r="AA341" t="s">
        <v>2325</v>
      </c>
      <c r="AB341" t="s">
        <v>2326</v>
      </c>
      <c r="AC341" t="s">
        <v>177</v>
      </c>
      <c r="AF341" t="s">
        <v>170</v>
      </c>
      <c r="AG341" t="s">
        <v>284</v>
      </c>
      <c r="AH341" s="3">
        <v>401360</v>
      </c>
      <c r="AI341" s="3">
        <v>401360</v>
      </c>
      <c r="AJ341" s="1">
        <v>46112</v>
      </c>
      <c r="AN341" t="s">
        <v>172</v>
      </c>
      <c r="AR341" s="7" t="s">
        <v>2327</v>
      </c>
      <c r="AT341" t="s">
        <v>196</v>
      </c>
      <c r="AU341" t="s">
        <v>197</v>
      </c>
      <c r="AW341">
        <v>0</v>
      </c>
      <c r="AX341" s="1">
        <v>46098</v>
      </c>
      <c r="AY341" s="2">
        <v>0.34751157407407407</v>
      </c>
      <c r="AZ341">
        <v>194410</v>
      </c>
      <c r="BA341" s="1">
        <v>46090</v>
      </c>
      <c r="BC341" t="s">
        <v>0</v>
      </c>
      <c r="BD341" s="1">
        <v>46090</v>
      </c>
      <c r="BE341" t="s">
        <v>176</v>
      </c>
      <c r="BL341" s="4">
        <v>0</v>
      </c>
      <c r="BM341" s="1">
        <v>46698</v>
      </c>
      <c r="BN341" s="1">
        <v>46098</v>
      </c>
      <c r="BO341">
        <v>0</v>
      </c>
      <c r="BP341">
        <v>29408</v>
      </c>
      <c r="BQ341" t="s">
        <v>156</v>
      </c>
      <c r="BR341" s="3">
        <v>448000</v>
      </c>
      <c r="BS341">
        <v>0</v>
      </c>
      <c r="BT341">
        <v>0</v>
      </c>
      <c r="BU341" s="3">
        <v>448000</v>
      </c>
      <c r="BV341" s="3">
        <v>401360</v>
      </c>
      <c r="BX341">
        <v>0</v>
      </c>
      <c r="BZ341">
        <v>0</v>
      </c>
      <c r="CA341">
        <v>0</v>
      </c>
      <c r="CB341">
        <v>0</v>
      </c>
      <c r="CC341" s="3">
        <v>401360</v>
      </c>
      <c r="CD341" s="5">
        <v>0</v>
      </c>
      <c r="CF341" s="6">
        <v>46082</v>
      </c>
      <c r="CH341">
        <v>0</v>
      </c>
      <c r="CI341">
        <v>0</v>
      </c>
      <c r="CJ341">
        <v>0</v>
      </c>
      <c r="CK341">
        <v>0</v>
      </c>
      <c r="CL341">
        <v>0</v>
      </c>
      <c r="CM341">
        <v>0</v>
      </c>
      <c r="CN341">
        <v>0</v>
      </c>
      <c r="CO341">
        <v>0</v>
      </c>
      <c r="CP341">
        <v>0</v>
      </c>
      <c r="CQ341">
        <v>0</v>
      </c>
      <c r="CR341">
        <v>0</v>
      </c>
      <c r="CS341" t="s">
        <v>177</v>
      </c>
      <c r="CT341" t="s">
        <v>238</v>
      </c>
      <c r="CU341" t="s">
        <v>780</v>
      </c>
      <c r="CW341">
        <v>-58.191699999999997</v>
      </c>
      <c r="CX341" t="s">
        <v>170</v>
      </c>
      <c r="CZ341" s="1">
        <v>46090</v>
      </c>
      <c r="DA341" t="s">
        <v>172</v>
      </c>
      <c r="DB341" t="s">
        <v>172</v>
      </c>
      <c r="DC341" t="s">
        <v>172</v>
      </c>
      <c r="DD341" t="s">
        <v>172</v>
      </c>
      <c r="DG341" s="1">
        <v>46090</v>
      </c>
      <c r="DH341">
        <v>0</v>
      </c>
      <c r="DI341">
        <v>0</v>
      </c>
      <c r="DL341" t="s">
        <v>263</v>
      </c>
      <c r="DM341" t="s">
        <v>172</v>
      </c>
      <c r="DN341" t="s">
        <v>511</v>
      </c>
      <c r="DU341" t="s">
        <v>240</v>
      </c>
      <c r="DV341" s="3">
        <v>558640</v>
      </c>
      <c r="DW341">
        <v>-58.19</v>
      </c>
      <c r="DX341" s="3">
        <v>558640</v>
      </c>
      <c r="DY341">
        <v>-58.19</v>
      </c>
    </row>
    <row r="342" spans="1:153" x14ac:dyDescent="0.35">
      <c r="A342" t="str">
        <f>HYPERLINK("https://7lm.cvcrm.com.br/gestor/comercial/reservas/6778/administrar","6778")</f>
        <v>6778</v>
      </c>
      <c r="B342" t="s">
        <v>172</v>
      </c>
      <c r="C342" s="1">
        <v>46090</v>
      </c>
      <c r="D342" s="2">
        <v>0.7023611111111111</v>
      </c>
      <c r="E342" t="s">
        <v>527</v>
      </c>
      <c r="F342" t="s">
        <v>226</v>
      </c>
      <c r="G342" t="s">
        <v>159</v>
      </c>
      <c r="H342" t="s">
        <v>252</v>
      </c>
      <c r="I342" t="s">
        <v>2150</v>
      </c>
      <c r="J342">
        <v>1</v>
      </c>
      <c r="L342">
        <v>10031</v>
      </c>
      <c r="M342" t="s">
        <v>2328</v>
      </c>
      <c r="R342" t="str">
        <f>HYPERLINK("https://7lm.cvcrm.com.br/gestor/relatorios/associado/html?q[1|r.idreserva]=6778","ALANA MOREIRA SANTOS")</f>
        <v>ALANA MOREIRA SANTOS</v>
      </c>
      <c r="S342">
        <v>3862080188</v>
      </c>
      <c r="T342">
        <v>5561991344248</v>
      </c>
      <c r="U342">
        <v>5561991344248</v>
      </c>
      <c r="V342" t="s">
        <v>2329</v>
      </c>
      <c r="W342" t="s">
        <v>187</v>
      </c>
      <c r="X342" t="s">
        <v>2330</v>
      </c>
      <c r="Y342" t="s">
        <v>165</v>
      </c>
      <c r="Z342" t="s">
        <v>575</v>
      </c>
      <c r="AA342" t="s">
        <v>1845</v>
      </c>
      <c r="AB342" t="s">
        <v>2331</v>
      </c>
      <c r="AC342" t="s">
        <v>236</v>
      </c>
      <c r="AE342" t="s">
        <v>169</v>
      </c>
      <c r="AF342" t="s">
        <v>170</v>
      </c>
      <c r="AG342" t="s">
        <v>171</v>
      </c>
      <c r="AH342">
        <v>0</v>
      </c>
      <c r="AI342">
        <v>0</v>
      </c>
      <c r="AJ342" s="1">
        <v>69709</v>
      </c>
      <c r="AN342" t="s">
        <v>172</v>
      </c>
      <c r="AO342" t="s">
        <v>2332</v>
      </c>
      <c r="AP342" t="s">
        <v>2333</v>
      </c>
      <c r="AT342" t="s">
        <v>261</v>
      </c>
      <c r="AU342" t="s">
        <v>197</v>
      </c>
      <c r="AW342">
        <v>0</v>
      </c>
      <c r="AX342" s="1">
        <v>46095</v>
      </c>
      <c r="AY342" s="2">
        <v>0.78483796296296293</v>
      </c>
      <c r="AZ342">
        <v>193791</v>
      </c>
      <c r="BA342" s="1">
        <v>46087</v>
      </c>
      <c r="BC342" t="s">
        <v>0</v>
      </c>
      <c r="BD342" s="1">
        <v>46090</v>
      </c>
      <c r="BE342" t="s">
        <v>427</v>
      </c>
      <c r="BL342" s="4">
        <v>0</v>
      </c>
      <c r="BM342" s="1">
        <v>46698</v>
      </c>
      <c r="BO342">
        <v>0</v>
      </c>
      <c r="BP342">
        <v>29321</v>
      </c>
      <c r="BQ342" t="s">
        <v>156</v>
      </c>
      <c r="BR342" s="3">
        <v>350000</v>
      </c>
      <c r="BS342">
        <v>0</v>
      </c>
      <c r="BT342">
        <v>0</v>
      </c>
      <c r="BU342" s="3">
        <v>350000</v>
      </c>
      <c r="BV342">
        <v>0</v>
      </c>
      <c r="BX342">
        <v>0</v>
      </c>
      <c r="BZ342">
        <v>0</v>
      </c>
      <c r="CA342">
        <v>0</v>
      </c>
      <c r="CB342">
        <v>0</v>
      </c>
      <c r="CC342">
        <v>0</v>
      </c>
      <c r="CD342" s="5">
        <v>0</v>
      </c>
      <c r="CF342" s="6">
        <v>46082</v>
      </c>
      <c r="CH342">
        <v>0</v>
      </c>
      <c r="CI342">
        <v>0</v>
      </c>
      <c r="CJ342">
        <v>0</v>
      </c>
      <c r="CK342">
        <v>0</v>
      </c>
      <c r="CL342">
        <v>0</v>
      </c>
      <c r="CM342">
        <v>0</v>
      </c>
      <c r="CN342">
        <v>0</v>
      </c>
      <c r="CO342">
        <v>0</v>
      </c>
      <c r="CP342">
        <v>0</v>
      </c>
      <c r="CQ342">
        <v>0</v>
      </c>
      <c r="CR342">
        <v>0</v>
      </c>
      <c r="CT342" t="s">
        <v>238</v>
      </c>
      <c r="CU342" t="s">
        <v>2150</v>
      </c>
      <c r="CW342">
        <v>0</v>
      </c>
      <c r="CX342" t="s">
        <v>170</v>
      </c>
      <c r="CZ342" s="1">
        <v>46090</v>
      </c>
      <c r="DA342" t="s">
        <v>172</v>
      </c>
      <c r="DB342" t="s">
        <v>172</v>
      </c>
      <c r="DC342" t="s">
        <v>172</v>
      </c>
      <c r="DD342" t="s">
        <v>172</v>
      </c>
      <c r="DG342" s="1">
        <v>46090</v>
      </c>
      <c r="DH342">
        <v>0</v>
      </c>
      <c r="DI342">
        <v>0</v>
      </c>
      <c r="DL342" t="s">
        <v>263</v>
      </c>
      <c r="DM342" t="s">
        <v>172</v>
      </c>
      <c r="DN342" t="s">
        <v>264</v>
      </c>
      <c r="DU342" t="s">
        <v>1120</v>
      </c>
      <c r="DV342" s="3">
        <v>909933.08</v>
      </c>
      <c r="DW342">
        <v>-100</v>
      </c>
      <c r="DX342" s="3">
        <v>909933.08</v>
      </c>
      <c r="DY342">
        <v>-100</v>
      </c>
    </row>
    <row r="343" spans="1:153" ht="246.5" x14ac:dyDescent="0.35">
      <c r="A343" t="str">
        <f>HYPERLINK("https://7lm.cvcrm.com.br/gestor/comercial/reservas/6777/administrar","6777")</f>
        <v>6777</v>
      </c>
      <c r="B343" t="s">
        <v>156</v>
      </c>
      <c r="C343" s="1">
        <v>46090</v>
      </c>
      <c r="D343" s="2">
        <v>0.65763888888888888</v>
      </c>
      <c r="E343" t="s">
        <v>294</v>
      </c>
      <c r="F343" t="s">
        <v>216</v>
      </c>
      <c r="G343" t="s">
        <v>159</v>
      </c>
      <c r="H343" t="s">
        <v>306</v>
      </c>
      <c r="I343" t="s">
        <v>285</v>
      </c>
      <c r="J343">
        <v>1</v>
      </c>
      <c r="L343">
        <v>20061</v>
      </c>
      <c r="M343" t="s">
        <v>2334</v>
      </c>
      <c r="N343" s="1">
        <v>46094</v>
      </c>
      <c r="O343" s="2">
        <v>0.48703703703703705</v>
      </c>
      <c r="R343" t="str">
        <f>HYPERLINK("https://7lm.cvcrm.com.br/gestor/relatorios/associado/html?q[1|r.idreserva]=6777","YASMIN CORREA FARIAS")</f>
        <v>YASMIN CORREA FARIAS</v>
      </c>
      <c r="S343">
        <v>6754654279</v>
      </c>
      <c r="T343">
        <v>5561981099805</v>
      </c>
      <c r="V343" t="s">
        <v>2335</v>
      </c>
      <c r="W343" t="s">
        <v>187</v>
      </c>
      <c r="X343" t="s">
        <v>2336</v>
      </c>
      <c r="Y343" t="s">
        <v>189</v>
      </c>
      <c r="Z343" t="s">
        <v>214</v>
      </c>
      <c r="AA343" t="s">
        <v>471</v>
      </c>
      <c r="AB343" t="s">
        <v>2337</v>
      </c>
      <c r="AC343" t="s">
        <v>2149</v>
      </c>
      <c r="AF343" t="s">
        <v>399</v>
      </c>
      <c r="AG343" t="s">
        <v>195</v>
      </c>
      <c r="AH343" s="3">
        <v>218001.62</v>
      </c>
      <c r="AI343" s="3">
        <v>218001.62</v>
      </c>
      <c r="AJ343" s="1">
        <v>46157</v>
      </c>
      <c r="AN343" t="s">
        <v>172</v>
      </c>
      <c r="AR343" s="7" t="s">
        <v>353</v>
      </c>
      <c r="AT343" t="s">
        <v>196</v>
      </c>
      <c r="AU343" t="s">
        <v>316</v>
      </c>
      <c r="AW343">
        <v>0</v>
      </c>
      <c r="AX343" s="1">
        <v>46105</v>
      </c>
      <c r="AY343" s="2">
        <v>0.51181712962962966</v>
      </c>
      <c r="AZ343">
        <v>46326</v>
      </c>
      <c r="BA343" s="1">
        <v>44208</v>
      </c>
      <c r="BB343" s="1">
        <v>46080</v>
      </c>
      <c r="BC343" t="s">
        <v>0</v>
      </c>
      <c r="BD343" s="1">
        <v>46090</v>
      </c>
      <c r="BE343" t="s">
        <v>317</v>
      </c>
      <c r="BL343" s="4">
        <v>0</v>
      </c>
      <c r="BM343" s="1">
        <v>46995</v>
      </c>
      <c r="BN343" s="1">
        <v>46105</v>
      </c>
      <c r="BO343">
        <v>0</v>
      </c>
      <c r="BP343">
        <v>29060</v>
      </c>
      <c r="BQ343" t="s">
        <v>156</v>
      </c>
      <c r="BR343" s="3">
        <v>127107.89</v>
      </c>
      <c r="BS343" s="3">
        <v>35043</v>
      </c>
      <c r="BT343">
        <v>0</v>
      </c>
      <c r="BU343" s="3">
        <v>162150.89000000001</v>
      </c>
      <c r="BV343" s="3">
        <v>218001.62</v>
      </c>
      <c r="BX343">
        <v>0</v>
      </c>
      <c r="BZ343">
        <v>0</v>
      </c>
      <c r="CA343">
        <v>0</v>
      </c>
      <c r="CB343">
        <v>0</v>
      </c>
      <c r="CC343" s="3">
        <v>218001.62</v>
      </c>
      <c r="CD343" s="5">
        <v>0</v>
      </c>
      <c r="CF343" s="6">
        <v>46082</v>
      </c>
      <c r="CH343">
        <v>0</v>
      </c>
      <c r="CI343">
        <v>0</v>
      </c>
      <c r="CJ343">
        <v>0</v>
      </c>
      <c r="CK343">
        <v>0</v>
      </c>
      <c r="CL343">
        <v>0</v>
      </c>
      <c r="CM343">
        <v>0</v>
      </c>
      <c r="CN343">
        <v>0</v>
      </c>
      <c r="CO343">
        <v>0</v>
      </c>
      <c r="CP343">
        <v>0</v>
      </c>
      <c r="CQ343">
        <v>0</v>
      </c>
      <c r="CR343">
        <v>0</v>
      </c>
      <c r="CS343" t="s">
        <v>360</v>
      </c>
      <c r="CT343" t="s">
        <v>214</v>
      </c>
      <c r="CU343" t="s">
        <v>285</v>
      </c>
      <c r="CW343">
        <v>-53.4131</v>
      </c>
      <c r="CZ343" s="1">
        <v>46090</v>
      </c>
      <c r="DA343" t="s">
        <v>172</v>
      </c>
      <c r="DB343" t="s">
        <v>172</v>
      </c>
      <c r="DC343" t="s">
        <v>172</v>
      </c>
      <c r="DD343" t="s">
        <v>172</v>
      </c>
      <c r="DG343" s="1">
        <v>46090</v>
      </c>
      <c r="DH343">
        <v>0</v>
      </c>
      <c r="DI343">
        <v>0</v>
      </c>
      <c r="DK343" t="s">
        <v>179</v>
      </c>
      <c r="DL343" t="s">
        <v>224</v>
      </c>
      <c r="DM343" t="s">
        <v>172</v>
      </c>
      <c r="DN343" t="s">
        <v>201</v>
      </c>
      <c r="DV343" s="3">
        <v>218001.62</v>
      </c>
      <c r="DW343">
        <v>0</v>
      </c>
      <c r="DX343" s="3">
        <v>218001.62</v>
      </c>
      <c r="DY343">
        <v>0</v>
      </c>
      <c r="EF343" s="1">
        <v>46094</v>
      </c>
      <c r="EG343" s="1">
        <v>46092</v>
      </c>
      <c r="EK343" s="1">
        <v>46094</v>
      </c>
      <c r="EL343" s="1">
        <v>46094</v>
      </c>
      <c r="EP343" s="1">
        <v>46099</v>
      </c>
    </row>
    <row r="344" spans="1:153" x14ac:dyDescent="0.35">
      <c r="A344" t="str">
        <f>HYPERLINK("https://7lm.cvcrm.com.br/gestor/comercial/reservas/6776/administrar","6776")</f>
        <v>6776</v>
      </c>
      <c r="B344" t="s">
        <v>172</v>
      </c>
      <c r="C344" s="1">
        <v>46090</v>
      </c>
      <c r="D344" s="2">
        <v>0.5009837962962963</v>
      </c>
      <c r="E344" t="s">
        <v>157</v>
      </c>
      <c r="F344" t="s">
        <v>2338</v>
      </c>
      <c r="G344" t="s">
        <v>2339</v>
      </c>
      <c r="H344" t="s">
        <v>2340</v>
      </c>
      <c r="I344">
        <v>503</v>
      </c>
      <c r="J344">
        <v>72.11</v>
      </c>
      <c r="L344">
        <v>10061</v>
      </c>
      <c r="M344" t="s">
        <v>2341</v>
      </c>
      <c r="R344" t="str">
        <f>HYPERLINK("https://7lm.cvcrm.com.br/gestor/relatorios/associado/html?q[1|r.idreserva]=6776","ELIANE ALVES AMARAL")</f>
        <v>ELIANE ALVES AMARAL</v>
      </c>
      <c r="S344">
        <v>60329874187</v>
      </c>
      <c r="T344">
        <v>5561999712557</v>
      </c>
      <c r="U344">
        <v>5561999712557</v>
      </c>
      <c r="V344" t="s">
        <v>2342</v>
      </c>
      <c r="W344" t="s">
        <v>187</v>
      </c>
      <c r="X344" t="s">
        <v>521</v>
      </c>
      <c r="Y344" t="s">
        <v>165</v>
      </c>
      <c r="Z344" t="s">
        <v>166</v>
      </c>
      <c r="AA344" t="s">
        <v>730</v>
      </c>
      <c r="AB344" t="s">
        <v>2343</v>
      </c>
      <c r="AC344" t="s">
        <v>2344</v>
      </c>
      <c r="AF344" t="s">
        <v>2345</v>
      </c>
      <c r="AG344" t="s">
        <v>195</v>
      </c>
      <c r="AH344">
        <v>0</v>
      </c>
      <c r="AI344">
        <v>0</v>
      </c>
      <c r="AJ344" s="1">
        <v>47484</v>
      </c>
      <c r="AN344" t="s">
        <v>172</v>
      </c>
      <c r="AT344" t="s">
        <v>196</v>
      </c>
      <c r="AU344" t="s">
        <v>197</v>
      </c>
      <c r="AW344">
        <v>0</v>
      </c>
      <c r="AX344" s="1">
        <v>46090</v>
      </c>
      <c r="AY344" s="2">
        <v>0.50099537037037034</v>
      </c>
      <c r="AZ344">
        <v>176779</v>
      </c>
      <c r="BA344" s="1">
        <v>45980</v>
      </c>
      <c r="BC344" t="s">
        <v>0</v>
      </c>
      <c r="BD344" s="1">
        <v>46090</v>
      </c>
      <c r="BE344" t="s">
        <v>817</v>
      </c>
      <c r="BL344" s="4">
        <v>0</v>
      </c>
      <c r="BM344" s="1">
        <v>44562</v>
      </c>
      <c r="BO344">
        <v>0</v>
      </c>
      <c r="BP344">
        <v>26103</v>
      </c>
      <c r="BQ344" t="s">
        <v>156</v>
      </c>
      <c r="BR344">
        <v>0</v>
      </c>
      <c r="BS344">
        <v>0</v>
      </c>
      <c r="BT344">
        <v>0</v>
      </c>
      <c r="BU344">
        <v>0</v>
      </c>
      <c r="BV344">
        <v>0</v>
      </c>
      <c r="BX344">
        <v>0</v>
      </c>
      <c r="BZ344">
        <v>0</v>
      </c>
      <c r="CA344">
        <v>0</v>
      </c>
      <c r="CB344">
        <v>0</v>
      </c>
      <c r="CC344">
        <v>0</v>
      </c>
      <c r="CD344" s="5">
        <v>0</v>
      </c>
      <c r="CF344" s="6">
        <v>46143</v>
      </c>
      <c r="CH344">
        <v>0</v>
      </c>
      <c r="CI344">
        <v>0</v>
      </c>
      <c r="CJ344">
        <v>0</v>
      </c>
      <c r="CK344">
        <v>0</v>
      </c>
      <c r="CL344">
        <v>0</v>
      </c>
      <c r="CM344">
        <v>0</v>
      </c>
      <c r="CN344">
        <v>0</v>
      </c>
      <c r="CO344">
        <v>0</v>
      </c>
      <c r="CP344">
        <v>0</v>
      </c>
      <c r="CQ344">
        <v>0</v>
      </c>
      <c r="CR344">
        <v>0</v>
      </c>
      <c r="CT344" t="s">
        <v>166</v>
      </c>
      <c r="CU344">
        <v>503</v>
      </c>
      <c r="CW344">
        <v>0</v>
      </c>
      <c r="CZ344" s="1">
        <v>46090</v>
      </c>
      <c r="DA344" t="s">
        <v>172</v>
      </c>
      <c r="DB344" t="s">
        <v>172</v>
      </c>
      <c r="DC344" t="s">
        <v>172</v>
      </c>
      <c r="DD344" t="s">
        <v>172</v>
      </c>
      <c r="DG344" s="1">
        <v>46090</v>
      </c>
      <c r="DH344">
        <v>0</v>
      </c>
      <c r="DI344">
        <v>0</v>
      </c>
      <c r="DL344" t="s">
        <v>263</v>
      </c>
      <c r="DM344" t="s">
        <v>172</v>
      </c>
      <c r="DN344" t="s">
        <v>180</v>
      </c>
      <c r="DU344" t="s">
        <v>2346</v>
      </c>
      <c r="DV344" s="3">
        <v>2320015.71</v>
      </c>
      <c r="DW344">
        <v>-100</v>
      </c>
      <c r="DX344" s="3">
        <v>2320015.71</v>
      </c>
      <c r="DY344">
        <v>-100</v>
      </c>
    </row>
    <row r="345" spans="1:153" ht="246.5" x14ac:dyDescent="0.35">
      <c r="A345" t="str">
        <f>HYPERLINK("https://7lm.cvcrm.com.br/gestor/comercial/reservas/6775/administrar","6775")</f>
        <v>6775</v>
      </c>
      <c r="B345" t="s">
        <v>156</v>
      </c>
      <c r="C345" s="1">
        <v>46090</v>
      </c>
      <c r="D345" s="2">
        <v>0.48635416666666664</v>
      </c>
      <c r="E345" t="s">
        <v>294</v>
      </c>
      <c r="F345" t="s">
        <v>182</v>
      </c>
      <c r="G345" t="s">
        <v>159</v>
      </c>
      <c r="H345" t="s">
        <v>372</v>
      </c>
      <c r="I345" t="s">
        <v>2347</v>
      </c>
      <c r="J345">
        <v>1</v>
      </c>
      <c r="L345">
        <v>30151</v>
      </c>
      <c r="M345" t="s">
        <v>2348</v>
      </c>
      <c r="N345" s="1">
        <v>46094</v>
      </c>
      <c r="O345" s="2">
        <v>0.50356481481481485</v>
      </c>
      <c r="R345" t="str">
        <f>HYPERLINK("https://7lm.cvcrm.com.br/gestor/relatorios/associado/html?q[1|r.idreserva]=6775","REYNALDO DE JESUS CALACA")</f>
        <v>REYNALDO DE JESUS CALACA</v>
      </c>
      <c r="S345">
        <v>71345900112</v>
      </c>
      <c r="T345">
        <v>5561998487110</v>
      </c>
      <c r="V345" t="s">
        <v>2349</v>
      </c>
      <c r="W345" t="s">
        <v>163</v>
      </c>
      <c r="X345" t="s">
        <v>376</v>
      </c>
      <c r="Y345" t="s">
        <v>189</v>
      </c>
      <c r="Z345" t="s">
        <v>190</v>
      </c>
      <c r="AA345" t="s">
        <v>675</v>
      </c>
      <c r="AB345" t="s">
        <v>2350</v>
      </c>
      <c r="AC345" t="s">
        <v>917</v>
      </c>
      <c r="AF345" t="s">
        <v>194</v>
      </c>
      <c r="AG345" t="s">
        <v>251</v>
      </c>
      <c r="AH345" s="3">
        <v>245657.67</v>
      </c>
      <c r="AI345" s="3">
        <v>245657.67</v>
      </c>
      <c r="AJ345" s="1">
        <v>46106</v>
      </c>
      <c r="AN345" t="s">
        <v>172</v>
      </c>
      <c r="AR345" s="7" t="s">
        <v>353</v>
      </c>
      <c r="AT345" t="s">
        <v>196</v>
      </c>
      <c r="AU345" t="s">
        <v>292</v>
      </c>
      <c r="AW345">
        <v>0</v>
      </c>
      <c r="AX345" s="1">
        <v>46094</v>
      </c>
      <c r="AY345" s="2">
        <v>0.64156250000000004</v>
      </c>
      <c r="AZ345">
        <v>194361</v>
      </c>
      <c r="BA345" s="1">
        <v>46090</v>
      </c>
      <c r="BC345" t="s">
        <v>0</v>
      </c>
      <c r="BD345" s="1">
        <v>46090</v>
      </c>
      <c r="BE345" t="s">
        <v>213</v>
      </c>
      <c r="BL345" s="4">
        <v>0</v>
      </c>
      <c r="BM345" s="1">
        <v>46899</v>
      </c>
      <c r="BN345" s="1">
        <v>46094</v>
      </c>
      <c r="BO345">
        <v>0</v>
      </c>
      <c r="BP345">
        <v>29165</v>
      </c>
      <c r="BQ345" t="s">
        <v>156</v>
      </c>
      <c r="BR345" s="3">
        <v>133411.67000000001</v>
      </c>
      <c r="BS345" s="3">
        <v>26284</v>
      </c>
      <c r="BT345">
        <v>0</v>
      </c>
      <c r="BU345" s="3">
        <v>159695.67000000001</v>
      </c>
      <c r="BV345" s="3">
        <v>245657.67</v>
      </c>
      <c r="BX345">
        <v>0</v>
      </c>
      <c r="BZ345">
        <v>0</v>
      </c>
      <c r="CA345">
        <v>0</v>
      </c>
      <c r="CB345">
        <v>0</v>
      </c>
      <c r="CC345" s="3">
        <v>245657.67</v>
      </c>
      <c r="CD345" s="5">
        <v>0</v>
      </c>
      <c r="CF345" s="6">
        <v>46082</v>
      </c>
      <c r="CH345">
        <v>0</v>
      </c>
      <c r="CI345">
        <v>0</v>
      </c>
      <c r="CJ345">
        <v>0</v>
      </c>
      <c r="CK345">
        <v>0</v>
      </c>
      <c r="CL345">
        <v>0</v>
      </c>
      <c r="CM345">
        <v>0</v>
      </c>
      <c r="CN345">
        <v>0</v>
      </c>
      <c r="CO345">
        <v>0</v>
      </c>
      <c r="CP345">
        <v>0</v>
      </c>
      <c r="CQ345">
        <v>0</v>
      </c>
      <c r="CR345">
        <v>0</v>
      </c>
      <c r="CS345" t="s">
        <v>360</v>
      </c>
      <c r="CT345" t="s">
        <v>190</v>
      </c>
      <c r="CU345" t="s">
        <v>2347</v>
      </c>
      <c r="CW345">
        <v>-50.6021</v>
      </c>
      <c r="CZ345" s="1">
        <v>46090</v>
      </c>
      <c r="DA345" t="s">
        <v>172</v>
      </c>
      <c r="DB345" t="s">
        <v>172</v>
      </c>
      <c r="DC345" t="s">
        <v>172</v>
      </c>
      <c r="DD345" t="s">
        <v>172</v>
      </c>
      <c r="DG345" s="1">
        <v>46090</v>
      </c>
      <c r="DH345">
        <v>0</v>
      </c>
      <c r="DI345">
        <v>0</v>
      </c>
      <c r="DK345" t="s">
        <v>179</v>
      </c>
      <c r="DL345" t="s">
        <v>200</v>
      </c>
      <c r="DM345" t="s">
        <v>172</v>
      </c>
      <c r="DN345" t="s">
        <v>201</v>
      </c>
      <c r="DV345" s="3">
        <v>245657.67</v>
      </c>
      <c r="DW345">
        <v>0</v>
      </c>
      <c r="DX345" s="3">
        <v>245657.67</v>
      </c>
      <c r="DY345">
        <v>0</v>
      </c>
      <c r="EF345" s="1">
        <v>46093</v>
      </c>
      <c r="EN345" t="s">
        <v>156</v>
      </c>
      <c r="EP345" s="1">
        <v>46092</v>
      </c>
      <c r="EQ345" s="1">
        <v>46097</v>
      </c>
      <c r="ER345" s="1">
        <v>46091</v>
      </c>
      <c r="ES345" t="s">
        <v>2351</v>
      </c>
      <c r="ET345" t="s">
        <v>1904</v>
      </c>
      <c r="EU345" s="1">
        <v>46094</v>
      </c>
      <c r="EV345" s="1">
        <v>46097</v>
      </c>
      <c r="EW345" s="1">
        <v>46090</v>
      </c>
    </row>
    <row r="346" spans="1:153" x14ac:dyDescent="0.35">
      <c r="A346" t="str">
        <f>HYPERLINK("https://7lm.cvcrm.com.br/gestor/comercial/reservas/6774/administrar","6774")</f>
        <v>6774</v>
      </c>
      <c r="B346" t="s">
        <v>172</v>
      </c>
      <c r="C346" s="1">
        <v>46090</v>
      </c>
      <c r="D346" s="2">
        <v>0.42842592592592593</v>
      </c>
      <c r="E346" t="s">
        <v>527</v>
      </c>
      <c r="F346" t="s">
        <v>226</v>
      </c>
      <c r="G346" t="s">
        <v>159</v>
      </c>
      <c r="H346" t="s">
        <v>252</v>
      </c>
      <c r="I346" t="s">
        <v>2352</v>
      </c>
      <c r="J346">
        <v>1</v>
      </c>
      <c r="L346">
        <v>10031</v>
      </c>
      <c r="M346" t="s">
        <v>2353</v>
      </c>
      <c r="R346" t="str">
        <f>HYPERLINK("https://7lm.cvcrm.com.br/gestor/relatorios/associado/html?q[1|r.idreserva]=6774","ERICA PEREIRA XAVIER HADJI")</f>
        <v>ERICA PEREIRA XAVIER HADJI</v>
      </c>
      <c r="S346">
        <v>80978690125</v>
      </c>
      <c r="T346">
        <v>5561981815937</v>
      </c>
      <c r="U346">
        <v>5561981815937</v>
      </c>
      <c r="V346" t="s">
        <v>2071</v>
      </c>
      <c r="W346" t="s">
        <v>187</v>
      </c>
      <c r="X346" t="s">
        <v>1147</v>
      </c>
      <c r="Y346" t="s">
        <v>165</v>
      </c>
      <c r="Z346" t="s">
        <v>257</v>
      </c>
      <c r="AA346" t="s">
        <v>522</v>
      </c>
      <c r="AB346" t="s">
        <v>2072</v>
      </c>
      <c r="AC346" t="s">
        <v>177</v>
      </c>
      <c r="AF346" t="s">
        <v>170</v>
      </c>
      <c r="AG346" t="s">
        <v>552</v>
      </c>
      <c r="AH346">
        <v>0</v>
      </c>
      <c r="AI346">
        <v>0</v>
      </c>
      <c r="AJ346" s="1">
        <v>69709</v>
      </c>
      <c r="AN346" t="s">
        <v>172</v>
      </c>
      <c r="AO346" t="s">
        <v>966</v>
      </c>
      <c r="AT346" t="s">
        <v>196</v>
      </c>
      <c r="AU346" t="s">
        <v>197</v>
      </c>
      <c r="AW346">
        <v>0</v>
      </c>
      <c r="AX346" s="1">
        <v>46093</v>
      </c>
      <c r="AY346" s="2">
        <v>0.58523148148148152</v>
      </c>
      <c r="AZ346">
        <v>193523</v>
      </c>
      <c r="BA346" s="1">
        <v>46085</v>
      </c>
      <c r="BC346" t="s">
        <v>0</v>
      </c>
      <c r="BD346" s="1">
        <v>46090</v>
      </c>
      <c r="BE346" t="s">
        <v>176</v>
      </c>
      <c r="BL346" s="4">
        <v>0</v>
      </c>
      <c r="BM346" s="1">
        <v>46698</v>
      </c>
      <c r="BO346">
        <v>0</v>
      </c>
      <c r="BP346">
        <v>29226</v>
      </c>
      <c r="BQ346" t="s">
        <v>156</v>
      </c>
      <c r="BR346" s="3">
        <v>359955.26</v>
      </c>
      <c r="BS346">
        <v>0</v>
      </c>
      <c r="BT346">
        <v>0</v>
      </c>
      <c r="BU346" s="3">
        <v>359955.26</v>
      </c>
      <c r="BV346">
        <v>0</v>
      </c>
      <c r="BX346">
        <v>0</v>
      </c>
      <c r="BZ346">
        <v>0</v>
      </c>
      <c r="CA346">
        <v>0</v>
      </c>
      <c r="CB346">
        <v>0</v>
      </c>
      <c r="CC346">
        <v>0</v>
      </c>
      <c r="CD346" s="5">
        <v>0</v>
      </c>
      <c r="CF346" s="6">
        <v>46082</v>
      </c>
      <c r="CH346">
        <v>0</v>
      </c>
      <c r="CI346">
        <v>0</v>
      </c>
      <c r="CJ346">
        <v>0</v>
      </c>
      <c r="CK346">
        <v>0</v>
      </c>
      <c r="CL346">
        <v>0</v>
      </c>
      <c r="CM346">
        <v>0</v>
      </c>
      <c r="CN346">
        <v>0</v>
      </c>
      <c r="CO346">
        <v>0</v>
      </c>
      <c r="CP346">
        <v>0</v>
      </c>
      <c r="CQ346">
        <v>0</v>
      </c>
      <c r="CR346">
        <v>0</v>
      </c>
      <c r="CT346" t="s">
        <v>238</v>
      </c>
      <c r="CU346" t="s">
        <v>2352</v>
      </c>
      <c r="CW346">
        <v>0</v>
      </c>
      <c r="CX346" t="s">
        <v>170</v>
      </c>
      <c r="CZ346" s="1">
        <v>46090</v>
      </c>
      <c r="DA346" t="s">
        <v>172</v>
      </c>
      <c r="DB346" t="s">
        <v>172</v>
      </c>
      <c r="DC346" t="s">
        <v>172</v>
      </c>
      <c r="DD346" t="s">
        <v>172</v>
      </c>
      <c r="DG346" s="1">
        <v>46090</v>
      </c>
      <c r="DH346">
        <v>0</v>
      </c>
      <c r="DI346">
        <v>0</v>
      </c>
      <c r="DL346" t="s">
        <v>263</v>
      </c>
      <c r="DM346" t="s">
        <v>172</v>
      </c>
      <c r="DN346" t="s">
        <v>264</v>
      </c>
      <c r="DU346" t="s">
        <v>240</v>
      </c>
      <c r="DV346" s="3">
        <v>940000</v>
      </c>
      <c r="DW346">
        <v>-100</v>
      </c>
      <c r="DX346" s="3">
        <v>940000</v>
      </c>
      <c r="DY346">
        <v>-100</v>
      </c>
    </row>
    <row r="347" spans="1:153" ht="246.5" x14ac:dyDescent="0.35">
      <c r="A347" t="str">
        <f>HYPERLINK("https://7lm.cvcrm.com.br/gestor/comercial/reservas/6773/administrar","6773")</f>
        <v>6773</v>
      </c>
      <c r="B347" t="s">
        <v>156</v>
      </c>
      <c r="C347" s="1">
        <v>46088</v>
      </c>
      <c r="D347" s="2">
        <v>0.53326388888888887</v>
      </c>
      <c r="E347" t="s">
        <v>294</v>
      </c>
      <c r="F347" t="s">
        <v>216</v>
      </c>
      <c r="G347" t="s">
        <v>159</v>
      </c>
      <c r="H347" t="s">
        <v>217</v>
      </c>
      <c r="I347" t="s">
        <v>2354</v>
      </c>
      <c r="J347">
        <v>1</v>
      </c>
      <c r="L347">
        <v>20061</v>
      </c>
      <c r="M347" t="s">
        <v>2355</v>
      </c>
      <c r="N347" s="1">
        <v>46093</v>
      </c>
      <c r="O347" s="2">
        <v>0.49284722222222221</v>
      </c>
      <c r="R347" t="str">
        <f>HYPERLINK("https://7lm.cvcrm.com.br/gestor/relatorios/associado/html?q[1|r.idreserva]=6773","GRAZIELLE APARECIDA PORTO BRAUNA")</f>
        <v>GRAZIELLE APARECIDA PORTO BRAUNA</v>
      </c>
      <c r="S347">
        <v>6752731101</v>
      </c>
      <c r="T347">
        <v>5561986298985</v>
      </c>
      <c r="V347" t="s">
        <v>2356</v>
      </c>
      <c r="W347" t="s">
        <v>187</v>
      </c>
      <c r="Y347" t="s">
        <v>189</v>
      </c>
      <c r="Z347" t="s">
        <v>214</v>
      </c>
      <c r="AA347" t="s">
        <v>2357</v>
      </c>
      <c r="AB347" t="s">
        <v>2358</v>
      </c>
      <c r="AC347" t="s">
        <v>455</v>
      </c>
      <c r="AF347" t="s">
        <v>389</v>
      </c>
      <c r="AG347" t="s">
        <v>195</v>
      </c>
      <c r="AH347" s="3">
        <v>218707.07</v>
      </c>
      <c r="AI347" s="3">
        <v>218707.07</v>
      </c>
      <c r="AJ347" s="1">
        <v>46147</v>
      </c>
      <c r="AN347" t="s">
        <v>172</v>
      </c>
      <c r="AR347" s="7" t="s">
        <v>353</v>
      </c>
      <c r="AT347" t="s">
        <v>196</v>
      </c>
      <c r="AU347" t="s">
        <v>1073</v>
      </c>
      <c r="AW347">
        <v>0</v>
      </c>
      <c r="AX347" s="1">
        <v>46106</v>
      </c>
      <c r="AY347" s="2">
        <v>0.69457175925925929</v>
      </c>
      <c r="AZ347">
        <v>192580</v>
      </c>
      <c r="BA347" s="1">
        <v>46081</v>
      </c>
      <c r="BC347" t="s">
        <v>0</v>
      </c>
      <c r="BD347" s="1">
        <v>46088</v>
      </c>
      <c r="BE347" t="s">
        <v>198</v>
      </c>
      <c r="BL347" s="4">
        <v>0</v>
      </c>
      <c r="BM347" s="1">
        <v>46995</v>
      </c>
      <c r="BN347" s="1">
        <v>46106</v>
      </c>
      <c r="BO347">
        <v>0</v>
      </c>
      <c r="BP347">
        <v>29286</v>
      </c>
      <c r="BQ347" t="s">
        <v>156</v>
      </c>
      <c r="BR347" s="3">
        <v>103444.59</v>
      </c>
      <c r="BS347" s="3">
        <v>55000</v>
      </c>
      <c r="BT347">
        <v>0</v>
      </c>
      <c r="BU347" s="3">
        <v>158444.59</v>
      </c>
      <c r="BV347" s="3">
        <v>218707.07</v>
      </c>
      <c r="BX347">
        <v>0</v>
      </c>
      <c r="BZ347">
        <v>0</v>
      </c>
      <c r="CA347">
        <v>0</v>
      </c>
      <c r="CB347">
        <v>0</v>
      </c>
      <c r="CC347" s="3">
        <v>218707.07</v>
      </c>
      <c r="CD347" s="5">
        <v>0</v>
      </c>
      <c r="CF347" s="6">
        <v>46082</v>
      </c>
      <c r="CH347">
        <v>0</v>
      </c>
      <c r="CI347">
        <v>0</v>
      </c>
      <c r="CJ347">
        <v>0</v>
      </c>
      <c r="CK347">
        <v>0</v>
      </c>
      <c r="CL347">
        <v>0</v>
      </c>
      <c r="CM347">
        <v>0</v>
      </c>
      <c r="CN347">
        <v>0</v>
      </c>
      <c r="CO347">
        <v>0</v>
      </c>
      <c r="CP347">
        <v>0</v>
      </c>
      <c r="CQ347">
        <v>0</v>
      </c>
      <c r="CR347">
        <v>0</v>
      </c>
      <c r="CS347" t="s">
        <v>360</v>
      </c>
      <c r="CT347" t="s">
        <v>214</v>
      </c>
      <c r="CU347" t="s">
        <v>2354</v>
      </c>
      <c r="CW347">
        <v>-52.554699999999997</v>
      </c>
      <c r="CZ347" s="1">
        <v>46088</v>
      </c>
      <c r="DA347" t="s">
        <v>172</v>
      </c>
      <c r="DB347" t="s">
        <v>172</v>
      </c>
      <c r="DC347" t="s">
        <v>172</v>
      </c>
      <c r="DD347" t="s">
        <v>172</v>
      </c>
      <c r="DG347" s="1">
        <v>46088</v>
      </c>
      <c r="DH347">
        <v>0</v>
      </c>
      <c r="DI347">
        <v>0</v>
      </c>
      <c r="DK347" t="s">
        <v>179</v>
      </c>
      <c r="DL347" t="s">
        <v>224</v>
      </c>
      <c r="DM347" t="s">
        <v>172</v>
      </c>
      <c r="DN347" t="s">
        <v>201</v>
      </c>
      <c r="DV347" s="3">
        <v>218707.07</v>
      </c>
      <c r="DW347">
        <v>0</v>
      </c>
      <c r="DX347" s="3">
        <v>218707.07</v>
      </c>
      <c r="DY347">
        <v>0</v>
      </c>
      <c r="EF347" s="1">
        <v>46093</v>
      </c>
      <c r="EG347" s="1">
        <v>46092</v>
      </c>
      <c r="EK347" s="1">
        <v>46093</v>
      </c>
      <c r="EL347" s="1">
        <v>46093</v>
      </c>
      <c r="EM347" s="1">
        <v>46091</v>
      </c>
      <c r="EP347" s="1">
        <v>46090</v>
      </c>
      <c r="ER347" s="1">
        <v>46090</v>
      </c>
      <c r="ES347" t="s">
        <v>2359</v>
      </c>
      <c r="ET347" t="s">
        <v>2360</v>
      </c>
    </row>
    <row r="348" spans="1:153" ht="246.5" x14ac:dyDescent="0.35">
      <c r="A348" t="str">
        <f>HYPERLINK("https://7lm.cvcrm.com.br/gestor/comercial/reservas/6772/administrar","6772")</f>
        <v>6772</v>
      </c>
      <c r="B348" t="s">
        <v>156</v>
      </c>
      <c r="C348" s="1">
        <v>46088</v>
      </c>
      <c r="D348" s="2">
        <v>0.52458333333333329</v>
      </c>
      <c r="E348" t="s">
        <v>294</v>
      </c>
      <c r="F348" t="s">
        <v>216</v>
      </c>
      <c r="G348" t="s">
        <v>159</v>
      </c>
      <c r="H348" t="s">
        <v>336</v>
      </c>
      <c r="I348" t="s">
        <v>489</v>
      </c>
      <c r="J348">
        <v>1</v>
      </c>
      <c r="L348">
        <v>20061</v>
      </c>
      <c r="M348" t="s">
        <v>2361</v>
      </c>
      <c r="N348" s="1">
        <v>46106</v>
      </c>
      <c r="O348" s="2">
        <v>0.69988425925925923</v>
      </c>
      <c r="R348" t="str">
        <f>HYPERLINK("https://7lm.cvcrm.com.br/gestor/relatorios/associado/html?q[1|r.idreserva]=6772","THALITA PEREIRA GOMES")</f>
        <v>THALITA PEREIRA GOMES</v>
      </c>
      <c r="S348">
        <v>70880483105</v>
      </c>
      <c r="T348">
        <v>5561991048318</v>
      </c>
      <c r="V348" t="s">
        <v>2362</v>
      </c>
      <c r="W348" t="s">
        <v>187</v>
      </c>
      <c r="X348" t="s">
        <v>492</v>
      </c>
      <c r="Y348" t="s">
        <v>189</v>
      </c>
      <c r="Z348" t="s">
        <v>1088</v>
      </c>
      <c r="AA348" t="s">
        <v>2363</v>
      </c>
      <c r="AB348" t="s">
        <v>2364</v>
      </c>
      <c r="AC348" t="s">
        <v>1741</v>
      </c>
      <c r="AF348" t="s">
        <v>194</v>
      </c>
      <c r="AG348" t="s">
        <v>195</v>
      </c>
      <c r="AH348" s="3">
        <v>218000.9</v>
      </c>
      <c r="AI348" s="3">
        <v>218000.9</v>
      </c>
      <c r="AJ348" s="1">
        <v>46119</v>
      </c>
      <c r="AN348" t="s">
        <v>172</v>
      </c>
      <c r="AR348" s="7" t="s">
        <v>353</v>
      </c>
      <c r="AT348" t="s">
        <v>261</v>
      </c>
      <c r="AU348" t="s">
        <v>197</v>
      </c>
      <c r="AW348">
        <v>0</v>
      </c>
      <c r="AX348" s="1">
        <v>46107</v>
      </c>
      <c r="AY348" s="2">
        <v>0.43177083333333333</v>
      </c>
      <c r="AZ348">
        <v>192896</v>
      </c>
      <c r="BA348" s="1">
        <v>46083</v>
      </c>
      <c r="BC348" t="s">
        <v>0</v>
      </c>
      <c r="BD348" s="1">
        <v>46088</v>
      </c>
      <c r="BE348" t="s">
        <v>625</v>
      </c>
      <c r="BL348" s="4">
        <v>0</v>
      </c>
      <c r="BM348" s="1">
        <v>46995</v>
      </c>
      <c r="BN348" s="1">
        <v>46107</v>
      </c>
      <c r="BO348">
        <v>0</v>
      </c>
      <c r="BP348">
        <v>29063</v>
      </c>
      <c r="BQ348" t="s">
        <v>156</v>
      </c>
      <c r="BR348" s="3">
        <v>123357.42</v>
      </c>
      <c r="BS348" s="3">
        <v>36831</v>
      </c>
      <c r="BT348">
        <v>0</v>
      </c>
      <c r="BU348" s="3">
        <v>160188.42000000001</v>
      </c>
      <c r="BV348" s="3">
        <v>218000.9</v>
      </c>
      <c r="BX348">
        <v>0</v>
      </c>
      <c r="BZ348">
        <v>0</v>
      </c>
      <c r="CA348">
        <v>0</v>
      </c>
      <c r="CB348">
        <v>0</v>
      </c>
      <c r="CC348" s="3">
        <v>218000.9</v>
      </c>
      <c r="CD348" s="5">
        <v>0</v>
      </c>
      <c r="CF348" s="6">
        <v>46082</v>
      </c>
      <c r="CH348">
        <v>0</v>
      </c>
      <c r="CI348">
        <v>0</v>
      </c>
      <c r="CJ348">
        <v>0</v>
      </c>
      <c r="CK348">
        <v>0</v>
      </c>
      <c r="CL348">
        <v>0</v>
      </c>
      <c r="CM348">
        <v>0</v>
      </c>
      <c r="CN348">
        <v>0</v>
      </c>
      <c r="CO348">
        <v>0</v>
      </c>
      <c r="CP348">
        <v>0</v>
      </c>
      <c r="CQ348">
        <v>0</v>
      </c>
      <c r="CR348">
        <v>0</v>
      </c>
      <c r="CS348" t="s">
        <v>360</v>
      </c>
      <c r="CT348" t="s">
        <v>214</v>
      </c>
      <c r="CU348" t="s">
        <v>489</v>
      </c>
      <c r="CW348">
        <v>-53.551000000000002</v>
      </c>
      <c r="CZ348" s="1">
        <v>46088</v>
      </c>
      <c r="DA348" t="s">
        <v>172</v>
      </c>
      <c r="DB348" t="s">
        <v>172</v>
      </c>
      <c r="DC348" t="s">
        <v>172</v>
      </c>
      <c r="DD348" t="s">
        <v>172</v>
      </c>
      <c r="DG348" s="1">
        <v>46088</v>
      </c>
      <c r="DH348">
        <v>0</v>
      </c>
      <c r="DI348">
        <v>0</v>
      </c>
      <c r="DK348" t="s">
        <v>179</v>
      </c>
      <c r="DL348" t="s">
        <v>224</v>
      </c>
      <c r="DM348" t="s">
        <v>172</v>
      </c>
      <c r="DN348" t="s">
        <v>201</v>
      </c>
      <c r="DV348" s="3">
        <v>218000.9</v>
      </c>
      <c r="DW348">
        <v>0</v>
      </c>
      <c r="DX348" s="3">
        <v>218000.9</v>
      </c>
      <c r="DY348">
        <v>0</v>
      </c>
      <c r="EF348" s="1">
        <v>46106</v>
      </c>
      <c r="EG348" s="1">
        <v>46105</v>
      </c>
      <c r="EK348" s="1">
        <v>46106</v>
      </c>
      <c r="EM348" s="1">
        <v>46100</v>
      </c>
      <c r="EN348" t="s">
        <v>156</v>
      </c>
      <c r="EP348" s="1">
        <v>46099</v>
      </c>
      <c r="ET348" t="s">
        <v>1930</v>
      </c>
      <c r="EU348" s="1">
        <v>46101</v>
      </c>
      <c r="EW348" s="1">
        <v>46088</v>
      </c>
    </row>
    <row r="349" spans="1:153" x14ac:dyDescent="0.35">
      <c r="A349" t="str">
        <f>HYPERLINK("https://7lm.cvcrm.com.br/gestor/comercial/reservas/6771/administrar","6771")</f>
        <v>6771</v>
      </c>
      <c r="B349" t="s">
        <v>156</v>
      </c>
      <c r="C349" s="1">
        <v>46087</v>
      </c>
      <c r="D349" s="2">
        <v>0.45202546296296298</v>
      </c>
      <c r="E349" t="s">
        <v>527</v>
      </c>
      <c r="F349" t="s">
        <v>226</v>
      </c>
      <c r="G349" t="s">
        <v>159</v>
      </c>
      <c r="H349" t="s">
        <v>1143</v>
      </c>
      <c r="I349" t="s">
        <v>2188</v>
      </c>
      <c r="J349">
        <v>1</v>
      </c>
      <c r="L349">
        <v>10031</v>
      </c>
      <c r="M349" t="s">
        <v>2189</v>
      </c>
      <c r="N349" s="1">
        <v>46091</v>
      </c>
      <c r="O349" s="2">
        <v>0.52337962962962958</v>
      </c>
      <c r="R349" t="str">
        <f>HYPERLINK("https://7lm.cvcrm.com.br/gestor/relatorios/associado/html?q[1|r.idreserva]=6771","VICTORIA ARGOLO BORGES")</f>
        <v>VICTORIA ARGOLO BORGES</v>
      </c>
      <c r="S349">
        <v>4132612120</v>
      </c>
      <c r="T349">
        <v>5561981986766</v>
      </c>
      <c r="U349">
        <v>5561981986766</v>
      </c>
      <c r="V349" t="s">
        <v>2241</v>
      </c>
      <c r="W349" t="s">
        <v>187</v>
      </c>
      <c r="X349" t="s">
        <v>1116</v>
      </c>
      <c r="Y349" t="s">
        <v>165</v>
      </c>
      <c r="Z349" t="s">
        <v>257</v>
      </c>
      <c r="AA349" t="s">
        <v>238</v>
      </c>
      <c r="AB349" t="s">
        <v>2242</v>
      </c>
      <c r="AC349" t="s">
        <v>732</v>
      </c>
      <c r="AE349" t="s">
        <v>733</v>
      </c>
      <c r="AF349" t="s">
        <v>170</v>
      </c>
      <c r="AG349" t="s">
        <v>552</v>
      </c>
      <c r="AH349" s="3">
        <v>350000</v>
      </c>
      <c r="AI349" s="3">
        <v>350000</v>
      </c>
      <c r="AJ349" s="1">
        <v>46086</v>
      </c>
      <c r="AN349" t="s">
        <v>172</v>
      </c>
      <c r="AO349" t="s">
        <v>725</v>
      </c>
      <c r="AP349" t="s">
        <v>1602</v>
      </c>
      <c r="AT349" t="s">
        <v>261</v>
      </c>
      <c r="AU349" t="s">
        <v>197</v>
      </c>
      <c r="AW349">
        <v>0</v>
      </c>
      <c r="AX349" s="1">
        <v>46092</v>
      </c>
      <c r="AY349" s="2">
        <v>0.70346064814814813</v>
      </c>
      <c r="AZ349">
        <v>193741</v>
      </c>
      <c r="BA349" s="1">
        <v>46086</v>
      </c>
      <c r="BC349" t="s">
        <v>0</v>
      </c>
      <c r="BD349" s="1">
        <v>46093</v>
      </c>
      <c r="BE349" t="s">
        <v>401</v>
      </c>
      <c r="BL349" s="4">
        <v>0</v>
      </c>
      <c r="BM349" s="1">
        <v>46698</v>
      </c>
      <c r="BO349">
        <v>0</v>
      </c>
      <c r="BP349">
        <v>29302</v>
      </c>
      <c r="BQ349" t="s">
        <v>156</v>
      </c>
      <c r="BR349" s="3">
        <v>280000</v>
      </c>
      <c r="BS349">
        <v>0</v>
      </c>
      <c r="BT349">
        <v>0</v>
      </c>
      <c r="BU349" s="3">
        <v>280000</v>
      </c>
      <c r="BV349" s="3">
        <v>350000</v>
      </c>
      <c r="BX349">
        <v>0</v>
      </c>
      <c r="BZ349">
        <v>0</v>
      </c>
      <c r="CA349">
        <v>0</v>
      </c>
      <c r="CB349">
        <v>0</v>
      </c>
      <c r="CC349" s="3">
        <v>350000</v>
      </c>
      <c r="CD349" s="5">
        <v>0</v>
      </c>
      <c r="CF349" s="6">
        <v>46082</v>
      </c>
      <c r="CH349">
        <v>0</v>
      </c>
      <c r="CI349">
        <v>0</v>
      </c>
      <c r="CJ349">
        <v>0</v>
      </c>
      <c r="CK349">
        <v>0</v>
      </c>
      <c r="CL349">
        <v>0</v>
      </c>
      <c r="CM349">
        <v>0</v>
      </c>
      <c r="CN349">
        <v>0</v>
      </c>
      <c r="CO349">
        <v>0</v>
      </c>
      <c r="CP349">
        <v>0</v>
      </c>
      <c r="CQ349">
        <v>0</v>
      </c>
      <c r="CR349">
        <v>0</v>
      </c>
      <c r="CS349" t="s">
        <v>177</v>
      </c>
      <c r="CT349" t="s">
        <v>238</v>
      </c>
      <c r="CU349" t="s">
        <v>2188</v>
      </c>
      <c r="CW349">
        <v>-59.770099999999999</v>
      </c>
      <c r="CX349" t="s">
        <v>170</v>
      </c>
      <c r="CZ349" s="1">
        <v>46087</v>
      </c>
      <c r="DA349" t="s">
        <v>172</v>
      </c>
      <c r="DB349" t="s">
        <v>172</v>
      </c>
      <c r="DC349" t="s">
        <v>172</v>
      </c>
      <c r="DD349" t="s">
        <v>172</v>
      </c>
      <c r="DG349" s="1">
        <v>46087</v>
      </c>
      <c r="DH349">
        <v>0</v>
      </c>
      <c r="DI349">
        <v>0</v>
      </c>
      <c r="DL349" t="s">
        <v>263</v>
      </c>
      <c r="DM349" t="s">
        <v>172</v>
      </c>
      <c r="DN349" t="s">
        <v>264</v>
      </c>
      <c r="DV349" s="3">
        <v>350000</v>
      </c>
      <c r="DW349">
        <v>0</v>
      </c>
      <c r="DX349" s="3">
        <v>350000</v>
      </c>
      <c r="DY349">
        <v>0</v>
      </c>
    </row>
    <row r="350" spans="1:153" x14ac:dyDescent="0.35">
      <c r="A350" t="str">
        <f>HYPERLINK("https://7lm.cvcrm.com.br/gestor/comercial/reservas/6770/administrar","6770")</f>
        <v>6770</v>
      </c>
      <c r="B350" t="s">
        <v>156</v>
      </c>
      <c r="C350" s="1">
        <v>46086</v>
      </c>
      <c r="D350" s="2">
        <v>0.96837962962962965</v>
      </c>
      <c r="E350" t="s">
        <v>294</v>
      </c>
      <c r="F350" t="s">
        <v>216</v>
      </c>
      <c r="G350" t="s">
        <v>159</v>
      </c>
      <c r="H350" t="s">
        <v>336</v>
      </c>
      <c r="I350" t="s">
        <v>1068</v>
      </c>
      <c r="J350">
        <v>1</v>
      </c>
      <c r="L350">
        <v>20061</v>
      </c>
      <c r="M350" t="s">
        <v>2365</v>
      </c>
      <c r="N350" s="1">
        <v>46094</v>
      </c>
      <c r="O350" s="2">
        <v>0.49061342592592594</v>
      </c>
      <c r="R350" t="str">
        <f>HYPERLINK("https://7lm.cvcrm.com.br/gestor/relatorios/associado/html?q[1|r.idreserva]=6770","DAVID SILVA CARDOSO")</f>
        <v>DAVID SILVA CARDOSO</v>
      </c>
      <c r="S350">
        <v>9061939151</v>
      </c>
      <c r="T350">
        <v>5561994355595</v>
      </c>
      <c r="V350" t="s">
        <v>2366</v>
      </c>
      <c r="W350" t="s">
        <v>163</v>
      </c>
      <c r="X350" t="s">
        <v>2367</v>
      </c>
      <c r="Y350" t="s">
        <v>165</v>
      </c>
      <c r="Z350" t="s">
        <v>938</v>
      </c>
      <c r="AA350" t="s">
        <v>938</v>
      </c>
      <c r="AB350" t="s">
        <v>2368</v>
      </c>
      <c r="AC350" t="s">
        <v>411</v>
      </c>
      <c r="AD350" t="s">
        <v>412</v>
      </c>
      <c r="AF350" t="s">
        <v>634</v>
      </c>
      <c r="AG350" t="s">
        <v>195</v>
      </c>
      <c r="AH350" s="3">
        <v>216999.6</v>
      </c>
      <c r="AI350" s="3">
        <v>216999.6</v>
      </c>
      <c r="AJ350" s="1">
        <v>46157</v>
      </c>
      <c r="AN350" t="s">
        <v>172</v>
      </c>
      <c r="AR350" t="s">
        <v>1203</v>
      </c>
      <c r="AT350" t="s">
        <v>196</v>
      </c>
      <c r="AU350" t="s">
        <v>197</v>
      </c>
      <c r="AW350">
        <v>0</v>
      </c>
      <c r="AX350" s="1">
        <v>46097</v>
      </c>
      <c r="AY350" s="2">
        <v>0.71395833333333336</v>
      </c>
      <c r="AZ350">
        <v>193746</v>
      </c>
      <c r="BA350" s="1">
        <v>46086</v>
      </c>
      <c r="BC350" t="s">
        <v>0</v>
      </c>
      <c r="BD350" s="1">
        <v>46086</v>
      </c>
      <c r="BE350" t="s">
        <v>213</v>
      </c>
      <c r="BL350" s="4">
        <v>0</v>
      </c>
      <c r="BM350" s="1">
        <v>46995</v>
      </c>
      <c r="BN350" s="1">
        <v>46097</v>
      </c>
      <c r="BO350">
        <v>0</v>
      </c>
      <c r="BP350">
        <v>29082</v>
      </c>
      <c r="BQ350" t="s">
        <v>156</v>
      </c>
      <c r="BR350" s="3">
        <v>132227.15</v>
      </c>
      <c r="BS350" s="3">
        <v>32113</v>
      </c>
      <c r="BT350">
        <v>0</v>
      </c>
      <c r="BU350" s="3">
        <v>164340.15</v>
      </c>
      <c r="BV350" s="3">
        <v>216999.6</v>
      </c>
      <c r="BX350">
        <v>0</v>
      </c>
      <c r="BZ350">
        <v>0</v>
      </c>
      <c r="CA350">
        <v>0</v>
      </c>
      <c r="CB350">
        <v>0</v>
      </c>
      <c r="CC350" s="3">
        <v>216999.6</v>
      </c>
      <c r="CD350" s="5">
        <v>0</v>
      </c>
      <c r="CF350" s="6">
        <v>46082</v>
      </c>
      <c r="CH350">
        <v>0</v>
      </c>
      <c r="CI350">
        <v>0</v>
      </c>
      <c r="CJ350">
        <v>0</v>
      </c>
      <c r="CK350">
        <v>0</v>
      </c>
      <c r="CL350">
        <v>0</v>
      </c>
      <c r="CM350">
        <v>0</v>
      </c>
      <c r="CN350">
        <v>0</v>
      </c>
      <c r="CO350">
        <v>0</v>
      </c>
      <c r="CP350">
        <v>0</v>
      </c>
      <c r="CQ350">
        <v>0</v>
      </c>
      <c r="CR350">
        <v>0</v>
      </c>
      <c r="CS350" t="s">
        <v>360</v>
      </c>
      <c r="CT350" t="s">
        <v>214</v>
      </c>
      <c r="CU350" t="s">
        <v>1068</v>
      </c>
      <c r="CW350">
        <v>-55.472999999999999</v>
      </c>
      <c r="CZ350" s="1">
        <v>46086</v>
      </c>
      <c r="DA350" t="s">
        <v>172</v>
      </c>
      <c r="DB350" t="s">
        <v>172</v>
      </c>
      <c r="DC350" t="s">
        <v>172</v>
      </c>
      <c r="DD350" t="s">
        <v>172</v>
      </c>
      <c r="DG350" s="1">
        <v>46086</v>
      </c>
      <c r="DH350">
        <v>0</v>
      </c>
      <c r="DI350">
        <v>0</v>
      </c>
      <c r="DK350" t="s">
        <v>179</v>
      </c>
      <c r="DL350" t="s">
        <v>224</v>
      </c>
      <c r="DM350" t="s">
        <v>172</v>
      </c>
      <c r="DN350" t="s">
        <v>525</v>
      </c>
      <c r="DV350" s="3">
        <v>216999.6</v>
      </c>
      <c r="DW350">
        <v>0</v>
      </c>
      <c r="DX350" s="3">
        <v>216999.6</v>
      </c>
      <c r="DY350">
        <v>0</v>
      </c>
      <c r="EF350" s="1">
        <v>46094</v>
      </c>
      <c r="EG350" s="1">
        <v>46093</v>
      </c>
      <c r="EK350" s="1">
        <v>46094</v>
      </c>
      <c r="EN350" t="s">
        <v>156</v>
      </c>
      <c r="EP350" s="1">
        <v>46092</v>
      </c>
      <c r="ET350" t="s">
        <v>417</v>
      </c>
      <c r="EU350" s="1">
        <v>46090</v>
      </c>
      <c r="EW350" s="1">
        <v>46086</v>
      </c>
    </row>
    <row r="351" spans="1:153" ht="246.5" x14ac:dyDescent="0.35">
      <c r="A351" t="str">
        <f>HYPERLINK("https://7lm.cvcrm.com.br/gestor/comercial/reservas/6769/administrar","6769")</f>
        <v>6769</v>
      </c>
      <c r="B351" t="s">
        <v>156</v>
      </c>
      <c r="C351" s="1">
        <v>46086</v>
      </c>
      <c r="D351" s="2">
        <v>0.81944444444444442</v>
      </c>
      <c r="E351" t="s">
        <v>294</v>
      </c>
      <c r="F351" t="s">
        <v>182</v>
      </c>
      <c r="G351" t="s">
        <v>159</v>
      </c>
      <c r="H351" t="s">
        <v>538</v>
      </c>
      <c r="I351" t="s">
        <v>2369</v>
      </c>
      <c r="J351">
        <v>1</v>
      </c>
      <c r="L351">
        <v>30151</v>
      </c>
      <c r="M351" t="s">
        <v>2370</v>
      </c>
      <c r="N351" s="1">
        <v>46101</v>
      </c>
      <c r="O351" s="2">
        <v>0.687037037037037</v>
      </c>
      <c r="R351" t="str">
        <f>HYPERLINK("https://7lm.cvcrm.com.br/gestor/relatorios/associado/html?q[1|r.idreserva]=6769","ROSIANE MARIA DOS SANTOS MELO")</f>
        <v>ROSIANE MARIA DOS SANTOS MELO</v>
      </c>
      <c r="S351">
        <v>13927147451</v>
      </c>
      <c r="T351">
        <v>556198332119</v>
      </c>
      <c r="V351" t="s">
        <v>2371</v>
      </c>
      <c r="W351" t="s">
        <v>187</v>
      </c>
      <c r="X351" t="s">
        <v>2372</v>
      </c>
      <c r="Y351" t="s">
        <v>189</v>
      </c>
      <c r="Z351" t="s">
        <v>190</v>
      </c>
      <c r="AA351" t="s">
        <v>2373</v>
      </c>
      <c r="AB351" t="s">
        <v>2374</v>
      </c>
      <c r="AC351" t="s">
        <v>1493</v>
      </c>
      <c r="AD351" t="s">
        <v>1493</v>
      </c>
      <c r="AF351" t="s">
        <v>250</v>
      </c>
      <c r="AG351" t="s">
        <v>251</v>
      </c>
      <c r="AH351" s="3">
        <v>240644.45</v>
      </c>
      <c r="AI351" s="3">
        <v>240644.45</v>
      </c>
      <c r="AJ351" s="1">
        <v>46112</v>
      </c>
      <c r="AN351" t="s">
        <v>172</v>
      </c>
      <c r="AR351" s="7" t="s">
        <v>353</v>
      </c>
      <c r="AT351" t="s">
        <v>261</v>
      </c>
      <c r="AU351" t="s">
        <v>175</v>
      </c>
      <c r="AW351">
        <v>0</v>
      </c>
      <c r="AX351" s="1">
        <v>46107</v>
      </c>
      <c r="AY351" s="2">
        <v>0.4352199074074074</v>
      </c>
      <c r="AZ351">
        <v>135805</v>
      </c>
      <c r="BA351" s="1">
        <v>45581</v>
      </c>
      <c r="BB351" s="1">
        <v>46083</v>
      </c>
      <c r="BC351" t="s">
        <v>0</v>
      </c>
      <c r="BD351" s="1">
        <v>46086</v>
      </c>
      <c r="BE351" t="s">
        <v>317</v>
      </c>
      <c r="BL351" s="4">
        <v>0</v>
      </c>
      <c r="BM351" s="1">
        <v>46899</v>
      </c>
      <c r="BN351" s="1">
        <v>46107</v>
      </c>
      <c r="BO351">
        <v>0</v>
      </c>
      <c r="BP351">
        <v>29301</v>
      </c>
      <c r="BQ351" t="s">
        <v>156</v>
      </c>
      <c r="BR351">
        <v>0</v>
      </c>
      <c r="BS351">
        <v>0</v>
      </c>
      <c r="BT351">
        <v>0</v>
      </c>
      <c r="BU351">
        <v>0</v>
      </c>
      <c r="BV351" s="3">
        <v>240644.45</v>
      </c>
      <c r="BX351">
        <v>0</v>
      </c>
      <c r="BZ351">
        <v>0</v>
      </c>
      <c r="CA351">
        <v>0</v>
      </c>
      <c r="CB351">
        <v>0</v>
      </c>
      <c r="CC351" s="3">
        <v>240644.45</v>
      </c>
      <c r="CD351" s="5">
        <v>0</v>
      </c>
      <c r="CF351" s="6">
        <v>46082</v>
      </c>
      <c r="CH351">
        <v>0</v>
      </c>
      <c r="CI351">
        <v>0</v>
      </c>
      <c r="CJ351">
        <v>0</v>
      </c>
      <c r="CK351">
        <v>0</v>
      </c>
      <c r="CL351">
        <v>0</v>
      </c>
      <c r="CM351">
        <v>0</v>
      </c>
      <c r="CN351">
        <v>0</v>
      </c>
      <c r="CO351">
        <v>0</v>
      </c>
      <c r="CP351">
        <v>0</v>
      </c>
      <c r="CQ351">
        <v>0</v>
      </c>
      <c r="CR351">
        <v>0</v>
      </c>
      <c r="CS351" t="s">
        <v>360</v>
      </c>
      <c r="CT351" t="s">
        <v>190</v>
      </c>
      <c r="CU351" t="s">
        <v>2369</v>
      </c>
      <c r="CW351">
        <v>-52.098799999999997</v>
      </c>
      <c r="CZ351" s="1">
        <v>46086</v>
      </c>
      <c r="DA351" t="s">
        <v>172</v>
      </c>
      <c r="DB351" t="s">
        <v>172</v>
      </c>
      <c r="DC351" t="s">
        <v>172</v>
      </c>
      <c r="DD351" t="s">
        <v>172</v>
      </c>
      <c r="DG351" s="1">
        <v>46086</v>
      </c>
      <c r="DH351">
        <v>0</v>
      </c>
      <c r="DI351">
        <v>0</v>
      </c>
      <c r="DK351" t="s">
        <v>179</v>
      </c>
      <c r="DL351" t="s">
        <v>200</v>
      </c>
      <c r="DM351" t="s">
        <v>172</v>
      </c>
      <c r="DN351" t="s">
        <v>201</v>
      </c>
      <c r="DV351" s="3">
        <v>240644.45</v>
      </c>
      <c r="DW351">
        <v>0</v>
      </c>
      <c r="DX351" s="3">
        <v>240644.45</v>
      </c>
      <c r="DY351">
        <v>0</v>
      </c>
      <c r="EF351" s="1">
        <v>46101</v>
      </c>
      <c r="EG351" s="1">
        <v>46100</v>
      </c>
      <c r="EL351" s="1">
        <v>46101</v>
      </c>
      <c r="EN351" t="s">
        <v>156</v>
      </c>
      <c r="EP351" s="1">
        <v>46106</v>
      </c>
      <c r="ER351" s="1">
        <v>46101</v>
      </c>
      <c r="ES351" t="s">
        <v>2375</v>
      </c>
      <c r="EU351" s="1">
        <v>46099</v>
      </c>
      <c r="EW351" s="1">
        <v>45721</v>
      </c>
    </row>
    <row r="352" spans="1:153" x14ac:dyDescent="0.35">
      <c r="A352" t="str">
        <f>HYPERLINK("https://7lm.cvcrm.com.br/gestor/comercial/reservas/6768/administrar","6768")</f>
        <v>6768</v>
      </c>
      <c r="B352" t="s">
        <v>172</v>
      </c>
      <c r="C352" s="1">
        <v>46086</v>
      </c>
      <c r="D352" s="2">
        <v>0.73930555555555555</v>
      </c>
      <c r="E352" t="s">
        <v>527</v>
      </c>
      <c r="F352" t="s">
        <v>458</v>
      </c>
      <c r="G352" t="s">
        <v>203</v>
      </c>
      <c r="H352" t="s">
        <v>336</v>
      </c>
      <c r="I352" t="s">
        <v>780</v>
      </c>
      <c r="J352">
        <v>1</v>
      </c>
      <c r="L352">
        <v>20001</v>
      </c>
      <c r="M352" t="s">
        <v>1594</v>
      </c>
      <c r="R352" t="str">
        <f>HYPERLINK("https://7lm.cvcrm.com.br/gestor/relatorios/associado/html?q[1|r.idreserva]=6768","GLEISON DEIBER PEREIRA DOS SANTOS")</f>
        <v>GLEISON DEIBER PEREIRA DOS SANTOS</v>
      </c>
      <c r="S352">
        <v>1736739107</v>
      </c>
      <c r="T352">
        <v>5561984846387</v>
      </c>
      <c r="V352" t="s">
        <v>2376</v>
      </c>
      <c r="W352" t="s">
        <v>163</v>
      </c>
      <c r="X352" t="s">
        <v>2377</v>
      </c>
      <c r="AC352" t="s">
        <v>1488</v>
      </c>
      <c r="AF352" t="s">
        <v>399</v>
      </c>
      <c r="AG352" t="s">
        <v>195</v>
      </c>
      <c r="AH352" s="3">
        <v>239999.6</v>
      </c>
      <c r="AI352" s="3">
        <v>239999.6</v>
      </c>
      <c r="AJ352" s="1">
        <v>46157</v>
      </c>
      <c r="AN352" t="s">
        <v>172</v>
      </c>
      <c r="AO352" t="s">
        <v>1334</v>
      </c>
      <c r="AR352" t="s">
        <v>2378</v>
      </c>
      <c r="AT352" t="s">
        <v>196</v>
      </c>
      <c r="AU352" t="s">
        <v>316</v>
      </c>
      <c r="AW352">
        <v>0</v>
      </c>
      <c r="AX352" s="1">
        <v>46113</v>
      </c>
      <c r="AY352" s="2">
        <v>0.63056712962962957</v>
      </c>
      <c r="AZ352">
        <v>172216</v>
      </c>
      <c r="BA352" s="1">
        <v>45939</v>
      </c>
      <c r="BC352" t="s">
        <v>0</v>
      </c>
      <c r="BD352" s="1">
        <v>46086</v>
      </c>
      <c r="BE352" t="s">
        <v>317</v>
      </c>
      <c r="BL352" s="4">
        <v>0</v>
      </c>
      <c r="BM352" s="1">
        <v>46572</v>
      </c>
      <c r="BO352">
        <v>0</v>
      </c>
      <c r="BP352">
        <v>29120</v>
      </c>
      <c r="BQ352" t="s">
        <v>156</v>
      </c>
      <c r="BR352" s="3">
        <v>123095.1</v>
      </c>
      <c r="BS352" s="3">
        <v>38585</v>
      </c>
      <c r="BT352">
        <v>0</v>
      </c>
      <c r="BU352" s="3">
        <v>161680.1</v>
      </c>
      <c r="BV352" s="3">
        <v>239999.6</v>
      </c>
      <c r="BX352">
        <v>0</v>
      </c>
      <c r="BZ352">
        <v>0</v>
      </c>
      <c r="CA352">
        <v>0</v>
      </c>
      <c r="CB352">
        <v>0</v>
      </c>
      <c r="CC352" s="3">
        <v>239999.6</v>
      </c>
      <c r="CD352" s="5">
        <v>0</v>
      </c>
      <c r="CE352" t="s">
        <v>467</v>
      </c>
      <c r="CF352" s="6">
        <v>46113</v>
      </c>
      <c r="CH352">
        <v>0</v>
      </c>
      <c r="CI352">
        <v>0</v>
      </c>
      <c r="CJ352">
        <v>0</v>
      </c>
      <c r="CK352">
        <v>0</v>
      </c>
      <c r="CL352">
        <v>0</v>
      </c>
      <c r="CM352">
        <v>0</v>
      </c>
      <c r="CN352">
        <v>0</v>
      </c>
      <c r="CO352">
        <v>0</v>
      </c>
      <c r="CP352">
        <v>0</v>
      </c>
      <c r="CQ352">
        <v>0</v>
      </c>
      <c r="CR352">
        <v>0</v>
      </c>
      <c r="CT352" t="s">
        <v>214</v>
      </c>
      <c r="CU352" t="s">
        <v>780</v>
      </c>
      <c r="CW352">
        <v>0</v>
      </c>
      <c r="CZ352" s="1">
        <v>46086</v>
      </c>
      <c r="DA352" t="s">
        <v>172</v>
      </c>
      <c r="DB352" t="s">
        <v>172</v>
      </c>
      <c r="DC352" t="s">
        <v>172</v>
      </c>
      <c r="DD352" t="s">
        <v>172</v>
      </c>
      <c r="DG352" s="1">
        <v>46086</v>
      </c>
      <c r="DH352">
        <v>0</v>
      </c>
      <c r="DI352">
        <v>0</v>
      </c>
      <c r="DL352" t="s">
        <v>200</v>
      </c>
      <c r="DM352" t="s">
        <v>172</v>
      </c>
      <c r="DN352" t="s">
        <v>525</v>
      </c>
      <c r="DV352" s="3">
        <v>239999.6</v>
      </c>
      <c r="DW352">
        <v>0</v>
      </c>
      <c r="DX352" s="3">
        <v>239999.6</v>
      </c>
      <c r="DY352">
        <v>0</v>
      </c>
      <c r="EN352" t="s">
        <v>537</v>
      </c>
      <c r="EW352" s="1">
        <v>46086</v>
      </c>
    </row>
    <row r="353" spans="1:153" x14ac:dyDescent="0.35">
      <c r="A353" t="str">
        <f>HYPERLINK("https://7lm.cvcrm.com.br/gestor/comercial/reservas/6767/administrar","6767")</f>
        <v>6767</v>
      </c>
      <c r="B353" t="s">
        <v>172</v>
      </c>
      <c r="C353" s="1">
        <v>46086</v>
      </c>
      <c r="D353" s="2">
        <v>0.47747685185185185</v>
      </c>
      <c r="E353" t="s">
        <v>527</v>
      </c>
      <c r="F353" t="s">
        <v>182</v>
      </c>
      <c r="G353" t="s">
        <v>159</v>
      </c>
      <c r="H353" t="s">
        <v>183</v>
      </c>
      <c r="I353" t="s">
        <v>442</v>
      </c>
      <c r="J353">
        <v>1</v>
      </c>
      <c r="L353">
        <v>30151</v>
      </c>
      <c r="M353" t="s">
        <v>443</v>
      </c>
      <c r="R353" t="str">
        <f>HYPERLINK("https://7lm.cvcrm.com.br/gestor/relatorios/associado/html?q[1|r.idreserva]=6767","CHINAYD DIAS DOS SANTOS")</f>
        <v>CHINAYD DIAS DOS SANTOS</v>
      </c>
      <c r="S353">
        <v>7403672186</v>
      </c>
      <c r="T353">
        <v>556199478111</v>
      </c>
      <c r="V353" t="s">
        <v>2379</v>
      </c>
      <c r="W353" t="s">
        <v>187</v>
      </c>
      <c r="X353" t="s">
        <v>288</v>
      </c>
      <c r="Y353" t="s">
        <v>189</v>
      </c>
      <c r="Z353" t="s">
        <v>190</v>
      </c>
      <c r="AA353" t="s">
        <v>1491</v>
      </c>
      <c r="AB353" t="s">
        <v>1025</v>
      </c>
      <c r="AC353" t="s">
        <v>896</v>
      </c>
      <c r="AF353" t="s">
        <v>194</v>
      </c>
      <c r="AG353" t="s">
        <v>251</v>
      </c>
      <c r="AH353" s="3">
        <v>241000</v>
      </c>
      <c r="AI353" s="3">
        <v>241000</v>
      </c>
      <c r="AJ353" s="1">
        <v>46086</v>
      </c>
      <c r="AN353" t="s">
        <v>172</v>
      </c>
      <c r="AO353" t="s">
        <v>816</v>
      </c>
      <c r="AR353" t="s">
        <v>2380</v>
      </c>
      <c r="AT353" t="s">
        <v>261</v>
      </c>
      <c r="AU353" t="s">
        <v>1403</v>
      </c>
      <c r="AW353">
        <v>0</v>
      </c>
      <c r="AX353" s="1">
        <v>46135</v>
      </c>
      <c r="AY353" s="2">
        <v>0.40523148148148147</v>
      </c>
      <c r="AZ353">
        <v>141389</v>
      </c>
      <c r="BA353" s="1">
        <v>45632</v>
      </c>
      <c r="BB353" s="1">
        <v>46055</v>
      </c>
      <c r="BC353" t="s">
        <v>275</v>
      </c>
      <c r="BD353" s="1">
        <v>46055</v>
      </c>
      <c r="BE353" t="s">
        <v>262</v>
      </c>
      <c r="BL353" s="4">
        <v>0</v>
      </c>
      <c r="BM353" s="1">
        <v>46899</v>
      </c>
      <c r="BO353">
        <v>0</v>
      </c>
      <c r="BP353">
        <v>29119</v>
      </c>
      <c r="BQ353" t="s">
        <v>156</v>
      </c>
      <c r="BR353">
        <v>0</v>
      </c>
      <c r="BS353">
        <v>0</v>
      </c>
      <c r="BT353">
        <v>0</v>
      </c>
      <c r="BU353">
        <v>0</v>
      </c>
      <c r="BV353" s="3">
        <v>241000</v>
      </c>
      <c r="BX353">
        <v>0</v>
      </c>
      <c r="BZ353">
        <v>0</v>
      </c>
      <c r="CA353">
        <v>0</v>
      </c>
      <c r="CB353">
        <v>0</v>
      </c>
      <c r="CC353" s="3">
        <v>241000</v>
      </c>
      <c r="CD353" s="5">
        <v>0</v>
      </c>
      <c r="CF353" s="6">
        <v>46113</v>
      </c>
      <c r="CH353">
        <v>0</v>
      </c>
      <c r="CI353">
        <v>0</v>
      </c>
      <c r="CJ353">
        <v>0</v>
      </c>
      <c r="CK353">
        <v>0</v>
      </c>
      <c r="CL353">
        <v>0</v>
      </c>
      <c r="CM353">
        <v>0</v>
      </c>
      <c r="CN353">
        <v>0</v>
      </c>
      <c r="CO353">
        <v>0</v>
      </c>
      <c r="CP353">
        <v>0</v>
      </c>
      <c r="CQ353">
        <v>0</v>
      </c>
      <c r="CR353">
        <v>0</v>
      </c>
      <c r="CT353" t="s">
        <v>190</v>
      </c>
      <c r="CU353" t="s">
        <v>442</v>
      </c>
      <c r="CW353">
        <v>0</v>
      </c>
      <c r="CZ353" s="1">
        <v>46086</v>
      </c>
      <c r="DA353" t="s">
        <v>172</v>
      </c>
      <c r="DB353" t="s">
        <v>172</v>
      </c>
      <c r="DC353" t="s">
        <v>172</v>
      </c>
      <c r="DD353" t="s">
        <v>172</v>
      </c>
      <c r="DG353" s="1">
        <v>46086</v>
      </c>
      <c r="DH353">
        <v>0</v>
      </c>
      <c r="DI353">
        <v>0</v>
      </c>
      <c r="DK353" t="s">
        <v>179</v>
      </c>
      <c r="DL353" t="s">
        <v>200</v>
      </c>
      <c r="DM353" t="s">
        <v>172</v>
      </c>
      <c r="DN353" t="s">
        <v>201</v>
      </c>
      <c r="DV353" s="3">
        <v>241000</v>
      </c>
      <c r="DW353">
        <v>0</v>
      </c>
      <c r="DX353" s="3">
        <v>241000</v>
      </c>
      <c r="DY353">
        <v>0</v>
      </c>
      <c r="EH353" s="1">
        <v>46099</v>
      </c>
      <c r="EN353" t="s">
        <v>537</v>
      </c>
      <c r="ET353" t="s">
        <v>2381</v>
      </c>
      <c r="EW353" s="1">
        <v>46086</v>
      </c>
    </row>
    <row r="354" spans="1:153" x14ac:dyDescent="0.35">
      <c r="A354" t="str">
        <f>HYPERLINK("https://7lm.cvcrm.com.br/gestor/comercial/reservas/6766/administrar","6766")</f>
        <v>6766</v>
      </c>
      <c r="B354" t="s">
        <v>156</v>
      </c>
      <c r="C354" s="1">
        <v>46085</v>
      </c>
      <c r="D354" s="2">
        <v>0.8922106481481481</v>
      </c>
      <c r="E354" t="s">
        <v>294</v>
      </c>
      <c r="F354" t="s">
        <v>226</v>
      </c>
      <c r="G354" t="s">
        <v>159</v>
      </c>
      <c r="H354" t="s">
        <v>1143</v>
      </c>
      <c r="I354" t="s">
        <v>337</v>
      </c>
      <c r="J354">
        <v>1</v>
      </c>
      <c r="L354">
        <v>10031</v>
      </c>
      <c r="M354" t="s">
        <v>2382</v>
      </c>
      <c r="N354" s="1">
        <v>46086</v>
      </c>
      <c r="O354" s="2">
        <v>0.39358796296296295</v>
      </c>
      <c r="R354" t="str">
        <f>HYPERLINK("https://7lm.cvcrm.com.br/gestor/relatorios/associado/html?q[1|r.idreserva]=6766","LETICIA MAYARA FERREIRA DE SOUSA")</f>
        <v>LETICIA MAYARA FERREIRA DE SOUSA</v>
      </c>
      <c r="S354">
        <v>4153523127</v>
      </c>
      <c r="T354">
        <v>5561983176619</v>
      </c>
      <c r="U354">
        <v>5561983176619</v>
      </c>
      <c r="V354" t="s">
        <v>2383</v>
      </c>
      <c r="W354" t="s">
        <v>187</v>
      </c>
      <c r="X354" t="s">
        <v>1147</v>
      </c>
      <c r="Y354" t="s">
        <v>165</v>
      </c>
      <c r="Z354" t="s">
        <v>257</v>
      </c>
      <c r="AA354" t="s">
        <v>783</v>
      </c>
      <c r="AB354" t="s">
        <v>2384</v>
      </c>
      <c r="AC354" t="s">
        <v>169</v>
      </c>
      <c r="AE354" t="s">
        <v>169</v>
      </c>
      <c r="AF354" t="s">
        <v>170</v>
      </c>
      <c r="AG354" t="s">
        <v>171</v>
      </c>
      <c r="AH354" s="3">
        <v>350000</v>
      </c>
      <c r="AI354" s="3">
        <v>350000</v>
      </c>
      <c r="AJ354" s="1">
        <v>46111</v>
      </c>
      <c r="AN354" t="s">
        <v>172</v>
      </c>
      <c r="AR354" t="s">
        <v>2385</v>
      </c>
      <c r="AT354" t="s">
        <v>196</v>
      </c>
      <c r="AU354" t="s">
        <v>197</v>
      </c>
      <c r="AW354">
        <v>0</v>
      </c>
      <c r="AX354" s="1">
        <v>46091</v>
      </c>
      <c r="AY354" s="2">
        <v>0.72377314814814819</v>
      </c>
      <c r="AZ354">
        <v>193290</v>
      </c>
      <c r="BA354" s="1">
        <v>46084</v>
      </c>
      <c r="BC354" t="s">
        <v>0</v>
      </c>
      <c r="BD354" s="1">
        <v>46085</v>
      </c>
      <c r="BE354" t="s">
        <v>176</v>
      </c>
      <c r="BL354" s="4">
        <v>0</v>
      </c>
      <c r="BM354" s="1">
        <v>46698</v>
      </c>
      <c r="BN354" s="1">
        <v>46091</v>
      </c>
      <c r="BO354">
        <v>0</v>
      </c>
      <c r="BP354">
        <v>29154</v>
      </c>
      <c r="BQ354" t="s">
        <v>156</v>
      </c>
      <c r="BR354" s="3">
        <v>350000</v>
      </c>
      <c r="BS354">
        <v>0</v>
      </c>
      <c r="BT354">
        <v>0</v>
      </c>
      <c r="BU354" s="3">
        <v>350000</v>
      </c>
      <c r="BV354" s="3">
        <v>350000</v>
      </c>
      <c r="BX354">
        <v>0</v>
      </c>
      <c r="BZ354">
        <v>0</v>
      </c>
      <c r="CA354">
        <v>0</v>
      </c>
      <c r="CB354">
        <v>0</v>
      </c>
      <c r="CC354" s="3">
        <v>350000</v>
      </c>
      <c r="CD354" s="5">
        <v>0</v>
      </c>
      <c r="CF354" s="6">
        <v>46082</v>
      </c>
      <c r="CH354">
        <v>0</v>
      </c>
      <c r="CI354">
        <v>0</v>
      </c>
      <c r="CJ354">
        <v>0</v>
      </c>
      <c r="CK354">
        <v>0</v>
      </c>
      <c r="CL354">
        <v>0</v>
      </c>
      <c r="CM354">
        <v>0</v>
      </c>
      <c r="CN354">
        <v>0</v>
      </c>
      <c r="CO354">
        <v>0</v>
      </c>
      <c r="CP354">
        <v>0</v>
      </c>
      <c r="CQ354">
        <v>0</v>
      </c>
      <c r="CR354">
        <v>0</v>
      </c>
      <c r="CS354" t="s">
        <v>177</v>
      </c>
      <c r="CT354" t="s">
        <v>238</v>
      </c>
      <c r="CU354" t="s">
        <v>337</v>
      </c>
      <c r="CW354">
        <v>-60.674199999999999</v>
      </c>
      <c r="CX354" t="s">
        <v>170</v>
      </c>
      <c r="CZ354" s="1">
        <v>46085</v>
      </c>
      <c r="DA354" t="s">
        <v>172</v>
      </c>
      <c r="DB354" t="s">
        <v>172</v>
      </c>
      <c r="DC354" t="s">
        <v>172</v>
      </c>
      <c r="DD354" t="s">
        <v>172</v>
      </c>
      <c r="DG354" s="1">
        <v>46085</v>
      </c>
      <c r="DH354">
        <v>0</v>
      </c>
      <c r="DI354">
        <v>0</v>
      </c>
      <c r="DL354" t="s">
        <v>263</v>
      </c>
      <c r="DM354" t="s">
        <v>172</v>
      </c>
      <c r="DN354" t="s">
        <v>264</v>
      </c>
      <c r="DU354" t="s">
        <v>240</v>
      </c>
      <c r="DV354" s="3">
        <v>540000</v>
      </c>
      <c r="DW354">
        <v>-60.67</v>
      </c>
      <c r="DX354" s="3">
        <v>540000</v>
      </c>
      <c r="DY354">
        <v>-60.67</v>
      </c>
    </row>
    <row r="355" spans="1:153" ht="246.5" x14ac:dyDescent="0.35">
      <c r="A355" t="str">
        <f>HYPERLINK("https://7lm.cvcrm.com.br/gestor/comercial/reservas/6765/administrar","6765")</f>
        <v>6765</v>
      </c>
      <c r="B355" t="s">
        <v>156</v>
      </c>
      <c r="C355" s="1">
        <v>46085</v>
      </c>
      <c r="D355" s="2">
        <v>0.79842592592592587</v>
      </c>
      <c r="E355" t="s">
        <v>294</v>
      </c>
      <c r="F355" t="s">
        <v>957</v>
      </c>
      <c r="G355" t="s">
        <v>159</v>
      </c>
      <c r="H355" t="s">
        <v>958</v>
      </c>
      <c r="I355" t="s">
        <v>2386</v>
      </c>
      <c r="J355">
        <v>1</v>
      </c>
      <c r="L355">
        <v>30121</v>
      </c>
      <c r="M355" t="s">
        <v>2387</v>
      </c>
      <c r="N355" s="1">
        <v>46126</v>
      </c>
      <c r="O355" s="2">
        <v>0.68128472222222225</v>
      </c>
      <c r="R355" t="str">
        <f>HYPERLINK("https://7lm.cvcrm.com.br/gestor/relatorios/associado/html?q[1|r.idreserva]=6765","MARCOS VINICIUS DE OLIVEIRA SILVA")</f>
        <v>MARCOS VINICIUS DE OLIVEIRA SILVA</v>
      </c>
      <c r="S355">
        <v>6868276192</v>
      </c>
      <c r="T355">
        <v>5561985620235</v>
      </c>
      <c r="V355" t="s">
        <v>2388</v>
      </c>
      <c r="W355" t="s">
        <v>163</v>
      </c>
      <c r="Y355" t="s">
        <v>189</v>
      </c>
      <c r="Z355" t="s">
        <v>190</v>
      </c>
      <c r="AA355" t="s">
        <v>707</v>
      </c>
      <c r="AB355" t="s">
        <v>2389</v>
      </c>
      <c r="AC355" t="s">
        <v>2088</v>
      </c>
      <c r="AD355" t="s">
        <v>2088</v>
      </c>
      <c r="AF355" t="s">
        <v>303</v>
      </c>
      <c r="AG355" t="s">
        <v>251</v>
      </c>
      <c r="AH355" s="3">
        <v>261554.64</v>
      </c>
      <c r="AI355" s="3">
        <v>261554.64</v>
      </c>
      <c r="AJ355" s="1">
        <v>46157</v>
      </c>
      <c r="AN355" t="s">
        <v>172</v>
      </c>
      <c r="AR355" s="7" t="s">
        <v>353</v>
      </c>
      <c r="AT355" t="s">
        <v>196</v>
      </c>
      <c r="AU355" t="s">
        <v>292</v>
      </c>
      <c r="AW355">
        <v>0</v>
      </c>
      <c r="AX355" s="1">
        <v>46094</v>
      </c>
      <c r="AY355" s="2">
        <v>0.35640046296296296</v>
      </c>
      <c r="AZ355" t="s">
        <v>2390</v>
      </c>
      <c r="BA355" t="s">
        <v>2391</v>
      </c>
      <c r="BB355" t="s">
        <v>356</v>
      </c>
      <c r="BC355" t="s">
        <v>357</v>
      </c>
      <c r="BD355" t="s">
        <v>2392</v>
      </c>
      <c r="BE355" t="s">
        <v>487</v>
      </c>
      <c r="BL355" s="4">
        <v>0</v>
      </c>
      <c r="BM355" s="1">
        <v>47031</v>
      </c>
      <c r="BN355" s="1">
        <v>46094</v>
      </c>
      <c r="BO355">
        <v>0</v>
      </c>
      <c r="BP355">
        <v>29062</v>
      </c>
      <c r="BQ355" t="s">
        <v>156</v>
      </c>
      <c r="BR355" s="3">
        <v>159390.21</v>
      </c>
      <c r="BS355" s="3">
        <v>10538</v>
      </c>
      <c r="BT355">
        <v>0</v>
      </c>
      <c r="BU355" s="3">
        <v>169928.21</v>
      </c>
      <c r="BV355" s="3">
        <v>261554.64</v>
      </c>
      <c r="BX355">
        <v>0</v>
      </c>
      <c r="BZ355">
        <v>0</v>
      </c>
      <c r="CA355">
        <v>0</v>
      </c>
      <c r="CB355">
        <v>0</v>
      </c>
      <c r="CC355" s="3">
        <v>261554.64</v>
      </c>
      <c r="CD355" s="5">
        <v>0</v>
      </c>
      <c r="CF355" s="6">
        <v>46082</v>
      </c>
      <c r="CH355">
        <v>0</v>
      </c>
      <c r="CI355">
        <v>0</v>
      </c>
      <c r="CJ355">
        <v>0</v>
      </c>
      <c r="CK355">
        <v>0</v>
      </c>
      <c r="CL355">
        <v>0</v>
      </c>
      <c r="CM355">
        <v>0</v>
      </c>
      <c r="CN355">
        <v>0</v>
      </c>
      <c r="CO355">
        <v>0</v>
      </c>
      <c r="CP355">
        <v>0</v>
      </c>
      <c r="CQ355">
        <v>0</v>
      </c>
      <c r="CR355">
        <v>0</v>
      </c>
      <c r="CS355" t="s">
        <v>649</v>
      </c>
      <c r="CT355" t="s">
        <v>190</v>
      </c>
      <c r="CU355" t="s">
        <v>2386</v>
      </c>
      <c r="CW355">
        <v>-43.115299999999998</v>
      </c>
      <c r="CZ355" s="1">
        <v>46085</v>
      </c>
      <c r="DA355" t="s">
        <v>172</v>
      </c>
      <c r="DB355" t="s">
        <v>172</v>
      </c>
      <c r="DC355" t="s">
        <v>172</v>
      </c>
      <c r="DD355" t="s">
        <v>172</v>
      </c>
      <c r="DG355" s="1">
        <v>46085</v>
      </c>
      <c r="DH355">
        <v>0</v>
      </c>
      <c r="DI355">
        <v>0</v>
      </c>
      <c r="DL355" t="s">
        <v>963</v>
      </c>
      <c r="DM355" t="s">
        <v>172</v>
      </c>
      <c r="DN355" t="s">
        <v>201</v>
      </c>
      <c r="DV355" s="3">
        <v>261554.64</v>
      </c>
      <c r="DW355">
        <v>0</v>
      </c>
      <c r="DX355" s="3">
        <v>261554.64</v>
      </c>
      <c r="DY355">
        <v>0</v>
      </c>
      <c r="EG355" s="1">
        <v>46093</v>
      </c>
      <c r="EH355" s="1">
        <v>46092</v>
      </c>
      <c r="EN355" t="s">
        <v>156</v>
      </c>
      <c r="EP355" s="1">
        <v>46090</v>
      </c>
      <c r="EQ355" s="1">
        <v>46093</v>
      </c>
      <c r="ER355" s="1">
        <v>46087</v>
      </c>
      <c r="ES355" t="s">
        <v>2393</v>
      </c>
      <c r="EV355" s="1">
        <v>46093</v>
      </c>
      <c r="EW355" s="1">
        <v>46085</v>
      </c>
    </row>
    <row r="356" spans="1:153" x14ac:dyDescent="0.35">
      <c r="A356" t="str">
        <f>HYPERLINK("https://7lm.cvcrm.com.br/gestor/comercial/reservas/6764/administrar","6764")</f>
        <v>6764</v>
      </c>
      <c r="B356" t="s">
        <v>172</v>
      </c>
      <c r="C356" s="1">
        <v>46085</v>
      </c>
      <c r="D356" s="2">
        <v>0.66226851851851853</v>
      </c>
      <c r="E356" t="s">
        <v>157</v>
      </c>
      <c r="F356" t="s">
        <v>182</v>
      </c>
      <c r="G356" t="s">
        <v>159</v>
      </c>
      <c r="H356" t="s">
        <v>704</v>
      </c>
      <c r="I356" t="s">
        <v>2394</v>
      </c>
      <c r="J356">
        <v>1</v>
      </c>
      <c r="L356">
        <v>30151</v>
      </c>
      <c r="M356" t="s">
        <v>2395</v>
      </c>
      <c r="R356" t="str">
        <f>HYPERLINK("https://7lm.cvcrm.com.br/gestor/relatorios/associado/html?q[1|r.idreserva]=6764","ANGELICA LUIZA DE SOUZA GONZAGA")</f>
        <v>ANGELICA LUIZA DE SOUZA GONZAGA</v>
      </c>
      <c r="S356">
        <v>14110367603</v>
      </c>
      <c r="T356">
        <v>556199152726</v>
      </c>
      <c r="V356" t="s">
        <v>2396</v>
      </c>
      <c r="W356" t="s">
        <v>187</v>
      </c>
      <c r="X356" t="s">
        <v>2397</v>
      </c>
      <c r="Y356" t="s">
        <v>189</v>
      </c>
      <c r="Z356" t="s">
        <v>842</v>
      </c>
      <c r="AA356" t="s">
        <v>2398</v>
      </c>
      <c r="AB356" t="s">
        <v>2020</v>
      </c>
      <c r="AC356" t="s">
        <v>193</v>
      </c>
      <c r="AF356" t="s">
        <v>194</v>
      </c>
      <c r="AG356" t="s">
        <v>251</v>
      </c>
      <c r="AH356" s="3">
        <v>238513.17</v>
      </c>
      <c r="AI356" s="3">
        <v>238513.17</v>
      </c>
      <c r="AJ356" s="1">
        <v>46085</v>
      </c>
      <c r="AN356" t="s">
        <v>172</v>
      </c>
      <c r="AR356" t="s">
        <v>835</v>
      </c>
      <c r="AT356" t="s">
        <v>261</v>
      </c>
      <c r="AU356" t="s">
        <v>953</v>
      </c>
      <c r="AW356">
        <v>0</v>
      </c>
      <c r="AX356" s="1">
        <v>46085</v>
      </c>
      <c r="AY356" s="2">
        <v>0.66226851851851853</v>
      </c>
      <c r="AZ356">
        <v>128137</v>
      </c>
      <c r="BA356" s="1">
        <v>45519</v>
      </c>
      <c r="BB356" s="1">
        <v>46082</v>
      </c>
      <c r="BC356" t="s">
        <v>0</v>
      </c>
      <c r="BD356" s="1">
        <v>46085</v>
      </c>
      <c r="BE356" t="s">
        <v>317</v>
      </c>
      <c r="BL356" s="4">
        <v>0</v>
      </c>
      <c r="BM356" s="1">
        <v>46899</v>
      </c>
      <c r="BO356">
        <v>0</v>
      </c>
      <c r="BP356">
        <v>29089</v>
      </c>
      <c r="BQ356" t="s">
        <v>156</v>
      </c>
      <c r="BR356" s="3">
        <v>134341.45000000001</v>
      </c>
      <c r="BS356" s="3">
        <v>26115</v>
      </c>
      <c r="BT356">
        <v>0</v>
      </c>
      <c r="BU356" s="3">
        <v>160456.45000000001</v>
      </c>
      <c r="BV356" s="3">
        <v>238513.17</v>
      </c>
      <c r="BX356">
        <v>0</v>
      </c>
      <c r="BZ356">
        <v>0</v>
      </c>
      <c r="CA356">
        <v>0</v>
      </c>
      <c r="CB356">
        <v>0</v>
      </c>
      <c r="CC356" s="3">
        <v>238513.17</v>
      </c>
      <c r="CD356" s="5">
        <v>0</v>
      </c>
      <c r="CF356" s="6">
        <v>46143</v>
      </c>
      <c r="CH356">
        <v>0</v>
      </c>
      <c r="CI356">
        <v>0</v>
      </c>
      <c r="CJ356">
        <v>0</v>
      </c>
      <c r="CK356">
        <v>0</v>
      </c>
      <c r="CL356">
        <v>0</v>
      </c>
      <c r="CM356">
        <v>0</v>
      </c>
      <c r="CN356">
        <v>0</v>
      </c>
      <c r="CO356">
        <v>0</v>
      </c>
      <c r="CP356">
        <v>0</v>
      </c>
      <c r="CQ356">
        <v>0</v>
      </c>
      <c r="CR356">
        <v>0</v>
      </c>
      <c r="CT356" t="s">
        <v>190</v>
      </c>
      <c r="CU356" t="s">
        <v>2394</v>
      </c>
      <c r="CW356">
        <v>0</v>
      </c>
      <c r="CZ356" s="1">
        <v>46085</v>
      </c>
      <c r="DA356" t="s">
        <v>172</v>
      </c>
      <c r="DB356" t="s">
        <v>172</v>
      </c>
      <c r="DC356" t="s">
        <v>172</v>
      </c>
      <c r="DD356" t="s">
        <v>172</v>
      </c>
      <c r="DG356" s="1">
        <v>46085</v>
      </c>
      <c r="DH356">
        <v>0</v>
      </c>
      <c r="DI356">
        <v>0</v>
      </c>
      <c r="DK356" t="s">
        <v>179</v>
      </c>
      <c r="DL356" t="s">
        <v>200</v>
      </c>
      <c r="DM356" t="s">
        <v>172</v>
      </c>
      <c r="DN356" t="s">
        <v>201</v>
      </c>
      <c r="DV356" s="3">
        <v>238513.17</v>
      </c>
      <c r="DW356">
        <v>0</v>
      </c>
      <c r="DX356" s="3">
        <v>238513.17</v>
      </c>
      <c r="DY356">
        <v>0</v>
      </c>
      <c r="EF356" s="1">
        <v>46094</v>
      </c>
      <c r="EG356" s="1">
        <v>46094</v>
      </c>
      <c r="EH356" s="1">
        <v>46099</v>
      </c>
      <c r="EK356" s="1">
        <v>46094</v>
      </c>
      <c r="EL356" s="1">
        <v>46094</v>
      </c>
      <c r="EM356" s="1">
        <v>46098</v>
      </c>
      <c r="EN356" t="s">
        <v>537</v>
      </c>
      <c r="EP356" s="1">
        <v>46097</v>
      </c>
      <c r="ET356" t="s">
        <v>802</v>
      </c>
      <c r="EW356" s="1">
        <v>46085</v>
      </c>
    </row>
    <row r="357" spans="1:153" x14ac:dyDescent="0.35">
      <c r="A357" t="str">
        <f>HYPERLINK("https://7lm.cvcrm.com.br/gestor/comercial/reservas/6763/administrar","6763")</f>
        <v>6763</v>
      </c>
      <c r="B357" t="s">
        <v>156</v>
      </c>
      <c r="C357" s="1">
        <v>46085</v>
      </c>
      <c r="D357" s="2">
        <v>0.64430555555555558</v>
      </c>
      <c r="E357" t="s">
        <v>294</v>
      </c>
      <c r="F357" t="s">
        <v>158</v>
      </c>
      <c r="G357" t="s">
        <v>159</v>
      </c>
      <c r="H357" t="s">
        <v>160</v>
      </c>
      <c r="I357">
        <v>1006</v>
      </c>
      <c r="J357">
        <v>1</v>
      </c>
      <c r="K357">
        <v>6017</v>
      </c>
      <c r="L357">
        <v>10001</v>
      </c>
      <c r="M357" t="s">
        <v>2399</v>
      </c>
      <c r="N357" s="1">
        <v>46094</v>
      </c>
      <c r="O357" s="2">
        <v>0.39708333333333334</v>
      </c>
      <c r="R357" t="str">
        <f>HYPERLINK("https://7lm.cvcrm.com.br/gestor/relatorios/associado/html?q[1|r.idreserva]=6763","LUCAS RIBEIRO SANTANA")</f>
        <v>LUCAS RIBEIRO SANTANA</v>
      </c>
      <c r="S357">
        <v>70409334111</v>
      </c>
      <c r="T357">
        <v>5561992319313</v>
      </c>
      <c r="V357" t="s">
        <v>2400</v>
      </c>
      <c r="W357" t="s">
        <v>163</v>
      </c>
      <c r="X357" t="s">
        <v>2401</v>
      </c>
      <c r="Y357" t="s">
        <v>165</v>
      </c>
      <c r="Z357" t="s">
        <v>238</v>
      </c>
      <c r="AA357" t="s">
        <v>1117</v>
      </c>
      <c r="AB357" t="s">
        <v>2402</v>
      </c>
      <c r="AC357" t="s">
        <v>550</v>
      </c>
      <c r="AD357" t="s">
        <v>551</v>
      </c>
      <c r="AE357" t="s">
        <v>169</v>
      </c>
      <c r="AF357" t="s">
        <v>170</v>
      </c>
      <c r="AG357" t="s">
        <v>284</v>
      </c>
      <c r="AH357" s="3">
        <v>602905.79</v>
      </c>
      <c r="AI357" s="3">
        <v>602905.79</v>
      </c>
      <c r="AJ357" s="1">
        <v>46085</v>
      </c>
      <c r="AN357" t="s">
        <v>172</v>
      </c>
      <c r="AT357" t="s">
        <v>196</v>
      </c>
      <c r="AU357" t="s">
        <v>1073</v>
      </c>
      <c r="AW357">
        <v>0</v>
      </c>
      <c r="AX357" s="1">
        <v>46104</v>
      </c>
      <c r="AY357" s="2">
        <v>0.63557870370370373</v>
      </c>
      <c r="AZ357">
        <v>60632</v>
      </c>
      <c r="BA357" s="1">
        <v>44389</v>
      </c>
      <c r="BB357" s="1">
        <v>45540</v>
      </c>
      <c r="BC357" t="s">
        <v>0</v>
      </c>
      <c r="BD357" s="1">
        <v>46085</v>
      </c>
      <c r="BE357" t="s">
        <v>317</v>
      </c>
      <c r="BL357" s="4">
        <v>0</v>
      </c>
      <c r="BM357" s="1">
        <v>46387</v>
      </c>
      <c r="BN357" s="1">
        <v>46104</v>
      </c>
      <c r="BO357">
        <v>0</v>
      </c>
      <c r="BP357">
        <v>13322</v>
      </c>
      <c r="BQ357" t="s">
        <v>156</v>
      </c>
      <c r="BR357">
        <v>0</v>
      </c>
      <c r="BS357">
        <v>0</v>
      </c>
      <c r="BT357">
        <v>0</v>
      </c>
      <c r="BU357">
        <v>0</v>
      </c>
      <c r="BV357" s="3">
        <v>602905.79</v>
      </c>
      <c r="BX357">
        <v>0</v>
      </c>
      <c r="BZ357">
        <v>0</v>
      </c>
      <c r="CA357">
        <v>0</v>
      </c>
      <c r="CB357">
        <v>0</v>
      </c>
      <c r="CC357" s="3">
        <v>602905.79</v>
      </c>
      <c r="CD357" s="5">
        <v>0</v>
      </c>
      <c r="CF357" s="6">
        <v>46082</v>
      </c>
      <c r="CH357">
        <v>0</v>
      </c>
      <c r="CI357">
        <v>0</v>
      </c>
      <c r="CJ357">
        <v>0</v>
      </c>
      <c r="CK357">
        <v>0</v>
      </c>
      <c r="CL357">
        <v>0</v>
      </c>
      <c r="CM357">
        <v>0</v>
      </c>
      <c r="CN357">
        <v>0</v>
      </c>
      <c r="CO357">
        <v>0</v>
      </c>
      <c r="CP357">
        <v>0</v>
      </c>
      <c r="CQ357">
        <v>0</v>
      </c>
      <c r="CR357">
        <v>0</v>
      </c>
      <c r="CS357" t="s">
        <v>177</v>
      </c>
      <c r="CT357" t="s">
        <v>178</v>
      </c>
      <c r="CU357">
        <v>1006</v>
      </c>
      <c r="CW357">
        <v>-54.961199999999998</v>
      </c>
      <c r="CZ357" s="1">
        <v>46085</v>
      </c>
      <c r="DA357" t="s">
        <v>172</v>
      </c>
      <c r="DB357" t="s">
        <v>172</v>
      </c>
      <c r="DC357" t="s">
        <v>172</v>
      </c>
      <c r="DD357" t="s">
        <v>172</v>
      </c>
      <c r="DG357" s="1">
        <v>46085</v>
      </c>
      <c r="DH357">
        <v>0</v>
      </c>
      <c r="DI357">
        <v>0</v>
      </c>
      <c r="DK357" t="s">
        <v>179</v>
      </c>
      <c r="DM357" t="s">
        <v>172</v>
      </c>
      <c r="DN357" t="s">
        <v>2403</v>
      </c>
      <c r="DU357" t="s">
        <v>1120</v>
      </c>
      <c r="DV357" s="3">
        <v>735731.9</v>
      </c>
      <c r="DW357">
        <v>-54.96</v>
      </c>
      <c r="DX357" s="3">
        <v>735731.9</v>
      </c>
      <c r="DY357">
        <v>-54.96</v>
      </c>
    </row>
    <row r="358" spans="1:153" ht="87" x14ac:dyDescent="0.35">
      <c r="A358" t="str">
        <f>HYPERLINK("https://7lm.cvcrm.com.br/gestor/comercial/reservas/6762/administrar","6762")</f>
        <v>6762</v>
      </c>
      <c r="B358" t="s">
        <v>156</v>
      </c>
      <c r="C358" s="1">
        <v>46085</v>
      </c>
      <c r="D358" s="2">
        <v>0.63679398148148147</v>
      </c>
      <c r="E358" t="s">
        <v>294</v>
      </c>
      <c r="F358" t="s">
        <v>226</v>
      </c>
      <c r="G358" t="s">
        <v>159</v>
      </c>
      <c r="H358" t="s">
        <v>722</v>
      </c>
      <c r="I358" t="s">
        <v>554</v>
      </c>
      <c r="J358">
        <v>1</v>
      </c>
      <c r="L358">
        <v>10031</v>
      </c>
      <c r="M358" t="s">
        <v>2404</v>
      </c>
      <c r="N358" s="1">
        <v>46125</v>
      </c>
      <c r="O358" s="2">
        <v>0.43821759259259258</v>
      </c>
      <c r="R358" t="str">
        <f>HYPERLINK("https://7lm.cvcrm.com.br/gestor/relatorios/associado/html?q[1|r.idreserva]=6762","ANNELICE SILVA OLIVEIRA")</f>
        <v>ANNELICE SILVA OLIVEIRA</v>
      </c>
      <c r="S358">
        <v>93786565104</v>
      </c>
      <c r="T358">
        <v>5561981636092</v>
      </c>
      <c r="U358">
        <v>5561981636092</v>
      </c>
      <c r="V358" t="s">
        <v>2405</v>
      </c>
      <c r="W358" t="s">
        <v>187</v>
      </c>
      <c r="X358" t="s">
        <v>1116</v>
      </c>
      <c r="Y358" t="s">
        <v>165</v>
      </c>
      <c r="Z358" t="s">
        <v>257</v>
      </c>
      <c r="AA358" t="s">
        <v>2406</v>
      </c>
      <c r="AB358" t="s">
        <v>2407</v>
      </c>
      <c r="AC358" t="s">
        <v>177</v>
      </c>
      <c r="AF358" t="s">
        <v>170</v>
      </c>
      <c r="AG358" t="s">
        <v>195</v>
      </c>
      <c r="AH358" s="3">
        <v>395666.88</v>
      </c>
      <c r="AI358" s="3">
        <v>395666.88</v>
      </c>
      <c r="AJ358" s="1">
        <v>46111</v>
      </c>
      <c r="AN358" t="s">
        <v>172</v>
      </c>
      <c r="AR358" s="7" t="s">
        <v>2408</v>
      </c>
      <c r="AU358" t="s">
        <v>197</v>
      </c>
      <c r="AW358">
        <v>0</v>
      </c>
      <c r="AX358" s="1">
        <v>46094</v>
      </c>
      <c r="AY358" s="2">
        <v>0.64431712962962961</v>
      </c>
      <c r="AZ358">
        <v>193032</v>
      </c>
      <c r="BA358" s="1">
        <v>46083</v>
      </c>
      <c r="BC358" t="s">
        <v>0</v>
      </c>
      <c r="BD358" s="1">
        <v>46085</v>
      </c>
      <c r="BE358" t="s">
        <v>176</v>
      </c>
      <c r="BL358" s="4">
        <v>0</v>
      </c>
      <c r="BM358" s="1">
        <v>46698</v>
      </c>
      <c r="BN358" s="1">
        <v>46094</v>
      </c>
      <c r="BO358">
        <v>0</v>
      </c>
      <c r="BP358">
        <v>29099</v>
      </c>
      <c r="BQ358" t="s">
        <v>156</v>
      </c>
      <c r="BR358" s="3">
        <v>448000</v>
      </c>
      <c r="BS358">
        <v>0</v>
      </c>
      <c r="BT358">
        <v>0</v>
      </c>
      <c r="BU358" s="3">
        <v>448000</v>
      </c>
      <c r="BV358" s="3">
        <v>395666.88</v>
      </c>
      <c r="BX358">
        <v>0</v>
      </c>
      <c r="BZ358">
        <v>0</v>
      </c>
      <c r="CA358">
        <v>0</v>
      </c>
      <c r="CB358">
        <v>0</v>
      </c>
      <c r="CC358" s="3">
        <v>395666.88</v>
      </c>
      <c r="CD358" s="5">
        <v>0</v>
      </c>
      <c r="CF358" s="6">
        <v>46082</v>
      </c>
      <c r="CH358">
        <v>0</v>
      </c>
      <c r="CI358">
        <v>0</v>
      </c>
      <c r="CJ358">
        <v>0</v>
      </c>
      <c r="CK358">
        <v>0</v>
      </c>
      <c r="CL358">
        <v>0</v>
      </c>
      <c r="CM358">
        <v>0</v>
      </c>
      <c r="CN358">
        <v>0</v>
      </c>
      <c r="CO358">
        <v>0</v>
      </c>
      <c r="CP358">
        <v>0</v>
      </c>
      <c r="CQ358">
        <v>0</v>
      </c>
      <c r="CR358">
        <v>0</v>
      </c>
      <c r="CS358" t="s">
        <v>360</v>
      </c>
      <c r="CT358" t="s">
        <v>238</v>
      </c>
      <c r="CU358" t="s">
        <v>554</v>
      </c>
      <c r="CW358">
        <v>-57.163499999999999</v>
      </c>
      <c r="CX358" t="s">
        <v>170</v>
      </c>
      <c r="CZ358" s="1">
        <v>46085</v>
      </c>
      <c r="DA358" t="s">
        <v>172</v>
      </c>
      <c r="DB358" t="s">
        <v>172</v>
      </c>
      <c r="DC358" t="s">
        <v>172</v>
      </c>
      <c r="DD358" t="s">
        <v>172</v>
      </c>
      <c r="DF358" t="s">
        <v>2409</v>
      </c>
      <c r="DG358" s="1">
        <v>46085</v>
      </c>
      <c r="DH358">
        <v>0</v>
      </c>
      <c r="DI358">
        <v>0</v>
      </c>
      <c r="DL358" t="s">
        <v>239</v>
      </c>
      <c r="DM358" t="s">
        <v>172</v>
      </c>
      <c r="DU358" t="s">
        <v>240</v>
      </c>
      <c r="DV358" s="3">
        <v>528000.01</v>
      </c>
      <c r="DW358">
        <v>-57.16</v>
      </c>
      <c r="DX358" s="3">
        <v>528000.01</v>
      </c>
      <c r="DY358">
        <v>-57.16</v>
      </c>
    </row>
    <row r="359" spans="1:153" ht="246.5" x14ac:dyDescent="0.35">
      <c r="A359" t="str">
        <f>HYPERLINK("https://7lm.cvcrm.com.br/gestor/comercial/reservas/6761/administrar","6761")</f>
        <v>6761</v>
      </c>
      <c r="B359" t="s">
        <v>156</v>
      </c>
      <c r="C359" s="1">
        <v>46085</v>
      </c>
      <c r="D359" s="2">
        <v>0.57756944444444447</v>
      </c>
      <c r="E359" t="s">
        <v>294</v>
      </c>
      <c r="F359" t="s">
        <v>458</v>
      </c>
      <c r="G359" t="s">
        <v>203</v>
      </c>
      <c r="H359" t="s">
        <v>391</v>
      </c>
      <c r="I359" t="s">
        <v>266</v>
      </c>
      <c r="J359">
        <v>1</v>
      </c>
      <c r="L359">
        <v>20001</v>
      </c>
      <c r="M359" t="s">
        <v>2410</v>
      </c>
      <c r="N359" s="1">
        <v>46086</v>
      </c>
      <c r="O359" s="2">
        <v>0.4113310185185185</v>
      </c>
      <c r="R359" t="str">
        <f>HYPERLINK("https://7lm.cvcrm.com.br/gestor/relatorios/associado/html?q[1|r.idreserva]=6761","NATAN PEREIRA DO NASCIMENTO")</f>
        <v>NATAN PEREIRA DO NASCIMENTO</v>
      </c>
      <c r="S359">
        <v>4765084108</v>
      </c>
      <c r="T359">
        <v>5562995476762</v>
      </c>
      <c r="U359">
        <v>5561981904952</v>
      </c>
      <c r="V359" t="s">
        <v>2411</v>
      </c>
      <c r="W359" t="s">
        <v>163</v>
      </c>
      <c r="X359" t="s">
        <v>2412</v>
      </c>
      <c r="Y359" t="s">
        <v>165</v>
      </c>
      <c r="Z359" t="s">
        <v>257</v>
      </c>
      <c r="AA359" t="s">
        <v>770</v>
      </c>
      <c r="AB359" t="s">
        <v>2413</v>
      </c>
      <c r="AC359" t="s">
        <v>1444</v>
      </c>
      <c r="AF359" t="s">
        <v>413</v>
      </c>
      <c r="AG359" t="s">
        <v>195</v>
      </c>
      <c r="AH359" s="3">
        <v>226311.62</v>
      </c>
      <c r="AI359" s="3">
        <v>226311.62</v>
      </c>
      <c r="AJ359" s="1">
        <v>46157</v>
      </c>
      <c r="AN359" t="s">
        <v>172</v>
      </c>
      <c r="AR359" s="7" t="s">
        <v>353</v>
      </c>
      <c r="AT359" t="s">
        <v>261</v>
      </c>
      <c r="AU359" t="s">
        <v>2414</v>
      </c>
      <c r="AW359">
        <v>0</v>
      </c>
      <c r="AX359" s="1">
        <v>46087</v>
      </c>
      <c r="AY359" s="2">
        <v>0.42739583333333331</v>
      </c>
      <c r="AZ359">
        <v>192700</v>
      </c>
      <c r="BA359" s="1">
        <v>46082</v>
      </c>
      <c r="BC359" t="s">
        <v>0</v>
      </c>
      <c r="BD359" s="1">
        <v>46085</v>
      </c>
      <c r="BE359" t="s">
        <v>940</v>
      </c>
      <c r="BL359" s="4">
        <v>0</v>
      </c>
      <c r="BM359" s="1">
        <v>46572</v>
      </c>
      <c r="BN359" s="1">
        <v>46087</v>
      </c>
      <c r="BO359">
        <v>0</v>
      </c>
      <c r="BP359">
        <v>29065</v>
      </c>
      <c r="BQ359" t="s">
        <v>156</v>
      </c>
      <c r="BR359" s="3">
        <v>123567.92</v>
      </c>
      <c r="BS359" s="3">
        <v>41031</v>
      </c>
      <c r="BT359">
        <v>0</v>
      </c>
      <c r="BU359" s="3">
        <v>164598.92000000001</v>
      </c>
      <c r="BV359" s="3">
        <v>226311.62</v>
      </c>
      <c r="BX359">
        <v>0</v>
      </c>
      <c r="BZ359">
        <v>0</v>
      </c>
      <c r="CA359">
        <v>0</v>
      </c>
      <c r="CB359">
        <v>0</v>
      </c>
      <c r="CC359" s="3">
        <v>226311.62</v>
      </c>
      <c r="CD359" s="5">
        <v>0</v>
      </c>
      <c r="CE359" t="s">
        <v>467</v>
      </c>
      <c r="CF359" s="6">
        <v>46082</v>
      </c>
      <c r="CH359">
        <v>0</v>
      </c>
      <c r="CI359">
        <v>0</v>
      </c>
      <c r="CJ359">
        <v>0</v>
      </c>
      <c r="CK359">
        <v>0</v>
      </c>
      <c r="CL359">
        <v>0</v>
      </c>
      <c r="CM359">
        <v>0</v>
      </c>
      <c r="CN359">
        <v>0</v>
      </c>
      <c r="CO359">
        <v>0</v>
      </c>
      <c r="CP359">
        <v>0</v>
      </c>
      <c r="CQ359">
        <v>0</v>
      </c>
      <c r="CR359">
        <v>0</v>
      </c>
      <c r="CS359" t="s">
        <v>360</v>
      </c>
      <c r="CT359" t="s">
        <v>214</v>
      </c>
      <c r="CU359" t="s">
        <v>266</v>
      </c>
      <c r="CW359">
        <v>-59.204999999999998</v>
      </c>
      <c r="CZ359" s="1">
        <v>46085</v>
      </c>
      <c r="DA359" t="s">
        <v>172</v>
      </c>
      <c r="DB359" t="s">
        <v>172</v>
      </c>
      <c r="DC359" t="s">
        <v>172</v>
      </c>
      <c r="DD359" t="s">
        <v>172</v>
      </c>
      <c r="DG359" s="1">
        <v>46085</v>
      </c>
      <c r="DH359">
        <v>0</v>
      </c>
      <c r="DI359">
        <v>0</v>
      </c>
      <c r="DL359" t="s">
        <v>200</v>
      </c>
      <c r="DM359" t="s">
        <v>172</v>
      </c>
      <c r="DN359" t="s">
        <v>201</v>
      </c>
      <c r="DV359" s="3">
        <v>226311.62</v>
      </c>
      <c r="DW359">
        <v>0</v>
      </c>
      <c r="DX359" s="3">
        <v>226311.62</v>
      </c>
      <c r="DY359">
        <v>0</v>
      </c>
      <c r="EF359" s="1">
        <v>46086</v>
      </c>
      <c r="EG359" s="1">
        <v>46085</v>
      </c>
      <c r="EK359" s="1">
        <v>46086</v>
      </c>
      <c r="ET359" t="s">
        <v>699</v>
      </c>
      <c r="EU359" s="1">
        <v>46086</v>
      </c>
      <c r="EW359" s="1">
        <v>46085</v>
      </c>
    </row>
    <row r="360" spans="1:153" x14ac:dyDescent="0.35">
      <c r="A360" t="str">
        <f>HYPERLINK("https://7lm.cvcrm.com.br/gestor/comercial/reservas/6760/administrar","6760")</f>
        <v>6760</v>
      </c>
      <c r="B360" t="s">
        <v>172</v>
      </c>
      <c r="C360" s="1">
        <v>46084</v>
      </c>
      <c r="D360" s="2">
        <v>0.82148148148148148</v>
      </c>
      <c r="E360" t="s">
        <v>527</v>
      </c>
      <c r="F360" t="s">
        <v>458</v>
      </c>
      <c r="G360" t="s">
        <v>203</v>
      </c>
      <c r="H360" t="s">
        <v>319</v>
      </c>
      <c r="I360" t="s">
        <v>459</v>
      </c>
      <c r="J360">
        <v>1</v>
      </c>
      <c r="L360">
        <v>20001</v>
      </c>
      <c r="M360" t="s">
        <v>460</v>
      </c>
      <c r="R360" t="str">
        <f>HYPERLINK("https://7lm.cvcrm.com.br/gestor/relatorios/associado/html?q[1|r.idreserva]=6760","EVERSON LOURENCO PEREIRA DA SILVA")</f>
        <v>EVERSON LOURENCO PEREIRA DA SILVA</v>
      </c>
      <c r="S360">
        <v>3678348122</v>
      </c>
      <c r="T360">
        <v>5561982216898</v>
      </c>
      <c r="V360" t="s">
        <v>2415</v>
      </c>
      <c r="W360" t="s">
        <v>163</v>
      </c>
      <c r="X360" t="s">
        <v>2401</v>
      </c>
      <c r="Y360" t="s">
        <v>189</v>
      </c>
      <c r="Z360" t="s">
        <v>214</v>
      </c>
      <c r="AA360" t="s">
        <v>2416</v>
      </c>
      <c r="AB360" t="s">
        <v>2417</v>
      </c>
      <c r="AC360" t="s">
        <v>2418</v>
      </c>
      <c r="AD360" t="s">
        <v>2419</v>
      </c>
      <c r="AF360" t="s">
        <v>634</v>
      </c>
      <c r="AG360" t="s">
        <v>195</v>
      </c>
      <c r="AH360" s="3">
        <v>224999.59</v>
      </c>
      <c r="AI360" s="3">
        <v>224999.59</v>
      </c>
      <c r="AJ360" s="1">
        <v>46593</v>
      </c>
      <c r="AN360" t="s">
        <v>172</v>
      </c>
      <c r="AO360" t="s">
        <v>657</v>
      </c>
      <c r="AR360" t="s">
        <v>2420</v>
      </c>
      <c r="AT360" t="s">
        <v>196</v>
      </c>
      <c r="AU360" t="s">
        <v>316</v>
      </c>
      <c r="AW360">
        <v>0</v>
      </c>
      <c r="AX360" s="1">
        <v>46148</v>
      </c>
      <c r="AY360" s="2">
        <v>0.64833333333333332</v>
      </c>
      <c r="AZ360">
        <v>193266</v>
      </c>
      <c r="BA360" s="1">
        <v>46084</v>
      </c>
      <c r="BC360" t="s">
        <v>0</v>
      </c>
      <c r="BD360" s="1">
        <v>46084</v>
      </c>
      <c r="BE360" t="s">
        <v>213</v>
      </c>
      <c r="BL360" s="4">
        <v>0</v>
      </c>
      <c r="BM360" s="1">
        <v>46572</v>
      </c>
      <c r="BO360">
        <v>0</v>
      </c>
      <c r="BP360">
        <v>28896</v>
      </c>
      <c r="BQ360" t="s">
        <v>156</v>
      </c>
      <c r="BR360" s="3">
        <v>108382.08</v>
      </c>
      <c r="BS360" s="3">
        <v>55000</v>
      </c>
      <c r="BT360">
        <v>0</v>
      </c>
      <c r="BU360" s="3">
        <v>163382.07999999999</v>
      </c>
      <c r="BV360" s="3">
        <v>224999.59</v>
      </c>
      <c r="BX360">
        <v>0</v>
      </c>
      <c r="BZ360">
        <v>0</v>
      </c>
      <c r="CA360">
        <v>0</v>
      </c>
      <c r="CB360">
        <v>0</v>
      </c>
      <c r="CC360" s="3">
        <v>224999.59</v>
      </c>
      <c r="CD360" s="5">
        <v>0</v>
      </c>
      <c r="CE360" t="s">
        <v>467</v>
      </c>
      <c r="CF360" s="6">
        <v>46143</v>
      </c>
      <c r="CH360">
        <v>0</v>
      </c>
      <c r="CI360">
        <v>0</v>
      </c>
      <c r="CJ360">
        <v>0</v>
      </c>
      <c r="CK360">
        <v>0</v>
      </c>
      <c r="CL360">
        <v>0</v>
      </c>
      <c r="CM360">
        <v>0</v>
      </c>
      <c r="CN360">
        <v>0</v>
      </c>
      <c r="CO360">
        <v>0</v>
      </c>
      <c r="CP360">
        <v>0</v>
      </c>
      <c r="CQ360">
        <v>0</v>
      </c>
      <c r="CR360">
        <v>0</v>
      </c>
      <c r="CT360" t="s">
        <v>214</v>
      </c>
      <c r="CU360" t="s">
        <v>459</v>
      </c>
      <c r="CW360">
        <v>0</v>
      </c>
      <c r="CZ360" s="1">
        <v>46084</v>
      </c>
      <c r="DA360" t="s">
        <v>172</v>
      </c>
      <c r="DB360" t="s">
        <v>172</v>
      </c>
      <c r="DC360" t="s">
        <v>172</v>
      </c>
      <c r="DD360" t="s">
        <v>172</v>
      </c>
      <c r="DG360" s="1">
        <v>46084</v>
      </c>
      <c r="DH360">
        <v>0</v>
      </c>
      <c r="DI360">
        <v>0</v>
      </c>
      <c r="DL360" t="s">
        <v>200</v>
      </c>
      <c r="DM360" t="s">
        <v>172</v>
      </c>
      <c r="DN360" t="s">
        <v>201</v>
      </c>
      <c r="DV360" s="3">
        <v>224999.59</v>
      </c>
      <c r="DW360">
        <v>0</v>
      </c>
      <c r="DX360" s="3">
        <v>224999.59</v>
      </c>
      <c r="DY360">
        <v>0</v>
      </c>
      <c r="EM360" s="1">
        <v>46091</v>
      </c>
      <c r="EN360" t="s">
        <v>537</v>
      </c>
      <c r="EP360" s="1">
        <v>46090</v>
      </c>
      <c r="ET360" t="s">
        <v>2421</v>
      </c>
      <c r="EW360" s="1">
        <v>46084</v>
      </c>
    </row>
    <row r="361" spans="1:153" x14ac:dyDescent="0.35">
      <c r="A361" t="str">
        <f>HYPERLINK("https://7lm.cvcrm.com.br/gestor/comercial/reservas/6759/administrar","6759")</f>
        <v>6759</v>
      </c>
      <c r="B361" t="s">
        <v>156</v>
      </c>
      <c r="C361" s="1">
        <v>46084</v>
      </c>
      <c r="D361" s="2">
        <v>0.62918981481481484</v>
      </c>
      <c r="E361" t="s">
        <v>527</v>
      </c>
      <c r="F361" t="s">
        <v>957</v>
      </c>
      <c r="G361" t="s">
        <v>159</v>
      </c>
      <c r="H361" t="s">
        <v>759</v>
      </c>
      <c r="I361" t="s">
        <v>1177</v>
      </c>
      <c r="J361">
        <v>1</v>
      </c>
      <c r="K361">
        <v>8182</v>
      </c>
      <c r="L361">
        <v>30121</v>
      </c>
      <c r="M361" t="s">
        <v>1178</v>
      </c>
      <c r="N361" s="1">
        <v>46084</v>
      </c>
      <c r="O361" s="2">
        <v>0.6663310185185185</v>
      </c>
      <c r="R361" t="str">
        <f>HYPERLINK("https://7lm.cvcrm.com.br/gestor/relatorios/associado/html?q[1|r.idreserva]=6759","JORDAN RIBEIRO VASCONCELOS - LEAD TESTE")</f>
        <v>JORDAN RIBEIRO VASCONCELOS - LEAD TESTE</v>
      </c>
      <c r="S361">
        <v>4484982196</v>
      </c>
      <c r="T361">
        <v>5561998319769</v>
      </c>
      <c r="V361" t="s">
        <v>1013</v>
      </c>
      <c r="W361" t="s">
        <v>163</v>
      </c>
      <c r="X361" t="s">
        <v>521</v>
      </c>
      <c r="Y361" t="s">
        <v>189</v>
      </c>
      <c r="Z361" t="s">
        <v>190</v>
      </c>
      <c r="AA361" t="s">
        <v>377</v>
      </c>
      <c r="AB361" t="s">
        <v>1014</v>
      </c>
      <c r="AC361" t="s">
        <v>917</v>
      </c>
      <c r="AF361" t="s">
        <v>194</v>
      </c>
      <c r="AG361" t="s">
        <v>284</v>
      </c>
      <c r="AH361" s="3">
        <v>253000</v>
      </c>
      <c r="AI361" s="3">
        <v>253000</v>
      </c>
      <c r="AJ361" s="1">
        <v>46147</v>
      </c>
      <c r="AN361" t="s">
        <v>172</v>
      </c>
      <c r="AO361" t="s">
        <v>725</v>
      </c>
      <c r="AP361" t="s">
        <v>2422</v>
      </c>
      <c r="AV361" t="s">
        <v>1017</v>
      </c>
      <c r="AW361">
        <v>0</v>
      </c>
      <c r="AX361" s="1">
        <v>46084</v>
      </c>
      <c r="AY361" s="2">
        <v>0.69119212962962961</v>
      </c>
      <c r="AZ361">
        <v>104545</v>
      </c>
      <c r="BA361" s="1">
        <v>45307</v>
      </c>
      <c r="BC361" t="s">
        <v>213</v>
      </c>
      <c r="BD361" s="1">
        <v>45307</v>
      </c>
      <c r="BE361" t="s">
        <v>213</v>
      </c>
      <c r="BL361" s="4">
        <v>0</v>
      </c>
      <c r="BM361" s="1">
        <v>47031</v>
      </c>
      <c r="BO361">
        <v>0</v>
      </c>
      <c r="BP361">
        <v>29131</v>
      </c>
      <c r="BQ361" t="s">
        <v>156</v>
      </c>
      <c r="BR361" s="3">
        <v>150000</v>
      </c>
      <c r="BS361" s="3">
        <v>10000</v>
      </c>
      <c r="BT361">
        <v>0</v>
      </c>
      <c r="BU361" s="3">
        <v>160000</v>
      </c>
      <c r="BV361" s="3">
        <v>253000</v>
      </c>
      <c r="BX361">
        <v>0</v>
      </c>
      <c r="BZ361">
        <v>0</v>
      </c>
      <c r="CA361">
        <v>0</v>
      </c>
      <c r="CB361">
        <v>0</v>
      </c>
      <c r="CC361" s="3">
        <v>253000</v>
      </c>
      <c r="CD361" s="5">
        <v>0</v>
      </c>
      <c r="CF361" s="6">
        <v>46082</v>
      </c>
      <c r="CH361">
        <v>0</v>
      </c>
      <c r="CI361">
        <v>0</v>
      </c>
      <c r="CJ361">
        <v>0</v>
      </c>
      <c r="CK361">
        <v>0</v>
      </c>
      <c r="CL361">
        <v>0</v>
      </c>
      <c r="CM361">
        <v>0</v>
      </c>
      <c r="CN361">
        <v>0</v>
      </c>
      <c r="CO361">
        <v>0</v>
      </c>
      <c r="CP361">
        <v>0</v>
      </c>
      <c r="CQ361">
        <v>0</v>
      </c>
      <c r="CR361">
        <v>0</v>
      </c>
      <c r="CS361" t="s">
        <v>649</v>
      </c>
      <c r="CT361" t="s">
        <v>190</v>
      </c>
      <c r="CU361" t="s">
        <v>1177</v>
      </c>
      <c r="CW361">
        <v>-47.356900000000003</v>
      </c>
      <c r="CZ361" s="1">
        <v>46084</v>
      </c>
      <c r="DA361" t="s">
        <v>172</v>
      </c>
      <c r="DB361" t="s">
        <v>172</v>
      </c>
      <c r="DC361" t="s">
        <v>172</v>
      </c>
      <c r="DD361" t="s">
        <v>172</v>
      </c>
      <c r="DF361" t="s">
        <v>1017</v>
      </c>
      <c r="DG361" s="1">
        <v>46084</v>
      </c>
      <c r="DH361">
        <v>0</v>
      </c>
      <c r="DI361">
        <v>0</v>
      </c>
      <c r="DL361" t="s">
        <v>963</v>
      </c>
      <c r="DM361" t="s">
        <v>172</v>
      </c>
      <c r="DN361" t="s">
        <v>225</v>
      </c>
      <c r="DV361" s="3">
        <v>253000</v>
      </c>
      <c r="DW361">
        <v>0</v>
      </c>
      <c r="DX361" s="3">
        <v>253000</v>
      </c>
      <c r="DY361">
        <v>0</v>
      </c>
    </row>
    <row r="362" spans="1:153" ht="87" x14ac:dyDescent="0.35">
      <c r="A362" t="str">
        <f>HYPERLINK("https://7lm.cvcrm.com.br/gestor/comercial/reservas/6758/administrar","6758")</f>
        <v>6758</v>
      </c>
      <c r="B362" t="s">
        <v>156</v>
      </c>
      <c r="C362" s="1">
        <v>46084</v>
      </c>
      <c r="D362" s="2">
        <v>0.58859953703703705</v>
      </c>
      <c r="E362" t="s">
        <v>294</v>
      </c>
      <c r="F362" t="s">
        <v>226</v>
      </c>
      <c r="G362" t="s">
        <v>159</v>
      </c>
      <c r="H362" t="s">
        <v>252</v>
      </c>
      <c r="I362" t="s">
        <v>1923</v>
      </c>
      <c r="J362">
        <v>1</v>
      </c>
      <c r="L362">
        <v>10031</v>
      </c>
      <c r="M362" t="s">
        <v>2423</v>
      </c>
      <c r="N362" s="1">
        <v>46086</v>
      </c>
      <c r="O362" s="2">
        <v>0.40402777777777776</v>
      </c>
      <c r="R362" t="str">
        <f>HYPERLINK("https://7lm.cvcrm.com.br/gestor/relatorios/associado/html?q[1|r.idreserva]=6758","TALITA GLEYCILANE MENDES DA SILVA")</f>
        <v>TALITA GLEYCILANE MENDES DA SILVA</v>
      </c>
      <c r="S362">
        <v>12438273780</v>
      </c>
      <c r="T362">
        <v>5561981346199</v>
      </c>
      <c r="U362">
        <v>5561981346199</v>
      </c>
      <c r="V362" t="s">
        <v>2424</v>
      </c>
      <c r="W362" t="s">
        <v>187</v>
      </c>
      <c r="X362" t="s">
        <v>163</v>
      </c>
      <c r="Y362" t="s">
        <v>165</v>
      </c>
      <c r="Z362" t="s">
        <v>257</v>
      </c>
      <c r="AA362" t="s">
        <v>2425</v>
      </c>
      <c r="AB362" t="s">
        <v>2426</v>
      </c>
      <c r="AC362" t="s">
        <v>260</v>
      </c>
      <c r="AE362" t="s">
        <v>169</v>
      </c>
      <c r="AF362" t="s">
        <v>170</v>
      </c>
      <c r="AG362" t="s">
        <v>171</v>
      </c>
      <c r="AH362" s="3">
        <v>350000</v>
      </c>
      <c r="AI362" s="3">
        <v>350000</v>
      </c>
      <c r="AJ362" s="1">
        <v>46112</v>
      </c>
      <c r="AN362" t="s">
        <v>172</v>
      </c>
      <c r="AR362" s="7" t="s">
        <v>1149</v>
      </c>
      <c r="AT362" t="s">
        <v>173</v>
      </c>
      <c r="AU362" t="s">
        <v>262</v>
      </c>
      <c r="AW362">
        <v>0</v>
      </c>
      <c r="AX362" s="1">
        <v>46094</v>
      </c>
      <c r="AY362" s="2">
        <v>0.65042824074074079</v>
      </c>
      <c r="AZ362">
        <v>192598</v>
      </c>
      <c r="BA362" s="1">
        <v>46081</v>
      </c>
      <c r="BC362" t="s">
        <v>0</v>
      </c>
      <c r="BD362" s="1">
        <v>46084</v>
      </c>
      <c r="BE362" t="s">
        <v>1073</v>
      </c>
      <c r="BL362" s="4">
        <v>0</v>
      </c>
      <c r="BM362" s="1">
        <v>46698</v>
      </c>
      <c r="BN362" s="1">
        <v>46094</v>
      </c>
      <c r="BO362">
        <v>0</v>
      </c>
      <c r="BP362">
        <v>29057</v>
      </c>
      <c r="BQ362" t="s">
        <v>156</v>
      </c>
      <c r="BR362" s="3">
        <v>350000</v>
      </c>
      <c r="BS362">
        <v>0</v>
      </c>
      <c r="BT362">
        <v>0</v>
      </c>
      <c r="BU362" s="3">
        <v>350000</v>
      </c>
      <c r="BV362" s="3">
        <v>350000</v>
      </c>
      <c r="BX362">
        <v>0</v>
      </c>
      <c r="BZ362">
        <v>0</v>
      </c>
      <c r="CA362">
        <v>0</v>
      </c>
      <c r="CB362">
        <v>0</v>
      </c>
      <c r="CC362" s="3">
        <v>350000</v>
      </c>
      <c r="CD362" s="5">
        <v>0</v>
      </c>
      <c r="CF362" s="6">
        <v>46082</v>
      </c>
      <c r="CH362">
        <v>0</v>
      </c>
      <c r="CI362">
        <v>0</v>
      </c>
      <c r="CJ362">
        <v>0</v>
      </c>
      <c r="CK362">
        <v>0</v>
      </c>
      <c r="CL362">
        <v>0</v>
      </c>
      <c r="CM362">
        <v>0</v>
      </c>
      <c r="CN362">
        <v>0</v>
      </c>
      <c r="CO362">
        <v>0</v>
      </c>
      <c r="CP362">
        <v>0</v>
      </c>
      <c r="CQ362">
        <v>0</v>
      </c>
      <c r="CR362">
        <v>0</v>
      </c>
      <c r="CS362" t="s">
        <v>177</v>
      </c>
      <c r="CT362" t="s">
        <v>238</v>
      </c>
      <c r="CU362" t="s">
        <v>1923</v>
      </c>
      <c r="CW362">
        <v>-59.302300000000002</v>
      </c>
      <c r="CX362" t="s">
        <v>170</v>
      </c>
      <c r="CZ362" s="1">
        <v>46084</v>
      </c>
      <c r="DA362" t="s">
        <v>172</v>
      </c>
      <c r="DB362" t="s">
        <v>172</v>
      </c>
      <c r="DC362" t="s">
        <v>172</v>
      </c>
      <c r="DD362" t="s">
        <v>172</v>
      </c>
      <c r="DG362" s="1">
        <v>46084</v>
      </c>
      <c r="DH362">
        <v>0</v>
      </c>
      <c r="DI362">
        <v>0</v>
      </c>
      <c r="DL362" t="s">
        <v>263</v>
      </c>
      <c r="DM362" t="s">
        <v>172</v>
      </c>
      <c r="DN362" t="s">
        <v>264</v>
      </c>
      <c r="DU362" t="s">
        <v>240</v>
      </c>
      <c r="DV362" s="3">
        <v>510000</v>
      </c>
      <c r="DW362">
        <v>-59.3</v>
      </c>
      <c r="DX362" s="3">
        <v>510000</v>
      </c>
      <c r="DY362">
        <v>-59.3</v>
      </c>
      <c r="EG362" s="1">
        <v>46093</v>
      </c>
    </row>
    <row r="363" spans="1:153" ht="377" x14ac:dyDescent="0.35">
      <c r="A363" t="str">
        <f>HYPERLINK("https://7lm.cvcrm.com.br/gestor/comercial/reservas/6757/administrar","6757")</f>
        <v>6757</v>
      </c>
      <c r="B363" t="s">
        <v>172</v>
      </c>
      <c r="C363" s="1">
        <v>46084</v>
      </c>
      <c r="D363" s="2">
        <v>0.53717592592592589</v>
      </c>
      <c r="E363" t="s">
        <v>527</v>
      </c>
      <c r="F363" t="s">
        <v>202</v>
      </c>
      <c r="G363" t="s">
        <v>203</v>
      </c>
      <c r="H363" t="s">
        <v>391</v>
      </c>
      <c r="I363" t="s">
        <v>772</v>
      </c>
      <c r="J363">
        <v>1</v>
      </c>
      <c r="L363">
        <v>20031</v>
      </c>
      <c r="M363" t="s">
        <v>773</v>
      </c>
      <c r="R363" t="str">
        <f>HYPERLINK("https://7lm.cvcrm.com.br/gestor/relatorios/associado/html?q[1|r.idreserva]=6757","ENZO GABRIEL DE SOUZA TEIXEIRA")</f>
        <v>ENZO GABRIEL DE SOUZA TEIXEIRA</v>
      </c>
      <c r="S363">
        <v>5498284195</v>
      </c>
      <c r="T363">
        <v>5561992343588</v>
      </c>
      <c r="V363" t="s">
        <v>2427</v>
      </c>
      <c r="W363" t="s">
        <v>163</v>
      </c>
      <c r="X363" t="s">
        <v>521</v>
      </c>
      <c r="Y363" t="s">
        <v>189</v>
      </c>
      <c r="Z363" t="s">
        <v>214</v>
      </c>
      <c r="AA363" t="s">
        <v>2428</v>
      </c>
      <c r="AB363" t="s">
        <v>2429</v>
      </c>
      <c r="AC363" t="s">
        <v>2149</v>
      </c>
      <c r="AF363" t="s">
        <v>399</v>
      </c>
      <c r="AG363" t="s">
        <v>195</v>
      </c>
      <c r="AH363" s="3">
        <v>215000</v>
      </c>
      <c r="AI363" s="3">
        <v>215000</v>
      </c>
      <c r="AJ363" s="1">
        <v>46091</v>
      </c>
      <c r="AN363" t="s">
        <v>172</v>
      </c>
      <c r="AO363" t="s">
        <v>816</v>
      </c>
      <c r="AR363" s="7" t="s">
        <v>2430</v>
      </c>
      <c r="AT363" t="s">
        <v>261</v>
      </c>
      <c r="AU363" t="s">
        <v>316</v>
      </c>
      <c r="AW363">
        <v>0</v>
      </c>
      <c r="AX363" s="1">
        <v>46086</v>
      </c>
      <c r="AY363" s="2">
        <v>0.41380787037037037</v>
      </c>
      <c r="AZ363">
        <v>133181</v>
      </c>
      <c r="BA363" s="1">
        <v>45562</v>
      </c>
      <c r="BB363" s="1">
        <v>46081</v>
      </c>
      <c r="BC363" t="s">
        <v>0</v>
      </c>
      <c r="BD363" s="1">
        <v>46084</v>
      </c>
      <c r="BE363" t="s">
        <v>176</v>
      </c>
      <c r="BL363" s="4">
        <v>0</v>
      </c>
      <c r="BM363" s="1">
        <v>46808</v>
      </c>
      <c r="BO363">
        <v>0</v>
      </c>
      <c r="BP363">
        <v>29055</v>
      </c>
      <c r="BQ363" t="s">
        <v>156</v>
      </c>
      <c r="BR363" s="3">
        <v>94550.63</v>
      </c>
      <c r="BS363" s="3">
        <v>55000</v>
      </c>
      <c r="BT363">
        <v>0</v>
      </c>
      <c r="BU363" s="3">
        <v>149550.63</v>
      </c>
      <c r="BV363" s="3">
        <v>215000</v>
      </c>
      <c r="BX363">
        <v>0</v>
      </c>
      <c r="BZ363">
        <v>0</v>
      </c>
      <c r="CA363">
        <v>0</v>
      </c>
      <c r="CB363">
        <v>0</v>
      </c>
      <c r="CC363" s="3">
        <v>215000</v>
      </c>
      <c r="CD363" s="5">
        <v>0</v>
      </c>
      <c r="CF363" s="6">
        <v>46082</v>
      </c>
      <c r="CH363">
        <v>0</v>
      </c>
      <c r="CI363">
        <v>0</v>
      </c>
      <c r="CJ363">
        <v>0</v>
      </c>
      <c r="CK363">
        <v>0</v>
      </c>
      <c r="CL363">
        <v>0</v>
      </c>
      <c r="CM363">
        <v>0</v>
      </c>
      <c r="CN363">
        <v>0</v>
      </c>
      <c r="CO363">
        <v>0</v>
      </c>
      <c r="CP363">
        <v>0</v>
      </c>
      <c r="CQ363">
        <v>0</v>
      </c>
      <c r="CR363">
        <v>0</v>
      </c>
      <c r="CT363" t="s">
        <v>214</v>
      </c>
      <c r="CU363" t="s">
        <v>772</v>
      </c>
      <c r="CW363">
        <v>0</v>
      </c>
      <c r="CZ363" s="1">
        <v>46084</v>
      </c>
      <c r="DA363" t="s">
        <v>172</v>
      </c>
      <c r="DB363" t="s">
        <v>172</v>
      </c>
      <c r="DC363" t="s">
        <v>172</v>
      </c>
      <c r="DD363" t="s">
        <v>172</v>
      </c>
      <c r="DG363" s="1">
        <v>46084</v>
      </c>
      <c r="DH363">
        <v>0</v>
      </c>
      <c r="DI363">
        <v>0</v>
      </c>
      <c r="DL363" t="s">
        <v>215</v>
      </c>
      <c r="DM363" t="s">
        <v>172</v>
      </c>
      <c r="DN363" t="s">
        <v>201</v>
      </c>
      <c r="DV363" s="3">
        <v>215000</v>
      </c>
      <c r="DW363">
        <v>0</v>
      </c>
      <c r="DX363" s="3">
        <v>215000</v>
      </c>
      <c r="DY363">
        <v>0</v>
      </c>
      <c r="EN363" t="s">
        <v>537</v>
      </c>
    </row>
    <row r="364" spans="1:153" x14ac:dyDescent="0.35">
      <c r="A364" t="str">
        <f>HYPERLINK("https://7lm.cvcrm.com.br/gestor/comercial/reservas/6756/administrar","6756")</f>
        <v>6756</v>
      </c>
      <c r="B364" t="s">
        <v>172</v>
      </c>
      <c r="C364" s="1">
        <v>46084</v>
      </c>
      <c r="D364" s="2">
        <v>0.47560185185185183</v>
      </c>
      <c r="E364" t="s">
        <v>527</v>
      </c>
      <c r="F364" t="s">
        <v>1164</v>
      </c>
      <c r="G364" t="s">
        <v>203</v>
      </c>
      <c r="H364" t="s">
        <v>319</v>
      </c>
      <c r="I364" t="s">
        <v>1039</v>
      </c>
      <c r="J364">
        <v>1</v>
      </c>
      <c r="L364">
        <v>30001</v>
      </c>
      <c r="M364" t="s">
        <v>2226</v>
      </c>
      <c r="R364" t="str">
        <f>HYPERLINK("https://7lm.cvcrm.com.br/gestor/relatorios/associado/html?q[1|r.idreserva]=6756","Thomaz Aquino")</f>
        <v>Thomaz Aquino</v>
      </c>
      <c r="S364">
        <v>37054604121</v>
      </c>
      <c r="T364">
        <v>55996295269331</v>
      </c>
      <c r="V364" t="s">
        <v>2431</v>
      </c>
      <c r="W364" t="s">
        <v>163</v>
      </c>
      <c r="Y364" t="s">
        <v>165</v>
      </c>
      <c r="AC364" t="s">
        <v>2432</v>
      </c>
      <c r="AF364" t="s">
        <v>2433</v>
      </c>
      <c r="AG364" t="s">
        <v>195</v>
      </c>
      <c r="AH364" s="3">
        <v>250000.21</v>
      </c>
      <c r="AI364" s="3">
        <v>250000.21</v>
      </c>
      <c r="AJ364" s="1">
        <v>46108</v>
      </c>
      <c r="AN364" t="s">
        <v>172</v>
      </c>
      <c r="AO364" t="s">
        <v>1017</v>
      </c>
      <c r="AP364" t="s">
        <v>2434</v>
      </c>
      <c r="AT364" t="s">
        <v>196</v>
      </c>
      <c r="AU364" t="s">
        <v>292</v>
      </c>
      <c r="AW364">
        <v>0</v>
      </c>
      <c r="AX364" s="1">
        <v>46095</v>
      </c>
      <c r="AY364" s="2">
        <v>0.43305555555555558</v>
      </c>
      <c r="AZ364">
        <v>193124</v>
      </c>
      <c r="BA364" s="1">
        <v>46084</v>
      </c>
      <c r="BC364" t="s">
        <v>0</v>
      </c>
      <c r="BD364" s="1">
        <v>46084</v>
      </c>
      <c r="BE364" t="s">
        <v>213</v>
      </c>
      <c r="BL364" s="4">
        <v>0</v>
      </c>
      <c r="BM364" s="1">
        <v>46416</v>
      </c>
      <c r="BO364">
        <v>0</v>
      </c>
      <c r="BP364">
        <v>29100</v>
      </c>
      <c r="BQ364" t="s">
        <v>156</v>
      </c>
      <c r="BR364">
        <v>0</v>
      </c>
      <c r="BS364">
        <v>0</v>
      </c>
      <c r="BT364">
        <v>0</v>
      </c>
      <c r="BU364">
        <v>0</v>
      </c>
      <c r="BV364" s="3">
        <v>250000.21</v>
      </c>
      <c r="BX364">
        <v>0</v>
      </c>
      <c r="BZ364">
        <v>0</v>
      </c>
      <c r="CA364">
        <v>0</v>
      </c>
      <c r="CB364">
        <v>0</v>
      </c>
      <c r="CC364" s="3">
        <v>250000.21</v>
      </c>
      <c r="CD364" s="5">
        <v>0</v>
      </c>
      <c r="CE364" t="s">
        <v>1170</v>
      </c>
      <c r="CF364" s="6">
        <v>46082</v>
      </c>
      <c r="CH364">
        <v>0</v>
      </c>
      <c r="CI364">
        <v>0</v>
      </c>
      <c r="CJ364">
        <v>0</v>
      </c>
      <c r="CK364">
        <v>0</v>
      </c>
      <c r="CL364">
        <v>0</v>
      </c>
      <c r="CM364">
        <v>0</v>
      </c>
      <c r="CN364">
        <v>0</v>
      </c>
      <c r="CO364">
        <v>0</v>
      </c>
      <c r="CP364">
        <v>0</v>
      </c>
      <c r="CQ364">
        <v>0</v>
      </c>
      <c r="CR364">
        <v>0</v>
      </c>
      <c r="CT364" t="s">
        <v>190</v>
      </c>
      <c r="CU364" t="s">
        <v>1039</v>
      </c>
      <c r="CW364">
        <v>0</v>
      </c>
      <c r="CX364" t="s">
        <v>194</v>
      </c>
      <c r="CZ364" s="1">
        <v>46084</v>
      </c>
      <c r="DA364" t="s">
        <v>172</v>
      </c>
      <c r="DB364" t="s">
        <v>172</v>
      </c>
      <c r="DC364" t="s">
        <v>172</v>
      </c>
      <c r="DD364" t="s">
        <v>172</v>
      </c>
      <c r="DG364" s="1">
        <v>46084</v>
      </c>
      <c r="DH364">
        <v>0</v>
      </c>
      <c r="DI364">
        <v>0</v>
      </c>
      <c r="DL364" t="s">
        <v>1171</v>
      </c>
      <c r="DM364" t="s">
        <v>172</v>
      </c>
      <c r="DN364" t="s">
        <v>225</v>
      </c>
      <c r="DV364" s="3">
        <v>250000.21</v>
      </c>
      <c r="DW364">
        <v>0</v>
      </c>
      <c r="DX364" s="3">
        <v>250000.21</v>
      </c>
      <c r="DY364">
        <v>0</v>
      </c>
      <c r="EN364" t="s">
        <v>537</v>
      </c>
    </row>
    <row r="365" spans="1:153" ht="246.5" x14ac:dyDescent="0.35">
      <c r="A365" t="str">
        <f>HYPERLINK("https://7lm.cvcrm.com.br/gestor/comercial/reservas/6755/administrar","6755")</f>
        <v>6755</v>
      </c>
      <c r="B365" t="s">
        <v>156</v>
      </c>
      <c r="C365" s="1">
        <v>46084</v>
      </c>
      <c r="D365" s="2">
        <v>0.47089120370370369</v>
      </c>
      <c r="E365" t="s">
        <v>294</v>
      </c>
      <c r="F365" t="s">
        <v>202</v>
      </c>
      <c r="G365" t="s">
        <v>203</v>
      </c>
      <c r="H365" t="s">
        <v>204</v>
      </c>
      <c r="I365" t="s">
        <v>2435</v>
      </c>
      <c r="J365">
        <v>1</v>
      </c>
      <c r="K365">
        <v>8219</v>
      </c>
      <c r="L365">
        <v>20031</v>
      </c>
      <c r="M365" t="s">
        <v>2436</v>
      </c>
      <c r="N365" s="1">
        <v>46126</v>
      </c>
      <c r="O365" s="2">
        <v>0.72914351851851855</v>
      </c>
      <c r="R365" t="str">
        <f>HYPERLINK("https://7lm.cvcrm.com.br/gestor/relatorios/associado/html?q[1|r.idreserva]=6755","DENILSON RODRIGUES SANTOS")</f>
        <v>DENILSON RODRIGUES SANTOS</v>
      </c>
      <c r="S365">
        <v>37691404867</v>
      </c>
      <c r="T365">
        <v>5561996780709</v>
      </c>
      <c r="U365">
        <v>55061995521428</v>
      </c>
      <c r="V365" t="s">
        <v>2437</v>
      </c>
      <c r="W365" t="s">
        <v>163</v>
      </c>
      <c r="X365" t="s">
        <v>331</v>
      </c>
      <c r="Y365" t="s">
        <v>165</v>
      </c>
      <c r="Z365" t="s">
        <v>166</v>
      </c>
      <c r="AA365" t="s">
        <v>730</v>
      </c>
      <c r="AB365" t="s">
        <v>2438</v>
      </c>
      <c r="AC365" t="s">
        <v>398</v>
      </c>
      <c r="AF365" t="s">
        <v>399</v>
      </c>
      <c r="AG365" t="s">
        <v>195</v>
      </c>
      <c r="AH365" s="3">
        <v>225000.12</v>
      </c>
      <c r="AI365" s="3">
        <v>225000.12</v>
      </c>
      <c r="AJ365" s="1">
        <v>46157</v>
      </c>
      <c r="AN365" t="s">
        <v>172</v>
      </c>
      <c r="AR365" s="7" t="s">
        <v>353</v>
      </c>
      <c r="AT365" t="s">
        <v>173</v>
      </c>
      <c r="AU365" t="s">
        <v>888</v>
      </c>
      <c r="AW365">
        <v>0</v>
      </c>
      <c r="AX365" s="1">
        <v>46090</v>
      </c>
      <c r="AY365" s="2">
        <v>0.3565625</v>
      </c>
      <c r="AZ365">
        <v>189554</v>
      </c>
      <c r="BA365" s="1">
        <v>46068</v>
      </c>
      <c r="BC365" t="s">
        <v>0</v>
      </c>
      <c r="BD365" s="1">
        <v>46084</v>
      </c>
      <c r="BE365" t="s">
        <v>889</v>
      </c>
      <c r="BL365" s="4">
        <v>0</v>
      </c>
      <c r="BM365" s="1">
        <v>46808</v>
      </c>
      <c r="BN365" s="1">
        <v>46090</v>
      </c>
      <c r="BO365">
        <v>0</v>
      </c>
      <c r="BP365">
        <v>28806</v>
      </c>
      <c r="BQ365" t="s">
        <v>156</v>
      </c>
      <c r="BR365" s="3">
        <v>100988.68</v>
      </c>
      <c r="BS365" s="3">
        <v>55000</v>
      </c>
      <c r="BT365">
        <v>0</v>
      </c>
      <c r="BU365" s="3">
        <v>155988.68</v>
      </c>
      <c r="BV365" s="3">
        <v>225000.12</v>
      </c>
      <c r="BX365">
        <v>0</v>
      </c>
      <c r="BZ365">
        <v>0</v>
      </c>
      <c r="CA365">
        <v>0</v>
      </c>
      <c r="CB365">
        <v>0</v>
      </c>
      <c r="CC365" s="3">
        <v>225000.12</v>
      </c>
      <c r="CD365" s="5">
        <v>0</v>
      </c>
      <c r="CF365" s="6">
        <v>46082</v>
      </c>
      <c r="CH365">
        <v>0</v>
      </c>
      <c r="CI365">
        <v>0</v>
      </c>
      <c r="CJ365">
        <v>0</v>
      </c>
      <c r="CK365">
        <v>0</v>
      </c>
      <c r="CL365">
        <v>0</v>
      </c>
      <c r="CM365">
        <v>0</v>
      </c>
      <c r="CN365">
        <v>0</v>
      </c>
      <c r="CO365">
        <v>0</v>
      </c>
      <c r="CP365">
        <v>0</v>
      </c>
      <c r="CQ365">
        <v>0</v>
      </c>
      <c r="CR365">
        <v>0</v>
      </c>
      <c r="CS365" t="s">
        <v>649</v>
      </c>
      <c r="CT365" t="s">
        <v>214</v>
      </c>
      <c r="CU365" t="s">
        <v>2435</v>
      </c>
      <c r="CW365">
        <v>-52.2256</v>
      </c>
      <c r="CZ365" s="1">
        <v>46084</v>
      </c>
      <c r="DA365" t="s">
        <v>172</v>
      </c>
      <c r="DB365" t="s">
        <v>172</v>
      </c>
      <c r="DC365" t="s">
        <v>172</v>
      </c>
      <c r="DD365" t="s">
        <v>172</v>
      </c>
      <c r="DG365" s="1">
        <v>46084</v>
      </c>
      <c r="DH365">
        <v>0</v>
      </c>
      <c r="DI365">
        <v>0</v>
      </c>
      <c r="DL365" t="s">
        <v>215</v>
      </c>
      <c r="DM365" t="s">
        <v>172</v>
      </c>
      <c r="DN365" t="s">
        <v>525</v>
      </c>
      <c r="DV365" s="3">
        <v>225000.12</v>
      </c>
      <c r="DW365">
        <v>0</v>
      </c>
      <c r="DX365" s="3">
        <v>225000.12</v>
      </c>
      <c r="DY365">
        <v>0</v>
      </c>
      <c r="EF365" s="1">
        <v>46086</v>
      </c>
      <c r="EG365" s="1">
        <v>46086</v>
      </c>
      <c r="EK365" s="1">
        <v>46086</v>
      </c>
      <c r="EL365" s="1">
        <v>46086</v>
      </c>
      <c r="EM365" s="1">
        <v>46087</v>
      </c>
      <c r="EN365" t="s">
        <v>156</v>
      </c>
      <c r="EP365" s="1">
        <v>46086</v>
      </c>
    </row>
    <row r="366" spans="1:153" ht="246.5" x14ac:dyDescent="0.35">
      <c r="A366" t="str">
        <f>HYPERLINK("https://7lm.cvcrm.com.br/gestor/comercial/reservas/6754/administrar","6754")</f>
        <v>6754</v>
      </c>
      <c r="B366" t="s">
        <v>156</v>
      </c>
      <c r="C366" s="1">
        <v>46084</v>
      </c>
      <c r="D366" s="2">
        <v>0.40768518518518521</v>
      </c>
      <c r="E366" t="s">
        <v>294</v>
      </c>
      <c r="F366" t="s">
        <v>182</v>
      </c>
      <c r="G366" t="s">
        <v>159</v>
      </c>
      <c r="H366" t="s">
        <v>183</v>
      </c>
      <c r="I366" t="s">
        <v>2439</v>
      </c>
      <c r="J366">
        <v>1</v>
      </c>
      <c r="L366">
        <v>30151</v>
      </c>
      <c r="M366" t="s">
        <v>2440</v>
      </c>
      <c r="N366" s="1">
        <v>46086</v>
      </c>
      <c r="O366" s="2">
        <v>0.69949074074074069</v>
      </c>
      <c r="R366" t="str">
        <f>HYPERLINK("https://7lm.cvcrm.com.br/gestor/relatorios/associado/html?q[1|r.idreserva]=6754","JESSICA LUNA SUARES DE SOUZA")</f>
        <v>JESSICA LUNA SUARES DE SOUZA</v>
      </c>
      <c r="S366">
        <v>13338248660</v>
      </c>
      <c r="T366">
        <v>5538997455088</v>
      </c>
      <c r="V366" t="s">
        <v>2441</v>
      </c>
      <c r="W366" t="s">
        <v>187</v>
      </c>
      <c r="X366" t="s">
        <v>1228</v>
      </c>
      <c r="Y366" t="s">
        <v>189</v>
      </c>
      <c r="Z366" t="s">
        <v>190</v>
      </c>
      <c r="AA366" t="s">
        <v>377</v>
      </c>
      <c r="AB366" t="s">
        <v>2442</v>
      </c>
      <c r="AC366" t="s">
        <v>845</v>
      </c>
      <c r="AD366" t="s">
        <v>845</v>
      </c>
      <c r="AF366" t="s">
        <v>352</v>
      </c>
      <c r="AG366" t="s">
        <v>251</v>
      </c>
      <c r="AH366" s="3">
        <v>248000.35</v>
      </c>
      <c r="AI366" s="3">
        <v>248000.35</v>
      </c>
      <c r="AJ366" s="1">
        <v>46147</v>
      </c>
      <c r="AN366" t="s">
        <v>172</v>
      </c>
      <c r="AR366" s="7" t="s">
        <v>353</v>
      </c>
      <c r="AT366" t="s">
        <v>261</v>
      </c>
      <c r="AU366" t="s">
        <v>292</v>
      </c>
      <c r="AW366">
        <v>0</v>
      </c>
      <c r="AX366" s="1">
        <v>46091</v>
      </c>
      <c r="AY366" s="2">
        <v>0.72769675925925925</v>
      </c>
      <c r="AZ366">
        <v>192348</v>
      </c>
      <c r="BA366" s="1">
        <v>46080</v>
      </c>
      <c r="BC366" t="s">
        <v>0</v>
      </c>
      <c r="BD366" s="1">
        <v>46084</v>
      </c>
      <c r="BE366" t="s">
        <v>625</v>
      </c>
      <c r="BL366" s="4">
        <v>0</v>
      </c>
      <c r="BM366" s="1">
        <v>46899</v>
      </c>
      <c r="BN366" s="1">
        <v>46091</v>
      </c>
      <c r="BO366">
        <v>0</v>
      </c>
      <c r="BP366">
        <v>29021</v>
      </c>
      <c r="BQ366" t="s">
        <v>156</v>
      </c>
      <c r="BR366" s="3">
        <v>144892.63</v>
      </c>
      <c r="BS366" s="3">
        <v>24465</v>
      </c>
      <c r="BT366">
        <v>0</v>
      </c>
      <c r="BU366" s="3">
        <v>169357.63</v>
      </c>
      <c r="BV366" s="3">
        <v>248000.35</v>
      </c>
      <c r="BX366">
        <v>0</v>
      </c>
      <c r="BZ366">
        <v>0</v>
      </c>
      <c r="CA366">
        <v>0</v>
      </c>
      <c r="CB366">
        <v>0</v>
      </c>
      <c r="CC366" s="3">
        <v>248000.35</v>
      </c>
      <c r="CD366" s="5">
        <v>0</v>
      </c>
      <c r="CF366" s="6">
        <v>46082</v>
      </c>
      <c r="CH366">
        <v>0</v>
      </c>
      <c r="CI366">
        <v>0</v>
      </c>
      <c r="CJ366">
        <v>0</v>
      </c>
      <c r="CK366">
        <v>0</v>
      </c>
      <c r="CL366">
        <v>0</v>
      </c>
      <c r="CM366">
        <v>0</v>
      </c>
      <c r="CN366">
        <v>0</v>
      </c>
      <c r="CO366">
        <v>0</v>
      </c>
      <c r="CP366">
        <v>0</v>
      </c>
      <c r="CQ366">
        <v>0</v>
      </c>
      <c r="CR366">
        <v>0</v>
      </c>
      <c r="CS366" t="s">
        <v>199</v>
      </c>
      <c r="CT366" t="s">
        <v>190</v>
      </c>
      <c r="CU366" t="s">
        <v>2439</v>
      </c>
      <c r="CW366">
        <v>-53.418399999999998</v>
      </c>
      <c r="CZ366" s="1">
        <v>46084</v>
      </c>
      <c r="DA366" t="s">
        <v>172</v>
      </c>
      <c r="DB366" t="s">
        <v>172</v>
      </c>
      <c r="DC366" t="s">
        <v>172</v>
      </c>
      <c r="DD366" t="s">
        <v>172</v>
      </c>
      <c r="DG366" s="1">
        <v>46084</v>
      </c>
      <c r="DH366">
        <v>0</v>
      </c>
      <c r="DI366">
        <v>0</v>
      </c>
      <c r="DK366" t="s">
        <v>179</v>
      </c>
      <c r="DL366" t="s">
        <v>200</v>
      </c>
      <c r="DM366" t="s">
        <v>172</v>
      </c>
      <c r="DN366" t="s">
        <v>225</v>
      </c>
      <c r="DV366" s="3">
        <v>248000.35</v>
      </c>
      <c r="DW366">
        <v>0</v>
      </c>
      <c r="DX366" s="3">
        <v>248000.35</v>
      </c>
      <c r="DY366">
        <v>0</v>
      </c>
      <c r="EG366" s="1">
        <v>46087</v>
      </c>
      <c r="EN366" t="s">
        <v>156</v>
      </c>
      <c r="EP366" s="1">
        <v>46087</v>
      </c>
      <c r="ER366" s="1">
        <v>46087</v>
      </c>
      <c r="ES366" t="s">
        <v>2443</v>
      </c>
    </row>
    <row r="367" spans="1:153" ht="246.5" x14ac:dyDescent="0.35">
      <c r="A367" t="str">
        <f>HYPERLINK("https://7lm.cvcrm.com.br/gestor/comercial/reservas/6753/administrar","6753")</f>
        <v>6753</v>
      </c>
      <c r="B367" t="s">
        <v>156</v>
      </c>
      <c r="C367" s="1">
        <v>46083</v>
      </c>
      <c r="D367" s="2">
        <v>0.69950231481481484</v>
      </c>
      <c r="E367" t="s">
        <v>294</v>
      </c>
      <c r="F367" t="s">
        <v>1164</v>
      </c>
      <c r="G367" t="s">
        <v>203</v>
      </c>
      <c r="H367" t="s">
        <v>391</v>
      </c>
      <c r="I367" t="s">
        <v>772</v>
      </c>
      <c r="J367">
        <v>1</v>
      </c>
      <c r="L367">
        <v>30001</v>
      </c>
      <c r="M367" t="s">
        <v>2444</v>
      </c>
      <c r="N367" s="1">
        <v>46101</v>
      </c>
      <c r="O367" s="2">
        <v>0.63847222222222222</v>
      </c>
      <c r="R367" t="str">
        <f>HYPERLINK("https://7lm.cvcrm.com.br/gestor/relatorios/associado/html?q[1|r.idreserva]=6753","MILENA RAMOS DA CRUZ")</f>
        <v>MILENA RAMOS DA CRUZ</v>
      </c>
      <c r="S367">
        <v>70822384108</v>
      </c>
      <c r="T367">
        <v>5561998299585</v>
      </c>
      <c r="V367" t="s">
        <v>2445</v>
      </c>
      <c r="W367" t="s">
        <v>187</v>
      </c>
      <c r="X367" t="s">
        <v>1078</v>
      </c>
      <c r="Y367" t="s">
        <v>189</v>
      </c>
      <c r="Z367" t="s">
        <v>190</v>
      </c>
      <c r="AA367" t="s">
        <v>2446</v>
      </c>
      <c r="AB367" t="s">
        <v>2447</v>
      </c>
      <c r="AC367" t="s">
        <v>2448</v>
      </c>
      <c r="AF367" t="s">
        <v>250</v>
      </c>
      <c r="AG367" t="s">
        <v>251</v>
      </c>
      <c r="AH367" s="3">
        <v>251001</v>
      </c>
      <c r="AI367" s="3">
        <v>251001</v>
      </c>
      <c r="AJ367" s="1">
        <v>46102</v>
      </c>
      <c r="AN367" t="s">
        <v>172</v>
      </c>
      <c r="AR367" s="7" t="s">
        <v>353</v>
      </c>
      <c r="AU367" t="s">
        <v>316</v>
      </c>
      <c r="AW367">
        <v>0</v>
      </c>
      <c r="AX367" s="1">
        <v>46107</v>
      </c>
      <c r="AY367" s="2">
        <v>0.43829861111111112</v>
      </c>
      <c r="AZ367">
        <v>42040</v>
      </c>
      <c r="BA367" s="1">
        <v>44151</v>
      </c>
      <c r="BB367" s="1">
        <v>45888</v>
      </c>
      <c r="BC367" t="s">
        <v>213</v>
      </c>
      <c r="BD367" s="1">
        <v>45888</v>
      </c>
      <c r="BE367" t="s">
        <v>401</v>
      </c>
      <c r="BL367" s="4">
        <v>0</v>
      </c>
      <c r="BM367" s="1">
        <v>46416</v>
      </c>
      <c r="BN367" s="1">
        <v>46107</v>
      </c>
      <c r="BO367">
        <v>0</v>
      </c>
      <c r="BP367">
        <v>29090</v>
      </c>
      <c r="BQ367" t="s">
        <v>156</v>
      </c>
      <c r="BR367">
        <v>0</v>
      </c>
      <c r="BS367">
        <v>0</v>
      </c>
      <c r="BT367">
        <v>0</v>
      </c>
      <c r="BU367">
        <v>0</v>
      </c>
      <c r="BV367" s="3">
        <v>251001</v>
      </c>
      <c r="BX367">
        <v>0</v>
      </c>
      <c r="BZ367">
        <v>0</v>
      </c>
      <c r="CA367">
        <v>0</v>
      </c>
      <c r="CB367">
        <v>0</v>
      </c>
      <c r="CC367" s="3">
        <v>251001</v>
      </c>
      <c r="CD367" s="5">
        <v>0</v>
      </c>
      <c r="CE367" t="s">
        <v>1170</v>
      </c>
      <c r="CF367" s="6">
        <v>46082</v>
      </c>
      <c r="CH367">
        <v>0</v>
      </c>
      <c r="CI367">
        <v>0</v>
      </c>
      <c r="CJ367">
        <v>0</v>
      </c>
      <c r="CK367">
        <v>0</v>
      </c>
      <c r="CL367">
        <v>0</v>
      </c>
      <c r="CM367">
        <v>0</v>
      </c>
      <c r="CN367">
        <v>0</v>
      </c>
      <c r="CO367">
        <v>0</v>
      </c>
      <c r="CP367">
        <v>0</v>
      </c>
      <c r="CQ367">
        <v>0</v>
      </c>
      <c r="CR367">
        <v>0</v>
      </c>
      <c r="CS367" t="s">
        <v>360</v>
      </c>
      <c r="CT367" t="s">
        <v>190</v>
      </c>
      <c r="CU367" t="s">
        <v>772</v>
      </c>
      <c r="CW367">
        <v>-39.995899999999999</v>
      </c>
      <c r="CX367" t="s">
        <v>194</v>
      </c>
      <c r="CZ367" s="1">
        <v>46083</v>
      </c>
      <c r="DA367" t="s">
        <v>172</v>
      </c>
      <c r="DB367" t="s">
        <v>172</v>
      </c>
      <c r="DC367" t="s">
        <v>172</v>
      </c>
      <c r="DD367" t="s">
        <v>172</v>
      </c>
      <c r="DF367" t="s">
        <v>495</v>
      </c>
      <c r="DG367" s="1">
        <v>46083</v>
      </c>
      <c r="DH367">
        <v>0</v>
      </c>
      <c r="DI367">
        <v>0</v>
      </c>
      <c r="DL367" t="s">
        <v>1171</v>
      </c>
      <c r="DM367" t="s">
        <v>172</v>
      </c>
      <c r="DN367" t="s">
        <v>201</v>
      </c>
      <c r="DV367" s="3">
        <v>251001</v>
      </c>
      <c r="DW367">
        <v>0</v>
      </c>
      <c r="DX367" s="3">
        <v>251001</v>
      </c>
      <c r="DY367">
        <v>0</v>
      </c>
      <c r="EF367" s="1">
        <v>46101</v>
      </c>
      <c r="EG367" s="1">
        <v>46101</v>
      </c>
      <c r="EK367" s="1">
        <v>46101</v>
      </c>
      <c r="EL367" s="1">
        <v>46101</v>
      </c>
      <c r="EN367" t="s">
        <v>156</v>
      </c>
      <c r="EP367" s="1">
        <v>46105</v>
      </c>
      <c r="ER367" s="1">
        <v>46098</v>
      </c>
      <c r="ES367" t="s">
        <v>2449</v>
      </c>
      <c r="ET367" t="s">
        <v>2450</v>
      </c>
      <c r="EU367" s="1">
        <v>46100</v>
      </c>
      <c r="EW367" s="1">
        <v>46083</v>
      </c>
    </row>
    <row r="368" spans="1:153" ht="246.5" x14ac:dyDescent="0.35">
      <c r="A368" t="str">
        <f>HYPERLINK("https://7lm.cvcrm.com.br/gestor/comercial/reservas/6752/administrar","6752")</f>
        <v>6752</v>
      </c>
      <c r="B368" t="s">
        <v>156</v>
      </c>
      <c r="C368" s="1">
        <v>46083</v>
      </c>
      <c r="D368" s="2">
        <v>0.54831018518518515</v>
      </c>
      <c r="E368" t="s">
        <v>294</v>
      </c>
      <c r="F368" t="s">
        <v>2451</v>
      </c>
      <c r="G368" t="s">
        <v>203</v>
      </c>
      <c r="H368" t="s">
        <v>528</v>
      </c>
      <c r="I368" t="s">
        <v>691</v>
      </c>
      <c r="J368">
        <v>1</v>
      </c>
      <c r="L368">
        <v>30061</v>
      </c>
      <c r="M368" t="s">
        <v>2452</v>
      </c>
      <c r="N368" s="1">
        <v>46084</v>
      </c>
      <c r="O368" s="2">
        <v>0.75766203703703705</v>
      </c>
      <c r="R368" t="str">
        <f>HYPERLINK("https://7lm.cvcrm.com.br/gestor/relatorios/associado/html?q[1|r.idreserva]=6752","MARIANA CRISTINA RODRIGUES")</f>
        <v>MARIANA CRISTINA RODRIGUES</v>
      </c>
      <c r="S368">
        <v>5892801128</v>
      </c>
      <c r="T368">
        <v>5562998853050</v>
      </c>
      <c r="V368" t="s">
        <v>2453</v>
      </c>
      <c r="W368" t="s">
        <v>187</v>
      </c>
      <c r="X368" t="s">
        <v>2454</v>
      </c>
      <c r="Y368" t="s">
        <v>189</v>
      </c>
      <c r="Z368" t="s">
        <v>190</v>
      </c>
      <c r="AA368" t="s">
        <v>1604</v>
      </c>
      <c r="AB368" t="s">
        <v>1714</v>
      </c>
      <c r="AC368" t="s">
        <v>589</v>
      </c>
      <c r="AF368" t="s">
        <v>194</v>
      </c>
      <c r="AG368" t="s">
        <v>195</v>
      </c>
      <c r="AH368" s="3">
        <v>245051.28</v>
      </c>
      <c r="AI368" s="3">
        <v>245051.28</v>
      </c>
      <c r="AJ368" s="1">
        <v>46083</v>
      </c>
      <c r="AN368" t="s">
        <v>172</v>
      </c>
      <c r="AR368" s="7" t="s">
        <v>353</v>
      </c>
      <c r="AT368" t="s">
        <v>196</v>
      </c>
      <c r="AU368" t="s">
        <v>1403</v>
      </c>
      <c r="AW368">
        <v>0</v>
      </c>
      <c r="AX368" s="1">
        <v>46087</v>
      </c>
      <c r="AY368" s="2">
        <v>0.43979166666666669</v>
      </c>
      <c r="AZ368">
        <v>121701</v>
      </c>
      <c r="BA368" s="1">
        <v>45464</v>
      </c>
      <c r="BC368" t="s">
        <v>0</v>
      </c>
      <c r="BD368" s="1">
        <v>46083</v>
      </c>
      <c r="BE368" t="s">
        <v>427</v>
      </c>
      <c r="BL368" s="4">
        <v>0</v>
      </c>
      <c r="BM368" s="1">
        <v>46788</v>
      </c>
      <c r="BN368" s="1">
        <v>46087</v>
      </c>
      <c r="BO368">
        <v>0</v>
      </c>
      <c r="BP368">
        <v>28838</v>
      </c>
      <c r="BQ368" t="s">
        <v>156</v>
      </c>
      <c r="BR368" s="3">
        <v>152794.78</v>
      </c>
      <c r="BS368" s="3">
        <v>9227</v>
      </c>
      <c r="BT368">
        <v>0</v>
      </c>
      <c r="BU368" s="3">
        <v>162021.78</v>
      </c>
      <c r="BV368" s="3">
        <v>245051.28</v>
      </c>
      <c r="BX368">
        <v>0</v>
      </c>
      <c r="BZ368">
        <v>0</v>
      </c>
      <c r="CA368">
        <v>0</v>
      </c>
      <c r="CB368">
        <v>0</v>
      </c>
      <c r="CC368" s="3">
        <v>245051.28</v>
      </c>
      <c r="CD368" s="5">
        <v>0</v>
      </c>
      <c r="CF368" s="6">
        <v>46082</v>
      </c>
      <c r="CH368">
        <v>0</v>
      </c>
      <c r="CI368">
        <v>0</v>
      </c>
      <c r="CJ368">
        <v>0</v>
      </c>
      <c r="CK368">
        <v>0</v>
      </c>
      <c r="CL368">
        <v>0</v>
      </c>
      <c r="CM368">
        <v>0</v>
      </c>
      <c r="CN368">
        <v>0</v>
      </c>
      <c r="CO368">
        <v>0</v>
      </c>
      <c r="CP368">
        <v>0</v>
      </c>
      <c r="CQ368">
        <v>0</v>
      </c>
      <c r="CR368">
        <v>0</v>
      </c>
      <c r="CS368" t="s">
        <v>2029</v>
      </c>
      <c r="CT368" t="s">
        <v>190</v>
      </c>
      <c r="CU368" t="s">
        <v>691</v>
      </c>
      <c r="CW368">
        <v>-52.491</v>
      </c>
      <c r="CZ368" s="1">
        <v>46083</v>
      </c>
      <c r="DA368" t="s">
        <v>172</v>
      </c>
      <c r="DB368" t="s">
        <v>172</v>
      </c>
      <c r="DC368" t="s">
        <v>172</v>
      </c>
      <c r="DD368" t="s">
        <v>172</v>
      </c>
      <c r="DG368" s="1">
        <v>46083</v>
      </c>
      <c r="DH368">
        <v>0</v>
      </c>
      <c r="DI368">
        <v>0</v>
      </c>
      <c r="DL368" t="s">
        <v>200</v>
      </c>
      <c r="DM368" t="s">
        <v>172</v>
      </c>
      <c r="DN368" t="s">
        <v>225</v>
      </c>
      <c r="DV368" s="3">
        <v>245051.28</v>
      </c>
      <c r="DW368">
        <v>0</v>
      </c>
      <c r="DX368" s="3">
        <v>245051.28</v>
      </c>
      <c r="DY368">
        <v>0</v>
      </c>
      <c r="EF368" s="1">
        <v>46086</v>
      </c>
      <c r="EG368" s="1">
        <v>46085</v>
      </c>
      <c r="EK368" s="1">
        <v>46086</v>
      </c>
      <c r="EN368" t="s">
        <v>156</v>
      </c>
      <c r="EP368" s="1">
        <v>46085</v>
      </c>
      <c r="ER368" s="1">
        <v>46084</v>
      </c>
      <c r="ES368" t="s">
        <v>2455</v>
      </c>
      <c r="ET368" t="s">
        <v>1930</v>
      </c>
      <c r="EU368" s="1">
        <v>46087</v>
      </c>
      <c r="EW368" s="1">
        <v>46083</v>
      </c>
    </row>
    <row r="369" spans="1:153" ht="246.5" x14ac:dyDescent="0.35">
      <c r="A369" t="str">
        <f>HYPERLINK("https://7lm.cvcrm.com.br/gestor/comercial/reservas/6751/administrar","6751")</f>
        <v>6751</v>
      </c>
      <c r="B369" t="s">
        <v>156</v>
      </c>
      <c r="C369" s="1">
        <v>46083</v>
      </c>
      <c r="D369" s="2">
        <v>0.51598379629629632</v>
      </c>
      <c r="E369" t="s">
        <v>294</v>
      </c>
      <c r="F369" t="s">
        <v>458</v>
      </c>
      <c r="G369" t="s">
        <v>203</v>
      </c>
      <c r="H369" t="s">
        <v>306</v>
      </c>
      <c r="I369" t="s">
        <v>2456</v>
      </c>
      <c r="J369">
        <v>1</v>
      </c>
      <c r="L369">
        <v>20001</v>
      </c>
      <c r="M369" t="s">
        <v>2457</v>
      </c>
      <c r="N369" s="1">
        <v>46086</v>
      </c>
      <c r="O369" s="2">
        <v>0.6605092592592593</v>
      </c>
      <c r="R369" t="str">
        <f>HYPERLINK("https://7lm.cvcrm.com.br/gestor/relatorios/associado/html?q[1|r.idreserva]=6751","ANTONIO CARDOSO DE ABREU FILHO")</f>
        <v>ANTONIO CARDOSO DE ABREU FILHO</v>
      </c>
      <c r="S369">
        <v>73652350120</v>
      </c>
      <c r="T369">
        <v>5561998328430</v>
      </c>
      <c r="V369" t="s">
        <v>2458</v>
      </c>
      <c r="W369" t="s">
        <v>163</v>
      </c>
      <c r="Y369" t="s">
        <v>189</v>
      </c>
      <c r="Z369" t="s">
        <v>214</v>
      </c>
      <c r="AA369" t="s">
        <v>621</v>
      </c>
      <c r="AB369" t="s">
        <v>2459</v>
      </c>
      <c r="AC369" t="s">
        <v>1264</v>
      </c>
      <c r="AD369" t="s">
        <v>1265</v>
      </c>
      <c r="AF369" t="s">
        <v>634</v>
      </c>
      <c r="AG369" t="s">
        <v>195</v>
      </c>
      <c r="AH369" s="3">
        <v>225000</v>
      </c>
      <c r="AI369" s="3">
        <v>225000</v>
      </c>
      <c r="AJ369" s="1">
        <v>46157</v>
      </c>
      <c r="AN369" t="s">
        <v>172</v>
      </c>
      <c r="AR369" s="7" t="s">
        <v>353</v>
      </c>
      <c r="AT369" t="s">
        <v>196</v>
      </c>
      <c r="AU369" t="s">
        <v>197</v>
      </c>
      <c r="AW369">
        <v>0</v>
      </c>
      <c r="AX369" s="1">
        <v>46106</v>
      </c>
      <c r="AY369" s="2">
        <v>0.43996527777777777</v>
      </c>
      <c r="AZ369">
        <v>191044</v>
      </c>
      <c r="BA369" s="1">
        <v>46074</v>
      </c>
      <c r="BC369" t="s">
        <v>0</v>
      </c>
      <c r="BD369" s="1">
        <v>46083</v>
      </c>
      <c r="BE369" t="s">
        <v>317</v>
      </c>
      <c r="BL369" s="4">
        <v>0</v>
      </c>
      <c r="BM369" s="1">
        <v>46572</v>
      </c>
      <c r="BN369" s="1">
        <v>46106</v>
      </c>
      <c r="BO369">
        <v>0</v>
      </c>
      <c r="BP369">
        <v>28821</v>
      </c>
      <c r="BQ369" t="s">
        <v>156</v>
      </c>
      <c r="BR369" s="3">
        <v>172000</v>
      </c>
      <c r="BS369">
        <v>0</v>
      </c>
      <c r="BT369">
        <v>0</v>
      </c>
      <c r="BU369" s="3">
        <v>172000</v>
      </c>
      <c r="BV369" s="3">
        <v>225000</v>
      </c>
      <c r="BX369">
        <v>0</v>
      </c>
      <c r="BZ369">
        <v>0</v>
      </c>
      <c r="CA369">
        <v>0</v>
      </c>
      <c r="CB369">
        <v>0</v>
      </c>
      <c r="CC369" s="3">
        <v>225000</v>
      </c>
      <c r="CD369" s="5">
        <v>0</v>
      </c>
      <c r="CE369" t="s">
        <v>467</v>
      </c>
      <c r="CF369" s="6">
        <v>46082</v>
      </c>
      <c r="CH369">
        <v>0</v>
      </c>
      <c r="CI369">
        <v>0</v>
      </c>
      <c r="CJ369">
        <v>0</v>
      </c>
      <c r="CK369">
        <v>0</v>
      </c>
      <c r="CL369">
        <v>0</v>
      </c>
      <c r="CM369">
        <v>0</v>
      </c>
      <c r="CN369">
        <v>0</v>
      </c>
      <c r="CO369">
        <v>0</v>
      </c>
      <c r="CP369">
        <v>0</v>
      </c>
      <c r="CQ369">
        <v>0</v>
      </c>
      <c r="CR369">
        <v>0</v>
      </c>
      <c r="CS369" t="s">
        <v>1918</v>
      </c>
      <c r="CT369" t="s">
        <v>214</v>
      </c>
      <c r="CU369" t="s">
        <v>2456</v>
      </c>
      <c r="CW369">
        <v>-52.411200000000001</v>
      </c>
      <c r="CZ369" s="1">
        <v>46083</v>
      </c>
      <c r="DA369" t="s">
        <v>172</v>
      </c>
      <c r="DB369" t="s">
        <v>172</v>
      </c>
      <c r="DC369" t="s">
        <v>172</v>
      </c>
      <c r="DD369" t="s">
        <v>172</v>
      </c>
      <c r="DG369" s="1">
        <v>46083</v>
      </c>
      <c r="DH369">
        <v>0</v>
      </c>
      <c r="DI369">
        <v>0</v>
      </c>
      <c r="DL369" t="s">
        <v>200</v>
      </c>
      <c r="DM369" t="s">
        <v>172</v>
      </c>
      <c r="DN369" t="s">
        <v>201</v>
      </c>
      <c r="DV369" s="3">
        <v>225000</v>
      </c>
      <c r="DW369">
        <v>0</v>
      </c>
      <c r="DX369" s="3">
        <v>225000</v>
      </c>
      <c r="DY369">
        <v>0</v>
      </c>
      <c r="EF369" s="1">
        <v>46100</v>
      </c>
      <c r="EG369" s="1">
        <v>46099</v>
      </c>
      <c r="EK369" s="1">
        <v>46100</v>
      </c>
      <c r="EL369" s="1">
        <v>46087</v>
      </c>
      <c r="EM369" s="1">
        <v>46087</v>
      </c>
      <c r="EN369" t="s">
        <v>156</v>
      </c>
      <c r="EP369" s="1">
        <v>46086</v>
      </c>
      <c r="EW369" s="1">
        <v>46083</v>
      </c>
    </row>
    <row r="370" spans="1:153" x14ac:dyDescent="0.35">
      <c r="A370" t="str">
        <f>HYPERLINK("https://7lm.cvcrm.com.br/gestor/comercial/reservas/6750/administrar","6750")</f>
        <v>6750</v>
      </c>
      <c r="B370" t="s">
        <v>156</v>
      </c>
      <c r="C370" s="1">
        <v>46083</v>
      </c>
      <c r="D370" s="2">
        <v>0.43435185185185188</v>
      </c>
      <c r="E370" t="s">
        <v>527</v>
      </c>
      <c r="F370" t="s">
        <v>957</v>
      </c>
      <c r="G370" t="s">
        <v>159</v>
      </c>
      <c r="H370" t="s">
        <v>643</v>
      </c>
      <c r="I370" t="s">
        <v>2460</v>
      </c>
      <c r="J370">
        <v>1</v>
      </c>
      <c r="L370">
        <v>30121</v>
      </c>
      <c r="M370" t="s">
        <v>2461</v>
      </c>
      <c r="N370" s="1">
        <v>46085</v>
      </c>
      <c r="O370" s="2">
        <v>0.54606481481481484</v>
      </c>
      <c r="R370" t="str">
        <f>HYPERLINK("https://7lm.cvcrm.com.br/gestor/relatorios/associado/html?q[1|r.idreserva]=6750","GUILHERME ALVES ANDRADE")</f>
        <v>GUILHERME ALVES ANDRADE</v>
      </c>
      <c r="S370">
        <v>11203339119</v>
      </c>
      <c r="T370">
        <v>5561998721758</v>
      </c>
      <c r="V370" t="s">
        <v>2462</v>
      </c>
      <c r="W370" t="s">
        <v>163</v>
      </c>
      <c r="X370" t="s">
        <v>376</v>
      </c>
      <c r="Y370" t="s">
        <v>189</v>
      </c>
      <c r="Z370" t="s">
        <v>190</v>
      </c>
      <c r="AA370" t="s">
        <v>377</v>
      </c>
      <c r="AB370" t="s">
        <v>2463</v>
      </c>
      <c r="AC370" t="s">
        <v>534</v>
      </c>
      <c r="AF370" t="s">
        <v>303</v>
      </c>
      <c r="AG370" t="s">
        <v>195</v>
      </c>
      <c r="AH370" s="3">
        <v>244934.01</v>
      </c>
      <c r="AI370" s="3">
        <v>244934.01</v>
      </c>
      <c r="AJ370" s="1">
        <v>46137</v>
      </c>
      <c r="AN370" t="s">
        <v>172</v>
      </c>
      <c r="AO370" t="s">
        <v>816</v>
      </c>
      <c r="AR370" t="s">
        <v>2464</v>
      </c>
      <c r="AT370" t="s">
        <v>196</v>
      </c>
      <c r="AU370" t="s">
        <v>292</v>
      </c>
      <c r="AW370">
        <v>0</v>
      </c>
      <c r="AX370" s="1">
        <v>46086</v>
      </c>
      <c r="AY370" s="2">
        <v>0.44299768518518517</v>
      </c>
      <c r="AZ370">
        <v>144662</v>
      </c>
      <c r="BA370" s="1">
        <v>45666</v>
      </c>
      <c r="BB370" s="1">
        <v>46077</v>
      </c>
      <c r="BC370" t="s">
        <v>0</v>
      </c>
      <c r="BD370" s="1">
        <v>46083</v>
      </c>
      <c r="BE370" t="s">
        <v>317</v>
      </c>
      <c r="BL370" s="4">
        <v>0</v>
      </c>
      <c r="BM370" s="1">
        <v>47031</v>
      </c>
      <c r="BO370">
        <v>0</v>
      </c>
      <c r="BP370">
        <v>28914</v>
      </c>
      <c r="BQ370" t="s">
        <v>156</v>
      </c>
      <c r="BR370" s="3">
        <v>136096.22</v>
      </c>
      <c r="BS370" s="3">
        <v>24961</v>
      </c>
      <c r="BT370">
        <v>0</v>
      </c>
      <c r="BU370" s="3">
        <v>161057.22</v>
      </c>
      <c r="BV370" s="3">
        <v>244934.01</v>
      </c>
      <c r="BX370">
        <v>0</v>
      </c>
      <c r="BZ370">
        <v>0</v>
      </c>
      <c r="CA370">
        <v>0</v>
      </c>
      <c r="CB370">
        <v>0</v>
      </c>
      <c r="CC370" s="3">
        <v>244934.01</v>
      </c>
      <c r="CD370" s="5">
        <v>0</v>
      </c>
      <c r="CF370" s="6">
        <v>46082</v>
      </c>
      <c r="CH370">
        <v>0</v>
      </c>
      <c r="CI370">
        <v>0</v>
      </c>
      <c r="CJ370">
        <v>0</v>
      </c>
      <c r="CK370">
        <v>0</v>
      </c>
      <c r="CL370">
        <v>0</v>
      </c>
      <c r="CM370">
        <v>0</v>
      </c>
      <c r="CN370">
        <v>0</v>
      </c>
      <c r="CO370">
        <v>0</v>
      </c>
      <c r="CP370">
        <v>0</v>
      </c>
      <c r="CQ370">
        <v>0</v>
      </c>
      <c r="CR370">
        <v>0</v>
      </c>
      <c r="CS370" t="s">
        <v>360</v>
      </c>
      <c r="CT370" t="s">
        <v>190</v>
      </c>
      <c r="CU370" t="s">
        <v>2460</v>
      </c>
      <c r="CW370">
        <v>-51.727600000000002</v>
      </c>
      <c r="CZ370" s="1">
        <v>46083</v>
      </c>
      <c r="DA370" t="s">
        <v>172</v>
      </c>
      <c r="DB370" t="s">
        <v>172</v>
      </c>
      <c r="DC370" t="s">
        <v>172</v>
      </c>
      <c r="DD370" t="s">
        <v>172</v>
      </c>
      <c r="DG370" s="1">
        <v>46083</v>
      </c>
      <c r="DH370">
        <v>0</v>
      </c>
      <c r="DI370">
        <v>0</v>
      </c>
      <c r="DL370" t="s">
        <v>963</v>
      </c>
      <c r="DM370" t="s">
        <v>172</v>
      </c>
      <c r="DN370" t="s">
        <v>201</v>
      </c>
      <c r="DP370" s="4">
        <v>1.2E-2</v>
      </c>
      <c r="DV370" s="3">
        <v>244934.01</v>
      </c>
      <c r="DW370">
        <v>0</v>
      </c>
      <c r="DX370" s="3">
        <v>244934.01</v>
      </c>
      <c r="DY370">
        <v>0</v>
      </c>
      <c r="EF370" s="1">
        <v>46085</v>
      </c>
      <c r="EG370" s="1">
        <v>46084</v>
      </c>
      <c r="EK370" s="1">
        <v>46085</v>
      </c>
      <c r="EL370" s="1">
        <v>46085</v>
      </c>
      <c r="EN370" t="s">
        <v>537</v>
      </c>
      <c r="ER370" s="1">
        <v>46084</v>
      </c>
      <c r="ES370" t="s">
        <v>2465</v>
      </c>
      <c r="ET370" t="s">
        <v>2466</v>
      </c>
      <c r="EW370" s="1">
        <v>46083</v>
      </c>
    </row>
    <row r="371" spans="1:153" x14ac:dyDescent="0.35">
      <c r="A371" t="str">
        <f>HYPERLINK("https://7lm.cvcrm.com.br/gestor/comercial/reservas/6749/administrar","6749")</f>
        <v>6749</v>
      </c>
      <c r="B371" t="s">
        <v>172</v>
      </c>
      <c r="C371" s="1">
        <v>46080</v>
      </c>
      <c r="D371" s="2">
        <v>0.86087962962962961</v>
      </c>
      <c r="E371" t="s">
        <v>527</v>
      </c>
      <c r="F371" t="s">
        <v>2451</v>
      </c>
      <c r="G371" t="s">
        <v>203</v>
      </c>
      <c r="H371" t="s">
        <v>277</v>
      </c>
      <c r="I371" t="s">
        <v>682</v>
      </c>
      <c r="J371">
        <v>1</v>
      </c>
      <c r="L371">
        <v>30061</v>
      </c>
      <c r="M371" t="s">
        <v>2467</v>
      </c>
      <c r="R371" t="str">
        <f>HYPERLINK("https://7lm.cvcrm.com.br/gestor/relatorios/associado/html?q[1|r.idreserva]=6749","UANDERSON INACIO BARBOSA")</f>
        <v>UANDERSON INACIO BARBOSA</v>
      </c>
      <c r="S371">
        <v>7186684130</v>
      </c>
      <c r="T371">
        <v>5561996253150</v>
      </c>
      <c r="V371" t="s">
        <v>2468</v>
      </c>
      <c r="W371" t="s">
        <v>163</v>
      </c>
      <c r="X371" t="s">
        <v>299</v>
      </c>
      <c r="Y371" t="s">
        <v>189</v>
      </c>
      <c r="Z371" t="s">
        <v>190</v>
      </c>
      <c r="AA371" t="s">
        <v>2469</v>
      </c>
      <c r="AB371" t="s">
        <v>2470</v>
      </c>
      <c r="AC371" t="s">
        <v>1499</v>
      </c>
      <c r="AD371" t="s">
        <v>1499</v>
      </c>
      <c r="AF371" t="s">
        <v>303</v>
      </c>
      <c r="AG371" t="s">
        <v>251</v>
      </c>
      <c r="AH371" s="3">
        <v>263399.64</v>
      </c>
      <c r="AI371" s="3">
        <v>263399.64</v>
      </c>
      <c r="AJ371" s="1">
        <v>46108</v>
      </c>
      <c r="AN371" t="s">
        <v>172</v>
      </c>
      <c r="AO371" t="s">
        <v>2471</v>
      </c>
      <c r="AR371" t="s">
        <v>2472</v>
      </c>
      <c r="AT371" t="s">
        <v>196</v>
      </c>
      <c r="AU371" t="s">
        <v>292</v>
      </c>
      <c r="AW371">
        <v>0</v>
      </c>
      <c r="AX371" s="1">
        <v>46090</v>
      </c>
      <c r="AY371" s="2">
        <v>0.47833333333333333</v>
      </c>
      <c r="AZ371">
        <v>73840</v>
      </c>
      <c r="BA371" s="1">
        <v>44682</v>
      </c>
      <c r="BB371" s="1">
        <v>45722</v>
      </c>
      <c r="BC371" t="s">
        <v>0</v>
      </c>
      <c r="BD371" s="1">
        <v>46080</v>
      </c>
      <c r="BE371" t="s">
        <v>317</v>
      </c>
      <c r="BL371" s="4">
        <v>0</v>
      </c>
      <c r="BM371" s="1">
        <v>46788</v>
      </c>
      <c r="BO371">
        <v>0</v>
      </c>
      <c r="BP371">
        <v>28950</v>
      </c>
      <c r="BQ371" t="s">
        <v>156</v>
      </c>
      <c r="BR371" s="3">
        <v>136096.22</v>
      </c>
      <c r="BS371" s="3">
        <v>24961</v>
      </c>
      <c r="BT371">
        <v>0</v>
      </c>
      <c r="BU371" s="3">
        <v>161057.22</v>
      </c>
      <c r="BV371" s="3">
        <v>263399.64</v>
      </c>
      <c r="BX371">
        <v>0</v>
      </c>
      <c r="BZ371">
        <v>0</v>
      </c>
      <c r="CA371">
        <v>0</v>
      </c>
      <c r="CB371">
        <v>0</v>
      </c>
      <c r="CC371" s="3">
        <v>263399.64</v>
      </c>
      <c r="CD371" s="5">
        <v>0</v>
      </c>
      <c r="CF371" s="6">
        <v>46082</v>
      </c>
      <c r="CH371">
        <v>0</v>
      </c>
      <c r="CI371">
        <v>0</v>
      </c>
      <c r="CJ371">
        <v>0</v>
      </c>
      <c r="CK371">
        <v>0</v>
      </c>
      <c r="CL371">
        <v>0</v>
      </c>
      <c r="CM371">
        <v>0</v>
      </c>
      <c r="CN371">
        <v>0</v>
      </c>
      <c r="CO371">
        <v>0</v>
      </c>
      <c r="CP371">
        <v>0</v>
      </c>
      <c r="CQ371">
        <v>0</v>
      </c>
      <c r="CR371">
        <v>0</v>
      </c>
      <c r="CT371" t="s">
        <v>190</v>
      </c>
      <c r="CU371" t="s">
        <v>682</v>
      </c>
      <c r="CW371">
        <v>0</v>
      </c>
      <c r="CZ371" s="1">
        <v>46080</v>
      </c>
      <c r="DA371" t="s">
        <v>172</v>
      </c>
      <c r="DB371" t="s">
        <v>172</v>
      </c>
      <c r="DC371" t="s">
        <v>172</v>
      </c>
      <c r="DD371" t="s">
        <v>172</v>
      </c>
      <c r="DG371" s="1">
        <v>46080</v>
      </c>
      <c r="DH371">
        <v>0</v>
      </c>
      <c r="DI371">
        <v>0</v>
      </c>
      <c r="DL371" t="s">
        <v>2473</v>
      </c>
      <c r="DM371" t="s">
        <v>172</v>
      </c>
      <c r="DN371" t="s">
        <v>511</v>
      </c>
      <c r="DV371" s="3">
        <v>263399.64</v>
      </c>
      <c r="DW371">
        <v>0</v>
      </c>
      <c r="DX371" s="3">
        <v>263399.64</v>
      </c>
      <c r="DY371">
        <v>0</v>
      </c>
      <c r="EN371" t="s">
        <v>537</v>
      </c>
      <c r="ER371" s="1">
        <v>46083</v>
      </c>
      <c r="ES371" t="s">
        <v>2474</v>
      </c>
      <c r="EW371" s="1">
        <v>46080</v>
      </c>
    </row>
    <row r="372" spans="1:153" x14ac:dyDescent="0.35">
      <c r="A372" t="str">
        <f>HYPERLINK("https://7lm.cvcrm.com.br/gestor/comercial/reservas/6748/administrar","6748")</f>
        <v>6748</v>
      </c>
      <c r="B372" t="s">
        <v>156</v>
      </c>
      <c r="C372" s="1">
        <v>46080</v>
      </c>
      <c r="D372" s="2">
        <v>0.69065972222222227</v>
      </c>
      <c r="E372" t="s">
        <v>294</v>
      </c>
      <c r="F372" t="s">
        <v>957</v>
      </c>
      <c r="G372" t="s">
        <v>159</v>
      </c>
      <c r="H372" t="s">
        <v>538</v>
      </c>
      <c r="I372" t="s">
        <v>2475</v>
      </c>
      <c r="J372">
        <v>1</v>
      </c>
      <c r="L372">
        <v>30121</v>
      </c>
      <c r="M372" t="s">
        <v>2476</v>
      </c>
      <c r="N372" s="1">
        <v>46091</v>
      </c>
      <c r="O372" s="2">
        <v>0.47001157407407407</v>
      </c>
      <c r="R372" t="str">
        <f>HYPERLINK("https://7lm.cvcrm.com.br/gestor/relatorios/associado/html?q[1|r.idreserva]=6748","CAIO FAGUNDES RAUBER")</f>
        <v>CAIO FAGUNDES RAUBER</v>
      </c>
      <c r="S372">
        <v>1304583171</v>
      </c>
      <c r="T372">
        <v>5561998658288</v>
      </c>
      <c r="V372" t="s">
        <v>2477</v>
      </c>
      <c r="W372" t="s">
        <v>163</v>
      </c>
      <c r="X372" t="s">
        <v>366</v>
      </c>
      <c r="Y372" t="s">
        <v>189</v>
      </c>
      <c r="Z372" t="s">
        <v>190</v>
      </c>
      <c r="AA372" t="s">
        <v>423</v>
      </c>
      <c r="AB372" t="s">
        <v>2478</v>
      </c>
      <c r="AC372" t="s">
        <v>1493</v>
      </c>
      <c r="AD372" t="s">
        <v>1493</v>
      </c>
      <c r="AF372" t="s">
        <v>250</v>
      </c>
      <c r="AG372" t="s">
        <v>251</v>
      </c>
      <c r="AH372" s="3">
        <v>245930.51</v>
      </c>
      <c r="AI372" s="3">
        <v>245930.51</v>
      </c>
      <c r="AJ372" s="1">
        <v>46097</v>
      </c>
      <c r="AN372" t="s">
        <v>172</v>
      </c>
      <c r="AR372" t="s">
        <v>1203</v>
      </c>
      <c r="AT372" t="s">
        <v>173</v>
      </c>
      <c r="AU372" t="s">
        <v>175</v>
      </c>
      <c r="AW372">
        <v>0</v>
      </c>
      <c r="AX372" s="1">
        <v>46093</v>
      </c>
      <c r="AY372" s="2">
        <v>0.35549768518518521</v>
      </c>
      <c r="AZ372">
        <v>95849</v>
      </c>
      <c r="BA372" s="1">
        <v>45226</v>
      </c>
      <c r="BB372" s="1">
        <v>46080</v>
      </c>
      <c r="BC372" t="s">
        <v>0</v>
      </c>
      <c r="BD372" s="1">
        <v>46080</v>
      </c>
      <c r="BE372" t="s">
        <v>175</v>
      </c>
      <c r="BL372" s="4">
        <v>0</v>
      </c>
      <c r="BM372" s="1">
        <v>47031</v>
      </c>
      <c r="BN372" s="1">
        <v>46093</v>
      </c>
      <c r="BO372">
        <v>0</v>
      </c>
      <c r="BP372">
        <v>29031</v>
      </c>
      <c r="BQ372" t="s">
        <v>156</v>
      </c>
      <c r="BR372">
        <v>0</v>
      </c>
      <c r="BS372">
        <v>0</v>
      </c>
      <c r="BT372">
        <v>0</v>
      </c>
      <c r="BU372">
        <v>0</v>
      </c>
      <c r="BV372" s="3">
        <v>245930.51</v>
      </c>
      <c r="BX372">
        <v>0</v>
      </c>
      <c r="BZ372">
        <v>0</v>
      </c>
      <c r="CA372">
        <v>0</v>
      </c>
      <c r="CB372">
        <v>0</v>
      </c>
      <c r="CC372" s="3">
        <v>245930.51</v>
      </c>
      <c r="CD372" s="5">
        <v>0</v>
      </c>
      <c r="CF372" s="6">
        <v>46082</v>
      </c>
      <c r="CH372">
        <v>0</v>
      </c>
      <c r="CI372">
        <v>0</v>
      </c>
      <c r="CJ372">
        <v>0</v>
      </c>
      <c r="CK372">
        <v>0</v>
      </c>
      <c r="CL372">
        <v>0</v>
      </c>
      <c r="CM372">
        <v>0</v>
      </c>
      <c r="CN372">
        <v>0</v>
      </c>
      <c r="CO372">
        <v>0</v>
      </c>
      <c r="CP372">
        <v>0</v>
      </c>
      <c r="CQ372">
        <v>0</v>
      </c>
      <c r="CR372">
        <v>0</v>
      </c>
      <c r="CS372" t="s">
        <v>360</v>
      </c>
      <c r="CT372" t="s">
        <v>190</v>
      </c>
      <c r="CU372" t="s">
        <v>2475</v>
      </c>
      <c r="CW372">
        <v>-47.2821</v>
      </c>
      <c r="CZ372" s="1">
        <v>46080</v>
      </c>
      <c r="DA372" t="s">
        <v>172</v>
      </c>
      <c r="DB372" t="s">
        <v>172</v>
      </c>
      <c r="DC372" t="s">
        <v>172</v>
      </c>
      <c r="DD372" t="s">
        <v>172</v>
      </c>
      <c r="DG372" s="1">
        <v>46080</v>
      </c>
      <c r="DH372">
        <v>0</v>
      </c>
      <c r="DI372">
        <v>0</v>
      </c>
      <c r="DL372" t="s">
        <v>963</v>
      </c>
      <c r="DM372" t="s">
        <v>172</v>
      </c>
      <c r="DN372" t="s">
        <v>201</v>
      </c>
      <c r="DV372" s="3">
        <v>245930.51</v>
      </c>
      <c r="DW372">
        <v>0</v>
      </c>
      <c r="DX372" s="3">
        <v>245930.51</v>
      </c>
      <c r="DY372">
        <v>0</v>
      </c>
      <c r="EG372" s="1">
        <v>46090</v>
      </c>
      <c r="EN372" t="s">
        <v>156</v>
      </c>
      <c r="EP372" s="1">
        <v>46090</v>
      </c>
      <c r="ER372" s="1">
        <v>46086</v>
      </c>
      <c r="ES372" t="s">
        <v>2479</v>
      </c>
      <c r="EU372" s="1">
        <v>46087</v>
      </c>
      <c r="EW372" s="1">
        <v>46080</v>
      </c>
    </row>
    <row r="373" spans="1:153" ht="246.5" x14ac:dyDescent="0.35">
      <c r="A373" t="str">
        <f>HYPERLINK("https://7lm.cvcrm.com.br/gestor/comercial/reservas/6747/administrar","6747")</f>
        <v>6747</v>
      </c>
      <c r="B373" t="s">
        <v>156</v>
      </c>
      <c r="C373" s="1">
        <v>46079</v>
      </c>
      <c r="D373" s="2">
        <v>0.79510416666666661</v>
      </c>
      <c r="E373" t="s">
        <v>294</v>
      </c>
      <c r="F373" t="s">
        <v>202</v>
      </c>
      <c r="G373" t="s">
        <v>203</v>
      </c>
      <c r="H373" t="s">
        <v>336</v>
      </c>
      <c r="I373" t="s">
        <v>1177</v>
      </c>
      <c r="J373">
        <v>1</v>
      </c>
      <c r="L373">
        <v>20031</v>
      </c>
      <c r="M373" t="s">
        <v>2480</v>
      </c>
      <c r="N373" s="1">
        <v>46086</v>
      </c>
      <c r="O373" s="2">
        <v>0.66249999999999998</v>
      </c>
      <c r="R373" t="str">
        <f>HYPERLINK("https://7lm.cvcrm.com.br/gestor/relatorios/associado/html?q[1|r.idreserva]=6747","JOELSON AGOSTINHO GOMES DAS NEVES")</f>
        <v>JOELSON AGOSTINHO GOMES DAS NEVES</v>
      </c>
      <c r="S373">
        <v>4048096508</v>
      </c>
      <c r="T373">
        <v>5561998115109</v>
      </c>
      <c r="V373" t="s">
        <v>2481</v>
      </c>
      <c r="W373" t="s">
        <v>163</v>
      </c>
      <c r="Y373" t="s">
        <v>189</v>
      </c>
      <c r="Z373" t="s">
        <v>214</v>
      </c>
      <c r="AA373" t="s">
        <v>2482</v>
      </c>
      <c r="AB373" t="s">
        <v>2483</v>
      </c>
      <c r="AC373" t="s">
        <v>785</v>
      </c>
      <c r="AD373" t="s">
        <v>785</v>
      </c>
      <c r="AF373" t="s">
        <v>634</v>
      </c>
      <c r="AG373" t="s">
        <v>195</v>
      </c>
      <c r="AH373" s="3">
        <v>215813.85</v>
      </c>
      <c r="AI373" s="3">
        <v>215813.85</v>
      </c>
      <c r="AJ373" s="1">
        <v>46137</v>
      </c>
      <c r="AN373" t="s">
        <v>172</v>
      </c>
      <c r="AR373" s="7" t="s">
        <v>353</v>
      </c>
      <c r="AT373" t="s">
        <v>196</v>
      </c>
      <c r="AU373" t="s">
        <v>1073</v>
      </c>
      <c r="AW373">
        <v>0</v>
      </c>
      <c r="AX373" s="1">
        <v>46090</v>
      </c>
      <c r="AY373" s="2">
        <v>0.36636574074074074</v>
      </c>
      <c r="AZ373">
        <v>139364</v>
      </c>
      <c r="BA373" s="1">
        <v>45612</v>
      </c>
      <c r="BC373" t="s">
        <v>0</v>
      </c>
      <c r="BD373" s="1">
        <v>46079</v>
      </c>
      <c r="BE373" t="s">
        <v>317</v>
      </c>
      <c r="BL373" s="4">
        <v>0</v>
      </c>
      <c r="BM373" s="1">
        <v>46808</v>
      </c>
      <c r="BN373" s="1">
        <v>46090</v>
      </c>
      <c r="BO373">
        <v>0</v>
      </c>
      <c r="BP373">
        <v>28829</v>
      </c>
      <c r="BQ373" t="s">
        <v>156</v>
      </c>
      <c r="BR373" s="3">
        <v>153118.45000000001</v>
      </c>
      <c r="BS373" s="3">
        <v>6069</v>
      </c>
      <c r="BT373">
        <v>0</v>
      </c>
      <c r="BU373" s="3">
        <v>159187.45000000001</v>
      </c>
      <c r="BV373" s="3">
        <v>215813.85</v>
      </c>
      <c r="BX373">
        <v>0</v>
      </c>
      <c r="BZ373">
        <v>0</v>
      </c>
      <c r="CA373">
        <v>0</v>
      </c>
      <c r="CB373">
        <v>0</v>
      </c>
      <c r="CC373" s="3">
        <v>215813.85</v>
      </c>
      <c r="CD373" s="5">
        <v>0</v>
      </c>
      <c r="CF373" s="6">
        <v>46082</v>
      </c>
      <c r="CH373">
        <v>0</v>
      </c>
      <c r="CI373">
        <v>0</v>
      </c>
      <c r="CJ373">
        <v>0</v>
      </c>
      <c r="CK373">
        <v>0</v>
      </c>
      <c r="CL373">
        <v>0</v>
      </c>
      <c r="CM373">
        <v>0</v>
      </c>
      <c r="CN373">
        <v>0</v>
      </c>
      <c r="CO373">
        <v>0</v>
      </c>
      <c r="CP373">
        <v>0</v>
      </c>
      <c r="CQ373">
        <v>0</v>
      </c>
      <c r="CR373">
        <v>0</v>
      </c>
      <c r="CS373" t="s">
        <v>360</v>
      </c>
      <c r="CT373" t="s">
        <v>214</v>
      </c>
      <c r="CU373" t="s">
        <v>1177</v>
      </c>
      <c r="CW373">
        <v>-54.641599999999997</v>
      </c>
      <c r="CZ373" s="1">
        <v>46079</v>
      </c>
      <c r="DA373" t="s">
        <v>172</v>
      </c>
      <c r="DB373" t="s">
        <v>172</v>
      </c>
      <c r="DC373" t="s">
        <v>172</v>
      </c>
      <c r="DD373" t="s">
        <v>172</v>
      </c>
      <c r="DG373" s="1">
        <v>46079</v>
      </c>
      <c r="DH373">
        <v>0</v>
      </c>
      <c r="DI373">
        <v>0</v>
      </c>
      <c r="DL373" t="s">
        <v>215</v>
      </c>
      <c r="DM373" t="s">
        <v>172</v>
      </c>
      <c r="DN373" t="s">
        <v>225</v>
      </c>
      <c r="DV373" s="3">
        <v>215813.85</v>
      </c>
      <c r="DW373">
        <v>0</v>
      </c>
      <c r="DX373" s="3">
        <v>215813.85</v>
      </c>
      <c r="DY373">
        <v>0</v>
      </c>
      <c r="EF373" s="1">
        <v>46086</v>
      </c>
      <c r="EG373" s="1">
        <v>46086</v>
      </c>
      <c r="EK373" s="1">
        <v>46086</v>
      </c>
      <c r="EL373" s="1">
        <v>46086</v>
      </c>
      <c r="EM373" s="1">
        <v>46086</v>
      </c>
      <c r="EN373" t="s">
        <v>156</v>
      </c>
      <c r="EP373" s="1">
        <v>46085</v>
      </c>
      <c r="EU373" s="1">
        <v>46086</v>
      </c>
      <c r="EW373" s="1">
        <v>46079</v>
      </c>
    </row>
    <row r="374" spans="1:153" x14ac:dyDescent="0.35">
      <c r="A374" t="str">
        <f>HYPERLINK("https://7lm.cvcrm.com.br/gestor/comercial/reservas/6746/administrar","6746")</f>
        <v>6746</v>
      </c>
      <c r="B374" t="s">
        <v>172</v>
      </c>
      <c r="C374" s="1">
        <v>46079</v>
      </c>
      <c r="D374" s="2">
        <v>0.72040509259259256</v>
      </c>
      <c r="E374" t="s">
        <v>527</v>
      </c>
      <c r="F374" t="s">
        <v>202</v>
      </c>
      <c r="G374" t="s">
        <v>203</v>
      </c>
      <c r="H374" t="s">
        <v>319</v>
      </c>
      <c r="I374" t="s">
        <v>1351</v>
      </c>
      <c r="J374">
        <v>1</v>
      </c>
      <c r="L374">
        <v>20031</v>
      </c>
      <c r="M374" t="s">
        <v>1352</v>
      </c>
      <c r="R374" t="str">
        <f>HYPERLINK("https://7lm.cvcrm.com.br/gestor/relatorios/associado/html?q[1|r.idreserva]=6746","RENIVALDO DOS SANTOS")</f>
        <v>RENIVALDO DOS SANTOS</v>
      </c>
      <c r="S374">
        <v>37111401816</v>
      </c>
      <c r="T374">
        <v>556198897812</v>
      </c>
      <c r="V374" t="s">
        <v>2484</v>
      </c>
      <c r="W374" t="s">
        <v>163</v>
      </c>
      <c r="X374" t="s">
        <v>2485</v>
      </c>
      <c r="Y374" t="s">
        <v>189</v>
      </c>
      <c r="Z374" t="s">
        <v>214</v>
      </c>
      <c r="AA374" t="s">
        <v>2486</v>
      </c>
      <c r="AB374" t="s">
        <v>2487</v>
      </c>
      <c r="AC374" t="s">
        <v>1553</v>
      </c>
      <c r="AF374" t="s">
        <v>634</v>
      </c>
      <c r="AG374" t="s">
        <v>195</v>
      </c>
      <c r="AH374" s="3">
        <v>214999.81</v>
      </c>
      <c r="AI374" s="3">
        <v>214999.81</v>
      </c>
      <c r="AJ374" s="1">
        <v>46117</v>
      </c>
      <c r="AN374" t="s">
        <v>172</v>
      </c>
      <c r="AO374" t="s">
        <v>932</v>
      </c>
      <c r="AP374" t="s">
        <v>2488</v>
      </c>
      <c r="AR374" t="s">
        <v>2489</v>
      </c>
      <c r="AT374" t="s">
        <v>196</v>
      </c>
      <c r="AU374" t="s">
        <v>1755</v>
      </c>
      <c r="AW374">
        <v>0</v>
      </c>
      <c r="AX374" s="1">
        <v>46113</v>
      </c>
      <c r="AY374" s="2">
        <v>0.48875000000000002</v>
      </c>
      <c r="AZ374">
        <v>191676</v>
      </c>
      <c r="BA374" s="1">
        <v>46077</v>
      </c>
      <c r="BC374" t="s">
        <v>0</v>
      </c>
      <c r="BD374" s="1">
        <v>46079</v>
      </c>
      <c r="BE374" t="s">
        <v>198</v>
      </c>
      <c r="BL374" s="4">
        <v>0</v>
      </c>
      <c r="BM374" s="1">
        <v>46808</v>
      </c>
      <c r="BO374">
        <v>0</v>
      </c>
      <c r="BP374">
        <v>28933</v>
      </c>
      <c r="BQ374" t="s">
        <v>156</v>
      </c>
      <c r="BR374" s="3">
        <v>129317.41</v>
      </c>
      <c r="BS374" s="3">
        <v>30699</v>
      </c>
      <c r="BT374">
        <v>0</v>
      </c>
      <c r="BU374" s="3">
        <v>160016.41</v>
      </c>
      <c r="BV374" s="3">
        <v>214999.81</v>
      </c>
      <c r="BX374">
        <v>0</v>
      </c>
      <c r="BZ374">
        <v>0</v>
      </c>
      <c r="CA374">
        <v>0</v>
      </c>
      <c r="CB374">
        <v>0</v>
      </c>
      <c r="CC374" s="3">
        <v>214999.81</v>
      </c>
      <c r="CD374" s="5">
        <v>0</v>
      </c>
      <c r="CF374" s="6">
        <v>46113</v>
      </c>
      <c r="CH374">
        <v>0</v>
      </c>
      <c r="CI374">
        <v>0</v>
      </c>
      <c r="CJ374">
        <v>0</v>
      </c>
      <c r="CK374">
        <v>0</v>
      </c>
      <c r="CL374">
        <v>0</v>
      </c>
      <c r="CM374">
        <v>0</v>
      </c>
      <c r="CN374">
        <v>0</v>
      </c>
      <c r="CO374">
        <v>0</v>
      </c>
      <c r="CP374">
        <v>0</v>
      </c>
      <c r="CQ374">
        <v>0</v>
      </c>
      <c r="CR374">
        <v>0</v>
      </c>
      <c r="CT374" t="s">
        <v>214</v>
      </c>
      <c r="CU374" t="s">
        <v>1351</v>
      </c>
      <c r="CW374">
        <v>0</v>
      </c>
      <c r="CZ374" s="1">
        <v>46079</v>
      </c>
      <c r="DA374" t="s">
        <v>172</v>
      </c>
      <c r="DB374" t="s">
        <v>172</v>
      </c>
      <c r="DC374" t="s">
        <v>172</v>
      </c>
      <c r="DD374" t="s">
        <v>172</v>
      </c>
      <c r="DG374" s="1">
        <v>46079</v>
      </c>
      <c r="DH374">
        <v>0</v>
      </c>
      <c r="DI374">
        <v>0</v>
      </c>
      <c r="DL374" t="s">
        <v>224</v>
      </c>
      <c r="DM374" t="s">
        <v>172</v>
      </c>
      <c r="DN374" t="s">
        <v>201</v>
      </c>
      <c r="DV374" s="3">
        <v>214999.81</v>
      </c>
      <c r="DW374">
        <v>0</v>
      </c>
      <c r="DX374" s="3">
        <v>214999.81</v>
      </c>
      <c r="DY374">
        <v>0</v>
      </c>
      <c r="EN374" t="s">
        <v>537</v>
      </c>
      <c r="ET374" t="s">
        <v>2040</v>
      </c>
      <c r="EW374" s="1">
        <v>46079</v>
      </c>
    </row>
    <row r="375" spans="1:153" ht="246.5" x14ac:dyDescent="0.35">
      <c r="A375" t="str">
        <f>HYPERLINK("https://7lm.cvcrm.com.br/gestor/comercial/reservas/6745/administrar","6745")</f>
        <v>6745</v>
      </c>
      <c r="B375" t="s">
        <v>156</v>
      </c>
      <c r="C375" s="1">
        <v>46079</v>
      </c>
      <c r="D375" s="2">
        <v>0.64644675925925921</v>
      </c>
      <c r="E375" t="s">
        <v>294</v>
      </c>
      <c r="F375" t="s">
        <v>957</v>
      </c>
      <c r="G375" t="s">
        <v>159</v>
      </c>
      <c r="H375" t="s">
        <v>418</v>
      </c>
      <c r="I375" t="s">
        <v>2025</v>
      </c>
      <c r="J375">
        <v>1</v>
      </c>
      <c r="K375">
        <v>5756</v>
      </c>
      <c r="L375">
        <v>30121</v>
      </c>
      <c r="M375" t="s">
        <v>2490</v>
      </c>
      <c r="N375" s="1">
        <v>46090</v>
      </c>
      <c r="O375" s="2">
        <v>0.67461805555555554</v>
      </c>
      <c r="R375" t="str">
        <f>HYPERLINK("https://7lm.cvcrm.com.br/gestor/relatorios/associado/html?q[1|r.idreserva]=6745","GLEYDSON FRANCISCO DA SILVA")</f>
        <v>GLEYDSON FRANCISCO DA SILVA</v>
      </c>
      <c r="S375">
        <v>5831214117</v>
      </c>
      <c r="T375">
        <v>5561996665513</v>
      </c>
      <c r="V375" t="s">
        <v>2491</v>
      </c>
      <c r="W375" t="s">
        <v>163</v>
      </c>
      <c r="X375" t="s">
        <v>288</v>
      </c>
      <c r="Y375" t="s">
        <v>189</v>
      </c>
      <c r="Z375" t="s">
        <v>190</v>
      </c>
      <c r="AA375" t="s">
        <v>332</v>
      </c>
      <c r="AB375" t="s">
        <v>2492</v>
      </c>
      <c r="AC375" t="s">
        <v>988</v>
      </c>
      <c r="AF375" t="s">
        <v>250</v>
      </c>
      <c r="AG375" t="s">
        <v>251</v>
      </c>
      <c r="AH375" s="3">
        <v>245930.15</v>
      </c>
      <c r="AI375" s="3">
        <v>245930.15</v>
      </c>
      <c r="AJ375" s="1">
        <v>46107</v>
      </c>
      <c r="AN375" t="s">
        <v>172</v>
      </c>
      <c r="AR375" s="7" t="s">
        <v>353</v>
      </c>
      <c r="AT375" t="s">
        <v>261</v>
      </c>
      <c r="AU375" t="s">
        <v>175</v>
      </c>
      <c r="AW375">
        <v>0</v>
      </c>
      <c r="AX375" s="1">
        <v>46091</v>
      </c>
      <c r="AY375" s="2">
        <v>0.73092592592592598</v>
      </c>
      <c r="AZ375">
        <v>118120</v>
      </c>
      <c r="BA375" s="1">
        <v>45433</v>
      </c>
      <c r="BC375" t="s">
        <v>0</v>
      </c>
      <c r="BD375" s="1">
        <v>46079</v>
      </c>
      <c r="BE375" t="s">
        <v>176</v>
      </c>
      <c r="BL375" s="4">
        <v>0</v>
      </c>
      <c r="BM375" s="1">
        <v>47031</v>
      </c>
      <c r="BN375" s="1">
        <v>46091</v>
      </c>
      <c r="BO375">
        <v>0</v>
      </c>
      <c r="BP375">
        <v>28757</v>
      </c>
      <c r="BQ375" t="s">
        <v>156</v>
      </c>
      <c r="BR375" s="3">
        <v>143022.39999999999</v>
      </c>
      <c r="BS375" s="3">
        <v>24467</v>
      </c>
      <c r="BT375">
        <v>0</v>
      </c>
      <c r="BU375" s="3">
        <v>167489.4</v>
      </c>
      <c r="BV375" s="3">
        <v>245930.15</v>
      </c>
      <c r="BX375">
        <v>0</v>
      </c>
      <c r="BZ375">
        <v>0</v>
      </c>
      <c r="CA375">
        <v>0</v>
      </c>
      <c r="CB375">
        <v>0</v>
      </c>
      <c r="CC375" s="3">
        <v>245930.15</v>
      </c>
      <c r="CD375" s="5">
        <v>0</v>
      </c>
      <c r="CF375" s="6">
        <v>46082</v>
      </c>
      <c r="CH375">
        <v>0</v>
      </c>
      <c r="CI375">
        <v>0</v>
      </c>
      <c r="CJ375">
        <v>0</v>
      </c>
      <c r="CK375">
        <v>0</v>
      </c>
      <c r="CL375">
        <v>0</v>
      </c>
      <c r="CM375">
        <v>0</v>
      </c>
      <c r="CN375">
        <v>0</v>
      </c>
      <c r="CO375">
        <v>0</v>
      </c>
      <c r="CP375">
        <v>0</v>
      </c>
      <c r="CQ375">
        <v>0</v>
      </c>
      <c r="CR375">
        <v>0</v>
      </c>
      <c r="CS375" t="s">
        <v>360</v>
      </c>
      <c r="CT375" t="s">
        <v>190</v>
      </c>
      <c r="CU375" t="s">
        <v>2025</v>
      </c>
      <c r="CW375">
        <v>-48.661099999999998</v>
      </c>
      <c r="CZ375" s="1">
        <v>46079</v>
      </c>
      <c r="DA375" t="s">
        <v>172</v>
      </c>
      <c r="DB375" t="s">
        <v>172</v>
      </c>
      <c r="DC375" t="s">
        <v>172</v>
      </c>
      <c r="DD375" t="s">
        <v>172</v>
      </c>
      <c r="DG375" s="1">
        <v>46079</v>
      </c>
      <c r="DH375">
        <v>0</v>
      </c>
      <c r="DI375">
        <v>0</v>
      </c>
      <c r="DL375" t="s">
        <v>963</v>
      </c>
      <c r="DM375" t="s">
        <v>172</v>
      </c>
      <c r="DN375" t="s">
        <v>201</v>
      </c>
      <c r="DV375" s="3">
        <v>245930.15</v>
      </c>
      <c r="DW375">
        <v>0</v>
      </c>
      <c r="DX375" s="3">
        <v>245930.15</v>
      </c>
      <c r="DY375">
        <v>0</v>
      </c>
      <c r="EG375" s="1">
        <v>46087</v>
      </c>
      <c r="EM375" s="1">
        <v>46090</v>
      </c>
      <c r="EN375" t="s">
        <v>156</v>
      </c>
      <c r="EP375" s="1">
        <v>46087</v>
      </c>
      <c r="EU375" s="1">
        <v>46086</v>
      </c>
      <c r="EW375" s="1">
        <v>46079</v>
      </c>
    </row>
    <row r="376" spans="1:153" ht="391.5" x14ac:dyDescent="0.35">
      <c r="A376" t="str">
        <f>HYPERLINK("https://7lm.cvcrm.com.br/gestor/comercial/reservas/6744/administrar","6744")</f>
        <v>6744</v>
      </c>
      <c r="B376" t="s">
        <v>156</v>
      </c>
      <c r="C376" s="1">
        <v>46079</v>
      </c>
      <c r="D376" s="2">
        <v>0.48949074074074073</v>
      </c>
      <c r="E376" t="s">
        <v>527</v>
      </c>
      <c r="F376" t="s">
        <v>202</v>
      </c>
      <c r="G376" t="s">
        <v>203</v>
      </c>
      <c r="H376" t="s">
        <v>391</v>
      </c>
      <c r="I376" t="s">
        <v>328</v>
      </c>
      <c r="J376">
        <v>1</v>
      </c>
      <c r="L376">
        <v>20031</v>
      </c>
      <c r="M376" t="s">
        <v>998</v>
      </c>
      <c r="N376" s="1">
        <v>46079</v>
      </c>
      <c r="O376" s="2">
        <v>0.50113425925925925</v>
      </c>
      <c r="R376" t="str">
        <f>HYPERLINK("https://7lm.cvcrm.com.br/gestor/relatorios/associado/html?q[1|r.idreserva]=6744","MARIA CLARA FARIAS CARDOSO")</f>
        <v>MARIA CLARA FARIAS CARDOSO</v>
      </c>
      <c r="S376">
        <v>8130676184</v>
      </c>
      <c r="T376">
        <v>5561996813394</v>
      </c>
      <c r="V376" t="s">
        <v>2493</v>
      </c>
      <c r="W376" t="s">
        <v>187</v>
      </c>
      <c r="X376" t="s">
        <v>521</v>
      </c>
      <c r="Y376" t="s">
        <v>189</v>
      </c>
      <c r="Z376" t="s">
        <v>208</v>
      </c>
      <c r="AA376" t="s">
        <v>2494</v>
      </c>
      <c r="AB376" t="s">
        <v>2495</v>
      </c>
      <c r="AC376" t="s">
        <v>455</v>
      </c>
      <c r="AF376" t="s">
        <v>389</v>
      </c>
      <c r="AG376" t="s">
        <v>195</v>
      </c>
      <c r="AH376" s="3">
        <v>210000.7</v>
      </c>
      <c r="AI376" s="3">
        <v>210000.7</v>
      </c>
      <c r="AJ376" s="1">
        <v>46107</v>
      </c>
      <c r="AN376" t="s">
        <v>172</v>
      </c>
      <c r="AO376" t="s">
        <v>816</v>
      </c>
      <c r="AR376" s="7" t="s">
        <v>2496</v>
      </c>
      <c r="AT376" t="s">
        <v>196</v>
      </c>
      <c r="AU376" t="s">
        <v>292</v>
      </c>
      <c r="AW376">
        <v>0</v>
      </c>
      <c r="AX376" s="1">
        <v>46086</v>
      </c>
      <c r="AY376" s="2">
        <v>0.41546296296296298</v>
      </c>
      <c r="AZ376">
        <v>191128</v>
      </c>
      <c r="BA376" s="1">
        <v>46075</v>
      </c>
      <c r="BC376" t="s">
        <v>0</v>
      </c>
      <c r="BD376" s="1">
        <v>46079</v>
      </c>
      <c r="BE376" t="s">
        <v>889</v>
      </c>
      <c r="BL376" s="4">
        <v>0</v>
      </c>
      <c r="BM376" s="1">
        <v>46808</v>
      </c>
      <c r="BO376">
        <v>0</v>
      </c>
      <c r="BP376">
        <v>28840</v>
      </c>
      <c r="BQ376" t="s">
        <v>156</v>
      </c>
      <c r="BR376" s="3">
        <v>97258.78</v>
      </c>
      <c r="BS376" s="3">
        <v>55000</v>
      </c>
      <c r="BT376">
        <v>0</v>
      </c>
      <c r="BU376" s="3">
        <v>152258.78</v>
      </c>
      <c r="BV376" s="3">
        <v>210000.7</v>
      </c>
      <c r="BX376">
        <v>0</v>
      </c>
      <c r="BZ376">
        <v>0</v>
      </c>
      <c r="CA376">
        <v>0</v>
      </c>
      <c r="CB376">
        <v>0</v>
      </c>
      <c r="CC376" s="3">
        <v>210000.7</v>
      </c>
      <c r="CD376" s="5">
        <v>0</v>
      </c>
      <c r="CF376" s="6">
        <v>46082</v>
      </c>
      <c r="CH376">
        <v>0</v>
      </c>
      <c r="CI376">
        <v>0</v>
      </c>
      <c r="CJ376">
        <v>0</v>
      </c>
      <c r="CK376">
        <v>0</v>
      </c>
      <c r="CL376">
        <v>0</v>
      </c>
      <c r="CM376">
        <v>0</v>
      </c>
      <c r="CN376">
        <v>0</v>
      </c>
      <c r="CO376">
        <v>0</v>
      </c>
      <c r="CP376">
        <v>0</v>
      </c>
      <c r="CQ376">
        <v>0</v>
      </c>
      <c r="CR376">
        <v>0</v>
      </c>
      <c r="CS376" t="s">
        <v>2497</v>
      </c>
      <c r="CT376" t="s">
        <v>214</v>
      </c>
      <c r="CU376" t="s">
        <v>328</v>
      </c>
      <c r="CW376">
        <v>-55.826500000000003</v>
      </c>
      <c r="CZ376" s="1">
        <v>46079</v>
      </c>
      <c r="DA376" t="s">
        <v>172</v>
      </c>
      <c r="DB376" t="s">
        <v>172</v>
      </c>
      <c r="DC376" t="s">
        <v>172</v>
      </c>
      <c r="DD376" t="s">
        <v>172</v>
      </c>
      <c r="DG376" s="1">
        <v>46079</v>
      </c>
      <c r="DH376">
        <v>0</v>
      </c>
      <c r="DI376">
        <v>0</v>
      </c>
      <c r="DL376" t="s">
        <v>215</v>
      </c>
      <c r="DM376" t="s">
        <v>172</v>
      </c>
      <c r="DN376" t="s">
        <v>201</v>
      </c>
      <c r="DV376" s="3">
        <v>210000.7</v>
      </c>
      <c r="DW376">
        <v>0</v>
      </c>
      <c r="DX376" s="3">
        <v>210000.7</v>
      </c>
      <c r="DY376">
        <v>0</v>
      </c>
      <c r="EN376" t="s">
        <v>537</v>
      </c>
      <c r="EU376" s="1">
        <v>46086</v>
      </c>
      <c r="EW376" s="1">
        <v>46080</v>
      </c>
    </row>
    <row r="377" spans="1:153" x14ac:dyDescent="0.35">
      <c r="A377" t="str">
        <f>HYPERLINK("https://7lm.cvcrm.com.br/gestor/comercial/reservas/6743/administrar","6743")</f>
        <v>6743</v>
      </c>
      <c r="B377" t="s">
        <v>172</v>
      </c>
      <c r="C377" s="1">
        <v>46078</v>
      </c>
      <c r="D377" s="2">
        <v>0.7374074074074074</v>
      </c>
      <c r="E377" t="s">
        <v>527</v>
      </c>
      <c r="F377" t="s">
        <v>202</v>
      </c>
      <c r="G377" t="s">
        <v>203</v>
      </c>
      <c r="H377" t="s">
        <v>217</v>
      </c>
      <c r="I377" t="s">
        <v>766</v>
      </c>
      <c r="J377">
        <v>1</v>
      </c>
      <c r="L377">
        <v>20031</v>
      </c>
      <c r="M377" t="s">
        <v>767</v>
      </c>
      <c r="R377" t="str">
        <f>HYPERLINK("https://7lm.cvcrm.com.br/gestor/relatorios/associado/html?q[1|r.idreserva]=6743","YAN REILAN MENEZES LIMA")</f>
        <v>YAN REILAN MENEZES LIMA</v>
      </c>
      <c r="S377">
        <v>5316407520</v>
      </c>
      <c r="T377">
        <v>5571984184786</v>
      </c>
      <c r="V377" t="s">
        <v>2498</v>
      </c>
      <c r="W377" t="s">
        <v>163</v>
      </c>
      <c r="Y377" t="s">
        <v>189</v>
      </c>
      <c r="Z377" t="s">
        <v>214</v>
      </c>
      <c r="AA377" t="s">
        <v>471</v>
      </c>
      <c r="AB377" t="s">
        <v>2499</v>
      </c>
      <c r="AC377" t="s">
        <v>785</v>
      </c>
      <c r="AD377" t="s">
        <v>785</v>
      </c>
      <c r="AF377" t="s">
        <v>634</v>
      </c>
      <c r="AG377" t="s">
        <v>195</v>
      </c>
      <c r="AH377" s="3">
        <v>212565.16</v>
      </c>
      <c r="AI377" s="3">
        <v>212565.16</v>
      </c>
      <c r="AJ377" s="1">
        <v>47401</v>
      </c>
      <c r="AN377" t="s">
        <v>172</v>
      </c>
      <c r="AO377" t="s">
        <v>535</v>
      </c>
      <c r="AR377" t="s">
        <v>2500</v>
      </c>
      <c r="AT377" t="s">
        <v>261</v>
      </c>
      <c r="AU377" t="s">
        <v>590</v>
      </c>
      <c r="AW377">
        <v>0</v>
      </c>
      <c r="AX377" s="1">
        <v>46087</v>
      </c>
      <c r="AY377" s="2">
        <v>0.43581018518518516</v>
      </c>
      <c r="AZ377">
        <v>189230</v>
      </c>
      <c r="BA377" s="1">
        <v>46066</v>
      </c>
      <c r="BC377" t="s">
        <v>0</v>
      </c>
      <c r="BD377" s="1">
        <v>46078</v>
      </c>
      <c r="BE377" t="s">
        <v>317</v>
      </c>
      <c r="BL377" s="4">
        <v>0</v>
      </c>
      <c r="BM377" s="1">
        <v>46808</v>
      </c>
      <c r="BO377">
        <v>0</v>
      </c>
      <c r="BP377">
        <v>28612</v>
      </c>
      <c r="BQ377" t="s">
        <v>156</v>
      </c>
      <c r="BR377" s="3">
        <v>164806.16</v>
      </c>
      <c r="BS377" s="3">
        <v>6539</v>
      </c>
      <c r="BT377">
        <v>0</v>
      </c>
      <c r="BU377" s="3">
        <v>171345.16</v>
      </c>
      <c r="BV377" s="3">
        <v>212565.16</v>
      </c>
      <c r="BX377">
        <v>0</v>
      </c>
      <c r="BZ377">
        <v>0</v>
      </c>
      <c r="CA377">
        <v>0</v>
      </c>
      <c r="CB377">
        <v>0</v>
      </c>
      <c r="CC377" s="3">
        <v>212565.16</v>
      </c>
      <c r="CD377" s="5">
        <v>0</v>
      </c>
      <c r="CF377" s="6">
        <v>46082</v>
      </c>
      <c r="CH377">
        <v>0</v>
      </c>
      <c r="CI377">
        <v>0</v>
      </c>
      <c r="CJ377">
        <v>0</v>
      </c>
      <c r="CK377">
        <v>0</v>
      </c>
      <c r="CL377">
        <v>0</v>
      </c>
      <c r="CM377">
        <v>0</v>
      </c>
      <c r="CN377">
        <v>0</v>
      </c>
      <c r="CO377">
        <v>0</v>
      </c>
      <c r="CP377">
        <v>0</v>
      </c>
      <c r="CQ377">
        <v>0</v>
      </c>
      <c r="CR377">
        <v>0</v>
      </c>
      <c r="CT377" t="s">
        <v>214</v>
      </c>
      <c r="CU377" t="s">
        <v>766</v>
      </c>
      <c r="CW377">
        <v>0</v>
      </c>
      <c r="CZ377" s="1">
        <v>46078</v>
      </c>
      <c r="DA377" t="s">
        <v>172</v>
      </c>
      <c r="DB377" t="s">
        <v>172</v>
      </c>
      <c r="DC377" t="s">
        <v>172</v>
      </c>
      <c r="DD377" t="s">
        <v>172</v>
      </c>
      <c r="DG377" s="1">
        <v>46078</v>
      </c>
      <c r="DH377">
        <v>0</v>
      </c>
      <c r="DI377">
        <v>0</v>
      </c>
      <c r="DL377" t="s">
        <v>224</v>
      </c>
      <c r="DM377" t="s">
        <v>172</v>
      </c>
      <c r="DN377" t="s">
        <v>201</v>
      </c>
      <c r="DV377" s="3">
        <v>212565.16</v>
      </c>
      <c r="DW377">
        <v>0</v>
      </c>
      <c r="DX377" s="3">
        <v>212565.16</v>
      </c>
      <c r="DY377">
        <v>0</v>
      </c>
      <c r="EN377" t="s">
        <v>537</v>
      </c>
      <c r="ET377" t="s">
        <v>417</v>
      </c>
      <c r="EU377" s="1">
        <v>46087</v>
      </c>
      <c r="EW377" s="1">
        <v>46078</v>
      </c>
    </row>
    <row r="378" spans="1:153" ht="159.5" x14ac:dyDescent="0.35">
      <c r="A378" t="str">
        <f>HYPERLINK("https://7lm.cvcrm.com.br/gestor/comercial/reservas/6742/administrar","6742")</f>
        <v>6742</v>
      </c>
      <c r="B378" t="s">
        <v>172</v>
      </c>
      <c r="C378" s="1">
        <v>46078</v>
      </c>
      <c r="D378" s="2">
        <v>0.69953703703703707</v>
      </c>
      <c r="E378" t="s">
        <v>527</v>
      </c>
      <c r="F378" t="s">
        <v>216</v>
      </c>
      <c r="G378" t="s">
        <v>159</v>
      </c>
      <c r="H378" t="s">
        <v>336</v>
      </c>
      <c r="I378" t="s">
        <v>760</v>
      </c>
      <c r="J378">
        <v>1</v>
      </c>
      <c r="L378">
        <v>20061</v>
      </c>
      <c r="M378" t="s">
        <v>1778</v>
      </c>
      <c r="R378" t="str">
        <f>HYPERLINK("https://7lm.cvcrm.com.br/gestor/relatorios/associado/html?q[1|r.idreserva]=6742","EMANUELY DA SILVA FERNANDES")</f>
        <v>EMANUELY DA SILVA FERNANDES</v>
      </c>
      <c r="S378">
        <v>71228883122</v>
      </c>
      <c r="T378">
        <v>5561998442400</v>
      </c>
      <c r="V378" t="s">
        <v>2501</v>
      </c>
      <c r="W378" t="s">
        <v>187</v>
      </c>
      <c r="X378" t="s">
        <v>1048</v>
      </c>
      <c r="Y378" t="s">
        <v>189</v>
      </c>
      <c r="Z378" t="s">
        <v>214</v>
      </c>
      <c r="AA378" t="s">
        <v>2502</v>
      </c>
      <c r="AB378" t="s">
        <v>2503</v>
      </c>
      <c r="AC378" t="s">
        <v>314</v>
      </c>
      <c r="AF378" t="s">
        <v>634</v>
      </c>
      <c r="AG378" t="s">
        <v>195</v>
      </c>
      <c r="AH378" s="3">
        <v>211999.51</v>
      </c>
      <c r="AI378" s="3">
        <v>211999.51</v>
      </c>
      <c r="AJ378" s="1">
        <v>46127</v>
      </c>
      <c r="AN378" t="s">
        <v>172</v>
      </c>
      <c r="AO378" t="s">
        <v>1098</v>
      </c>
      <c r="AR378" s="7" t="s">
        <v>2504</v>
      </c>
      <c r="AT378" t="s">
        <v>261</v>
      </c>
      <c r="AU378" t="s">
        <v>590</v>
      </c>
      <c r="AW378">
        <v>0</v>
      </c>
      <c r="AX378" s="1">
        <v>46114</v>
      </c>
      <c r="AY378" s="2">
        <v>0.7245949074074074</v>
      </c>
      <c r="AZ378">
        <v>177647</v>
      </c>
      <c r="BA378" s="1">
        <v>45987</v>
      </c>
      <c r="BC378" t="s">
        <v>0</v>
      </c>
      <c r="BD378" s="1">
        <v>46078</v>
      </c>
      <c r="BE378" t="s">
        <v>276</v>
      </c>
      <c r="BL378" s="4">
        <v>0</v>
      </c>
      <c r="BM378" s="1">
        <v>46995</v>
      </c>
      <c r="BO378">
        <v>0</v>
      </c>
      <c r="BP378">
        <v>28925</v>
      </c>
      <c r="BQ378" t="s">
        <v>156</v>
      </c>
      <c r="BR378">
        <v>0</v>
      </c>
      <c r="BS378">
        <v>0</v>
      </c>
      <c r="BT378">
        <v>0</v>
      </c>
      <c r="BU378">
        <v>0</v>
      </c>
      <c r="BV378" s="3">
        <v>211999.51</v>
      </c>
      <c r="BX378">
        <v>0</v>
      </c>
      <c r="BZ378">
        <v>0</v>
      </c>
      <c r="CA378">
        <v>0</v>
      </c>
      <c r="CB378">
        <v>0</v>
      </c>
      <c r="CC378" s="3">
        <v>211999.51</v>
      </c>
      <c r="CD378" s="5">
        <v>0</v>
      </c>
      <c r="CF378" s="6">
        <v>46113</v>
      </c>
      <c r="CH378">
        <v>0</v>
      </c>
      <c r="CI378">
        <v>0</v>
      </c>
      <c r="CJ378">
        <v>0</v>
      </c>
      <c r="CK378">
        <v>0</v>
      </c>
      <c r="CL378">
        <v>0</v>
      </c>
      <c r="CM378">
        <v>0</v>
      </c>
      <c r="CN378">
        <v>0</v>
      </c>
      <c r="CO378">
        <v>0</v>
      </c>
      <c r="CP378">
        <v>0</v>
      </c>
      <c r="CQ378">
        <v>0</v>
      </c>
      <c r="CR378">
        <v>0</v>
      </c>
      <c r="CT378" t="s">
        <v>214</v>
      </c>
      <c r="CU378" t="s">
        <v>760</v>
      </c>
      <c r="CW378">
        <v>0</v>
      </c>
      <c r="CZ378" s="1">
        <v>46078</v>
      </c>
      <c r="DA378" t="s">
        <v>172</v>
      </c>
      <c r="DB378" t="s">
        <v>172</v>
      </c>
      <c r="DC378" t="s">
        <v>172</v>
      </c>
      <c r="DD378" t="s">
        <v>172</v>
      </c>
      <c r="DG378" s="1">
        <v>46078</v>
      </c>
      <c r="DH378">
        <v>0</v>
      </c>
      <c r="DI378">
        <v>0</v>
      </c>
      <c r="DK378" t="s">
        <v>179</v>
      </c>
      <c r="DL378" t="s">
        <v>224</v>
      </c>
      <c r="DM378" t="s">
        <v>172</v>
      </c>
      <c r="DN378" t="s">
        <v>201</v>
      </c>
      <c r="DV378" s="3">
        <v>211999.51</v>
      </c>
      <c r="DW378">
        <v>0</v>
      </c>
      <c r="DX378" s="3">
        <v>211999.51</v>
      </c>
      <c r="DY378">
        <v>0</v>
      </c>
      <c r="EN378" t="s">
        <v>537</v>
      </c>
      <c r="ET378" t="s">
        <v>2505</v>
      </c>
      <c r="EW378" s="1">
        <v>46078</v>
      </c>
    </row>
    <row r="379" spans="1:153" ht="246.5" x14ac:dyDescent="0.35">
      <c r="A379" t="str">
        <f>HYPERLINK("https://7lm.cvcrm.com.br/gestor/comercial/reservas/6741/administrar","6741")</f>
        <v>6741</v>
      </c>
      <c r="B379" t="s">
        <v>156</v>
      </c>
      <c r="C379" s="1">
        <v>46078</v>
      </c>
      <c r="D379" s="2">
        <v>0.6643634259259259</v>
      </c>
      <c r="E379" t="s">
        <v>294</v>
      </c>
      <c r="F379" t="s">
        <v>957</v>
      </c>
      <c r="G379" t="s">
        <v>159</v>
      </c>
      <c r="H379" t="s">
        <v>345</v>
      </c>
      <c r="I379" t="s">
        <v>1322</v>
      </c>
      <c r="J379">
        <v>1</v>
      </c>
      <c r="L379">
        <v>30121</v>
      </c>
      <c r="M379" t="s">
        <v>2506</v>
      </c>
      <c r="N379" s="1">
        <v>46126</v>
      </c>
      <c r="O379" s="2">
        <v>0.67848379629629629</v>
      </c>
      <c r="R379" t="str">
        <f>HYPERLINK("https://7lm.cvcrm.com.br/gestor/relatorios/associado/html?q[1|r.idreserva]=6741","PEDRO ABADIO SPINDOLA JUNIOR")</f>
        <v>PEDRO ABADIO SPINDOLA JUNIOR</v>
      </c>
      <c r="S379">
        <v>4227597161</v>
      </c>
      <c r="T379">
        <v>5561996644917</v>
      </c>
      <c r="V379" t="s">
        <v>2507</v>
      </c>
      <c r="W379" t="s">
        <v>163</v>
      </c>
      <c r="X379" t="s">
        <v>376</v>
      </c>
      <c r="Y379" t="s">
        <v>189</v>
      </c>
      <c r="Z379" t="s">
        <v>190</v>
      </c>
      <c r="AA379" t="s">
        <v>2508</v>
      </c>
      <c r="AB379" t="s">
        <v>2509</v>
      </c>
      <c r="AC379" t="s">
        <v>1104</v>
      </c>
      <c r="AF379" t="s">
        <v>303</v>
      </c>
      <c r="AG379" t="s">
        <v>251</v>
      </c>
      <c r="AH379" s="3">
        <v>244933.05</v>
      </c>
      <c r="AI379" s="3">
        <v>244933.05</v>
      </c>
      <c r="AJ379" s="1">
        <v>46137</v>
      </c>
      <c r="AN379" t="s">
        <v>172</v>
      </c>
      <c r="AR379" s="7" t="s">
        <v>353</v>
      </c>
      <c r="AT379" t="s">
        <v>196</v>
      </c>
      <c r="AU379" t="s">
        <v>292</v>
      </c>
      <c r="AW379">
        <v>0</v>
      </c>
      <c r="AX379" s="1">
        <v>46087</v>
      </c>
      <c r="AY379" s="2">
        <v>0.45379629629629631</v>
      </c>
      <c r="AZ379">
        <v>184301</v>
      </c>
      <c r="BA379" s="1">
        <v>46038</v>
      </c>
      <c r="BC379" t="s">
        <v>0</v>
      </c>
      <c r="BD379" s="1">
        <v>46078</v>
      </c>
      <c r="BE379" t="s">
        <v>198</v>
      </c>
      <c r="BL379" s="4">
        <v>0</v>
      </c>
      <c r="BM379" s="1">
        <v>47031</v>
      </c>
      <c r="BN379" s="1">
        <v>46087</v>
      </c>
      <c r="BO379">
        <v>0</v>
      </c>
      <c r="BP379">
        <v>28884</v>
      </c>
      <c r="BQ379" t="s">
        <v>156</v>
      </c>
      <c r="BR379" s="3">
        <v>136016.66</v>
      </c>
      <c r="BS379" s="3">
        <v>24961</v>
      </c>
      <c r="BT379">
        <v>0</v>
      </c>
      <c r="BU379" s="3">
        <v>160977.66</v>
      </c>
      <c r="BV379" s="3">
        <v>244933.05</v>
      </c>
      <c r="BX379">
        <v>0</v>
      </c>
      <c r="BZ379">
        <v>0</v>
      </c>
      <c r="CA379">
        <v>0</v>
      </c>
      <c r="CB379">
        <v>0</v>
      </c>
      <c r="CC379" s="3">
        <v>244933.05</v>
      </c>
      <c r="CD379" s="5">
        <v>0</v>
      </c>
      <c r="CF379" s="6">
        <v>46082</v>
      </c>
      <c r="CH379">
        <v>0</v>
      </c>
      <c r="CI379">
        <v>0</v>
      </c>
      <c r="CJ379">
        <v>0</v>
      </c>
      <c r="CK379">
        <v>0</v>
      </c>
      <c r="CL379">
        <v>0</v>
      </c>
      <c r="CM379">
        <v>0</v>
      </c>
      <c r="CN379">
        <v>0</v>
      </c>
      <c r="CO379">
        <v>0</v>
      </c>
      <c r="CP379">
        <v>0</v>
      </c>
      <c r="CQ379">
        <v>0</v>
      </c>
      <c r="CR379">
        <v>0</v>
      </c>
      <c r="CS379" t="s">
        <v>649</v>
      </c>
      <c r="CT379" t="s">
        <v>190</v>
      </c>
      <c r="CU379" t="s">
        <v>1322</v>
      </c>
      <c r="CW379">
        <v>-47.322800000000001</v>
      </c>
      <c r="CZ379" s="1">
        <v>46078</v>
      </c>
      <c r="DA379" t="s">
        <v>172</v>
      </c>
      <c r="DB379" t="s">
        <v>172</v>
      </c>
      <c r="DC379" t="s">
        <v>172</v>
      </c>
      <c r="DD379" t="s">
        <v>172</v>
      </c>
      <c r="DG379" s="1">
        <v>46078</v>
      </c>
      <c r="DH379">
        <v>0</v>
      </c>
      <c r="DI379">
        <v>0</v>
      </c>
      <c r="DL379" t="s">
        <v>963</v>
      </c>
      <c r="DM379" t="s">
        <v>172</v>
      </c>
      <c r="DN379" t="s">
        <v>201</v>
      </c>
      <c r="DP379" s="8">
        <v>0.01</v>
      </c>
      <c r="DV379" s="3">
        <v>244933.05</v>
      </c>
      <c r="DW379">
        <v>0</v>
      </c>
      <c r="DX379" s="3">
        <v>244933.05</v>
      </c>
      <c r="DY379">
        <v>0</v>
      </c>
      <c r="EF379" s="1">
        <v>46085</v>
      </c>
      <c r="EG379" s="1">
        <v>46084</v>
      </c>
      <c r="EK379" s="1">
        <v>46085</v>
      </c>
      <c r="EL379" s="1">
        <v>46085</v>
      </c>
      <c r="EM379" s="1">
        <v>46085</v>
      </c>
      <c r="EN379" t="s">
        <v>156</v>
      </c>
      <c r="EP379" s="1">
        <v>46085</v>
      </c>
      <c r="ER379" s="1">
        <v>46084</v>
      </c>
      <c r="ES379" t="s">
        <v>2510</v>
      </c>
      <c r="EW379" s="1">
        <v>46078</v>
      </c>
    </row>
    <row r="380" spans="1:153" x14ac:dyDescent="0.35">
      <c r="A380" t="str">
        <f>HYPERLINK("https://7lm.cvcrm.com.br/gestor/comercial/reservas/6740/administrar","6740")</f>
        <v>6740</v>
      </c>
      <c r="B380" t="s">
        <v>156</v>
      </c>
      <c r="C380" s="1">
        <v>46078</v>
      </c>
      <c r="D380" s="2">
        <v>0.60719907407407403</v>
      </c>
      <c r="E380" t="s">
        <v>527</v>
      </c>
      <c r="F380" t="s">
        <v>957</v>
      </c>
      <c r="G380" t="s">
        <v>159</v>
      </c>
      <c r="H380" t="s">
        <v>538</v>
      </c>
      <c r="I380" t="s">
        <v>1448</v>
      </c>
      <c r="J380">
        <v>1</v>
      </c>
      <c r="K380">
        <v>8182</v>
      </c>
      <c r="L380">
        <v>30121</v>
      </c>
      <c r="M380" t="s">
        <v>1646</v>
      </c>
      <c r="N380" s="1">
        <v>46078</v>
      </c>
      <c r="O380" s="2">
        <v>0.62369212962962961</v>
      </c>
      <c r="R380" t="str">
        <f>HYPERLINK("https://7lm.cvcrm.com.br/gestor/relatorios/associado/html?q[1|r.idreserva]=6740","JORDAN RIBEIRO VASCONCELOS - LEAD TESTE")</f>
        <v>JORDAN RIBEIRO VASCONCELOS - LEAD TESTE</v>
      </c>
      <c r="S380">
        <v>4484982196</v>
      </c>
      <c r="T380">
        <v>5561998319769</v>
      </c>
      <c r="V380" t="s">
        <v>1013</v>
      </c>
      <c r="W380" t="s">
        <v>163</v>
      </c>
      <c r="X380" t="s">
        <v>521</v>
      </c>
      <c r="Y380" t="s">
        <v>189</v>
      </c>
      <c r="Z380" t="s">
        <v>190</v>
      </c>
      <c r="AA380" t="s">
        <v>377</v>
      </c>
      <c r="AB380" t="s">
        <v>1014</v>
      </c>
      <c r="AC380" t="s">
        <v>917</v>
      </c>
      <c r="AF380" t="s">
        <v>194</v>
      </c>
      <c r="AG380" t="s">
        <v>284</v>
      </c>
      <c r="AH380" s="3">
        <v>245000</v>
      </c>
      <c r="AI380" s="3">
        <v>245000</v>
      </c>
      <c r="AJ380" s="1">
        <v>46091</v>
      </c>
      <c r="AN380" t="s">
        <v>172</v>
      </c>
      <c r="AO380" t="s">
        <v>1017</v>
      </c>
      <c r="AP380" t="s">
        <v>1017</v>
      </c>
      <c r="AR380" t="s">
        <v>2511</v>
      </c>
      <c r="AT380" t="s">
        <v>196</v>
      </c>
      <c r="AU380" t="s">
        <v>292</v>
      </c>
      <c r="AW380">
        <v>0</v>
      </c>
      <c r="AX380" s="1">
        <v>46079</v>
      </c>
      <c r="AY380" s="2">
        <v>0.52344907407407404</v>
      </c>
      <c r="BL380" s="4">
        <v>0</v>
      </c>
      <c r="BM380" s="1">
        <v>47031</v>
      </c>
      <c r="BO380">
        <v>0</v>
      </c>
      <c r="BP380">
        <v>22431</v>
      </c>
      <c r="BQ380" t="s">
        <v>156</v>
      </c>
      <c r="BR380" s="3">
        <v>150000</v>
      </c>
      <c r="BS380" s="3">
        <v>10000</v>
      </c>
      <c r="BT380">
        <v>0</v>
      </c>
      <c r="BU380" s="3">
        <v>160000</v>
      </c>
      <c r="BV380" s="3">
        <v>245000</v>
      </c>
      <c r="BX380">
        <v>0</v>
      </c>
      <c r="BZ380">
        <v>0</v>
      </c>
      <c r="CA380">
        <v>0</v>
      </c>
      <c r="CB380">
        <v>0</v>
      </c>
      <c r="CC380" s="3">
        <v>245000</v>
      </c>
      <c r="CD380" s="5">
        <v>0</v>
      </c>
      <c r="CF380" s="6">
        <v>46054</v>
      </c>
      <c r="CH380">
        <v>0</v>
      </c>
      <c r="CI380">
        <v>0</v>
      </c>
      <c r="CJ380">
        <v>0</v>
      </c>
      <c r="CK380">
        <v>0</v>
      </c>
      <c r="CL380">
        <v>0</v>
      </c>
      <c r="CM380">
        <v>0</v>
      </c>
      <c r="CN380">
        <v>0</v>
      </c>
      <c r="CO380">
        <v>0</v>
      </c>
      <c r="CP380">
        <v>0</v>
      </c>
      <c r="CQ380">
        <v>0</v>
      </c>
      <c r="CR380">
        <v>0</v>
      </c>
      <c r="CS380" t="s">
        <v>2497</v>
      </c>
      <c r="CT380" t="s">
        <v>190</v>
      </c>
      <c r="CU380" t="s">
        <v>1448</v>
      </c>
      <c r="CW380">
        <v>-51.714599999999997</v>
      </c>
      <c r="CZ380" s="1">
        <v>46078</v>
      </c>
      <c r="DA380" t="s">
        <v>172</v>
      </c>
      <c r="DB380" t="s">
        <v>172</v>
      </c>
      <c r="DC380" t="s">
        <v>172</v>
      </c>
      <c r="DD380" t="s">
        <v>172</v>
      </c>
      <c r="DG380" s="1">
        <v>46078</v>
      </c>
      <c r="DH380">
        <v>0</v>
      </c>
      <c r="DI380">
        <v>0</v>
      </c>
      <c r="DL380" t="s">
        <v>963</v>
      </c>
      <c r="DM380" t="s">
        <v>172</v>
      </c>
      <c r="DN380" t="s">
        <v>201</v>
      </c>
      <c r="DV380" s="3">
        <v>245000</v>
      </c>
      <c r="DW380">
        <v>0</v>
      </c>
      <c r="DX380" s="3">
        <v>245000</v>
      </c>
      <c r="DY380">
        <v>0</v>
      </c>
    </row>
    <row r="381" spans="1:153" x14ac:dyDescent="0.35">
      <c r="A381" t="str">
        <f>HYPERLINK("https://7lm.cvcrm.com.br/gestor/comercial/reservas/6739/administrar","6739")</f>
        <v>6739</v>
      </c>
      <c r="B381" t="s">
        <v>172</v>
      </c>
      <c r="C381" s="1">
        <v>46078</v>
      </c>
      <c r="D381" s="2">
        <v>0.58646990740740745</v>
      </c>
      <c r="E381" t="s">
        <v>527</v>
      </c>
      <c r="F381" t="s">
        <v>2451</v>
      </c>
      <c r="G381" t="s">
        <v>203</v>
      </c>
      <c r="H381" t="s">
        <v>277</v>
      </c>
      <c r="I381" t="s">
        <v>934</v>
      </c>
      <c r="J381">
        <v>1</v>
      </c>
      <c r="L381">
        <v>30061</v>
      </c>
      <c r="M381" t="s">
        <v>2512</v>
      </c>
      <c r="R381" t="str">
        <f>HYPERLINK("https://7lm.cvcrm.com.br/gestor/relatorios/associado/html?q[1|r.idreserva]=6739","EDUARDO CRUZ DE SOUSA")</f>
        <v>EDUARDO CRUZ DE SOUSA</v>
      </c>
      <c r="S381">
        <v>8572651136</v>
      </c>
      <c r="T381">
        <v>556199826665</v>
      </c>
      <c r="V381" t="s">
        <v>2513</v>
      </c>
      <c r="W381" t="s">
        <v>163</v>
      </c>
      <c r="X381" t="s">
        <v>288</v>
      </c>
      <c r="Y381" t="s">
        <v>189</v>
      </c>
      <c r="Z381" t="s">
        <v>190</v>
      </c>
      <c r="AA381" t="s">
        <v>480</v>
      </c>
      <c r="AB381" t="s">
        <v>2514</v>
      </c>
      <c r="AC381" t="s">
        <v>896</v>
      </c>
      <c r="AF381" t="s">
        <v>194</v>
      </c>
      <c r="AG381" t="s">
        <v>251</v>
      </c>
      <c r="AH381" s="3">
        <v>246000.21</v>
      </c>
      <c r="AI381" s="3">
        <v>246000.21</v>
      </c>
      <c r="AJ381" s="1">
        <v>46078</v>
      </c>
      <c r="AN381" t="s">
        <v>172</v>
      </c>
      <c r="AO381" t="s">
        <v>816</v>
      </c>
      <c r="AR381" t="s">
        <v>2515</v>
      </c>
      <c r="AT381" t="s">
        <v>261</v>
      </c>
      <c r="AU381" t="s">
        <v>401</v>
      </c>
      <c r="AW381">
        <v>0</v>
      </c>
      <c r="AX381" s="1">
        <v>46085</v>
      </c>
      <c r="AY381" s="2">
        <v>0.48445601851851849</v>
      </c>
      <c r="AZ381">
        <v>190222</v>
      </c>
      <c r="BA381" s="1">
        <v>46071</v>
      </c>
      <c r="BC381" t="s">
        <v>0</v>
      </c>
      <c r="BD381" s="1">
        <v>46078</v>
      </c>
      <c r="BE381" t="s">
        <v>401</v>
      </c>
      <c r="BL381" s="4">
        <v>0</v>
      </c>
      <c r="BM381" s="1">
        <v>46788</v>
      </c>
      <c r="BO381">
        <v>0</v>
      </c>
      <c r="BP381">
        <v>28667</v>
      </c>
      <c r="BQ381" t="s">
        <v>156</v>
      </c>
      <c r="BR381" s="3">
        <v>131941.31</v>
      </c>
      <c r="BS381" s="3">
        <v>24956</v>
      </c>
      <c r="BT381">
        <v>0</v>
      </c>
      <c r="BU381" s="3">
        <v>156897.31</v>
      </c>
      <c r="BV381" s="3">
        <v>246000.21</v>
      </c>
      <c r="BX381">
        <v>0</v>
      </c>
      <c r="BZ381">
        <v>0</v>
      </c>
      <c r="CA381">
        <v>0</v>
      </c>
      <c r="CB381">
        <v>0</v>
      </c>
      <c r="CC381" s="3">
        <v>246000.21</v>
      </c>
      <c r="CD381" s="5">
        <v>0</v>
      </c>
      <c r="CF381" s="6">
        <v>46082</v>
      </c>
      <c r="CH381">
        <v>0</v>
      </c>
      <c r="CI381">
        <v>0</v>
      </c>
      <c r="CJ381">
        <v>0</v>
      </c>
      <c r="CK381">
        <v>0</v>
      </c>
      <c r="CL381">
        <v>0</v>
      </c>
      <c r="CM381">
        <v>0</v>
      </c>
      <c r="CN381">
        <v>0</v>
      </c>
      <c r="CO381">
        <v>0</v>
      </c>
      <c r="CP381">
        <v>0</v>
      </c>
      <c r="CQ381">
        <v>0</v>
      </c>
      <c r="CR381">
        <v>0</v>
      </c>
      <c r="CT381" t="s">
        <v>190</v>
      </c>
      <c r="CU381" t="s">
        <v>934</v>
      </c>
      <c r="CW381">
        <v>0</v>
      </c>
      <c r="CZ381" s="1">
        <v>46078</v>
      </c>
      <c r="DA381" t="s">
        <v>172</v>
      </c>
      <c r="DB381" t="s">
        <v>172</v>
      </c>
      <c r="DC381" t="s">
        <v>172</v>
      </c>
      <c r="DD381" t="s">
        <v>172</v>
      </c>
      <c r="DG381" s="1">
        <v>46078</v>
      </c>
      <c r="DH381">
        <v>0</v>
      </c>
      <c r="DI381">
        <v>0</v>
      </c>
      <c r="DL381" t="s">
        <v>2473</v>
      </c>
      <c r="DM381" t="s">
        <v>172</v>
      </c>
      <c r="DN381" t="s">
        <v>225</v>
      </c>
      <c r="DV381" s="3">
        <v>246000.21</v>
      </c>
      <c r="DW381">
        <v>0</v>
      </c>
      <c r="DX381" s="3">
        <v>246000.21</v>
      </c>
      <c r="DY381">
        <v>0</v>
      </c>
      <c r="EN381" t="s">
        <v>537</v>
      </c>
      <c r="ET381" t="s">
        <v>1930</v>
      </c>
      <c r="EU381" s="1">
        <v>46087</v>
      </c>
      <c r="EW381" s="1">
        <v>46079</v>
      </c>
    </row>
    <row r="382" spans="1:153" ht="246.5" x14ac:dyDescent="0.35">
      <c r="A382" t="str">
        <f>HYPERLINK("https://7lm.cvcrm.com.br/gestor/comercial/reservas/6738/administrar","6738")</f>
        <v>6738</v>
      </c>
      <c r="B382" t="s">
        <v>156</v>
      </c>
      <c r="C382" s="1">
        <v>46078</v>
      </c>
      <c r="D382" s="2">
        <v>0.58185185185185184</v>
      </c>
      <c r="E382" t="s">
        <v>294</v>
      </c>
      <c r="F382" t="s">
        <v>2451</v>
      </c>
      <c r="G382" t="s">
        <v>203</v>
      </c>
      <c r="H382" t="s">
        <v>528</v>
      </c>
      <c r="I382" t="s">
        <v>1404</v>
      </c>
      <c r="J382">
        <v>1</v>
      </c>
      <c r="L382">
        <v>30061</v>
      </c>
      <c r="M382" t="s">
        <v>2516</v>
      </c>
      <c r="N382" s="1">
        <v>46126</v>
      </c>
      <c r="O382" s="2">
        <v>0.67663194444444441</v>
      </c>
      <c r="R382" t="str">
        <f>HYPERLINK("https://7lm.cvcrm.com.br/gestor/relatorios/associado/html?q[1|r.idreserva]=6738","TATIANA KELLY DE OLIVEIRA PINHEIRO")</f>
        <v>TATIANA KELLY DE OLIVEIRA PINHEIRO</v>
      </c>
      <c r="S382">
        <v>352954140</v>
      </c>
      <c r="T382">
        <v>5561998311654</v>
      </c>
      <c r="V382" t="s">
        <v>2517</v>
      </c>
      <c r="W382" t="s">
        <v>187</v>
      </c>
      <c r="X382" t="s">
        <v>2518</v>
      </c>
      <c r="Y382" t="s">
        <v>189</v>
      </c>
      <c r="Z382" t="s">
        <v>190</v>
      </c>
      <c r="AA382" t="s">
        <v>480</v>
      </c>
      <c r="AB382" t="s">
        <v>2519</v>
      </c>
      <c r="AC382" t="s">
        <v>302</v>
      </c>
      <c r="AD382" t="s">
        <v>302</v>
      </c>
      <c r="AF382" t="s">
        <v>303</v>
      </c>
      <c r="AG382" t="s">
        <v>251</v>
      </c>
      <c r="AH382" s="3">
        <v>245000.74</v>
      </c>
      <c r="AI382" s="3">
        <v>245000.74</v>
      </c>
      <c r="AJ382" s="1">
        <v>46137</v>
      </c>
      <c r="AN382" t="s">
        <v>172</v>
      </c>
      <c r="AR382" s="7" t="s">
        <v>353</v>
      </c>
      <c r="AT382" t="s">
        <v>196</v>
      </c>
      <c r="AU382" t="s">
        <v>292</v>
      </c>
      <c r="AW382">
        <v>0</v>
      </c>
      <c r="AX382" s="1">
        <v>46087</v>
      </c>
      <c r="AY382" s="2">
        <v>0.44905092592592594</v>
      </c>
      <c r="AZ382">
        <v>72609</v>
      </c>
      <c r="BA382" s="1">
        <v>44654</v>
      </c>
      <c r="BB382" s="1">
        <v>45748</v>
      </c>
      <c r="BC382" t="s">
        <v>0</v>
      </c>
      <c r="BD382" s="1">
        <v>46078</v>
      </c>
      <c r="BE382" t="s">
        <v>317</v>
      </c>
      <c r="BL382" s="4">
        <v>0</v>
      </c>
      <c r="BM382" s="1">
        <v>46788</v>
      </c>
      <c r="BN382" s="1">
        <v>46087</v>
      </c>
      <c r="BO382">
        <v>0</v>
      </c>
      <c r="BP382">
        <v>28385</v>
      </c>
      <c r="BQ382" t="s">
        <v>156</v>
      </c>
      <c r="BR382" s="3">
        <v>135438.74</v>
      </c>
      <c r="BS382" s="3">
        <v>27578</v>
      </c>
      <c r="BT382">
        <v>0</v>
      </c>
      <c r="BU382" s="3">
        <v>163016.74</v>
      </c>
      <c r="BV382" s="3">
        <v>245000.74</v>
      </c>
      <c r="BX382">
        <v>0</v>
      </c>
      <c r="BZ382">
        <v>0</v>
      </c>
      <c r="CA382">
        <v>0</v>
      </c>
      <c r="CB382">
        <v>0</v>
      </c>
      <c r="CC382" s="3">
        <v>245000.74</v>
      </c>
      <c r="CD382" s="5">
        <v>0</v>
      </c>
      <c r="CF382" s="6">
        <v>46082</v>
      </c>
      <c r="CH382">
        <v>0</v>
      </c>
      <c r="CI382">
        <v>0</v>
      </c>
      <c r="CJ382">
        <v>0</v>
      </c>
      <c r="CK382">
        <v>0</v>
      </c>
      <c r="CL382">
        <v>0</v>
      </c>
      <c r="CM382">
        <v>0</v>
      </c>
      <c r="CN382">
        <v>0</v>
      </c>
      <c r="CO382">
        <v>0</v>
      </c>
      <c r="CP382">
        <v>0</v>
      </c>
      <c r="CQ382">
        <v>0</v>
      </c>
      <c r="CR382">
        <v>0</v>
      </c>
      <c r="CS382" t="s">
        <v>649</v>
      </c>
      <c r="CT382" t="s">
        <v>190</v>
      </c>
      <c r="CU382" t="s">
        <v>1404</v>
      </c>
      <c r="CW382">
        <v>-49.335599999999999</v>
      </c>
      <c r="CZ382" s="1">
        <v>46078</v>
      </c>
      <c r="DA382" t="s">
        <v>172</v>
      </c>
      <c r="DB382" t="s">
        <v>172</v>
      </c>
      <c r="DC382" t="s">
        <v>172</v>
      </c>
      <c r="DD382" t="s">
        <v>172</v>
      </c>
      <c r="DG382" s="1">
        <v>46078</v>
      </c>
      <c r="DH382">
        <v>0</v>
      </c>
      <c r="DI382">
        <v>0</v>
      </c>
      <c r="DL382" t="s">
        <v>200</v>
      </c>
      <c r="DM382" t="s">
        <v>172</v>
      </c>
      <c r="DN382" t="s">
        <v>225</v>
      </c>
      <c r="DU382" t="s">
        <v>2520</v>
      </c>
      <c r="DV382" s="3">
        <v>270799.26</v>
      </c>
      <c r="DW382">
        <v>-52.5</v>
      </c>
      <c r="DX382" s="3">
        <v>270799.26</v>
      </c>
      <c r="DY382">
        <v>-52.5</v>
      </c>
      <c r="EF382" s="1">
        <v>46085</v>
      </c>
      <c r="EG382" s="1">
        <v>46084</v>
      </c>
      <c r="EK382" s="1">
        <v>46085</v>
      </c>
      <c r="EL382" s="1">
        <v>46085</v>
      </c>
      <c r="EM382" s="1">
        <v>46080</v>
      </c>
      <c r="EN382" t="s">
        <v>156</v>
      </c>
      <c r="EP382" s="1">
        <v>46079</v>
      </c>
      <c r="ER382" s="1">
        <v>46078</v>
      </c>
      <c r="ES382" t="s">
        <v>2521</v>
      </c>
      <c r="ET382" t="s">
        <v>802</v>
      </c>
      <c r="EW382" s="1">
        <v>46078</v>
      </c>
    </row>
    <row r="383" spans="1:153" ht="246.5" x14ac:dyDescent="0.35">
      <c r="A383" t="str">
        <f>HYPERLINK("https://7lm.cvcrm.com.br/gestor/comercial/reservas/6737/administrar","6737")</f>
        <v>6737</v>
      </c>
      <c r="B383" t="s">
        <v>156</v>
      </c>
      <c r="C383" s="1">
        <v>46078</v>
      </c>
      <c r="D383" s="2">
        <v>0.50376157407407407</v>
      </c>
      <c r="E383" t="s">
        <v>294</v>
      </c>
      <c r="F383" t="s">
        <v>957</v>
      </c>
      <c r="G383" t="s">
        <v>159</v>
      </c>
      <c r="H383" t="s">
        <v>958</v>
      </c>
      <c r="I383" t="s">
        <v>2522</v>
      </c>
      <c r="J383">
        <v>1</v>
      </c>
      <c r="L383">
        <v>30121</v>
      </c>
      <c r="M383" t="s">
        <v>2523</v>
      </c>
      <c r="N383" s="1">
        <v>46091</v>
      </c>
      <c r="O383" s="2">
        <v>0.61763888888888885</v>
      </c>
      <c r="R383" t="str">
        <f>HYPERLINK("https://7lm.cvcrm.com.br/gestor/relatorios/associado/html?q[1|r.idreserva]=6737","EDIVANIA ALENCAR DE NEGREIRO")</f>
        <v>EDIVANIA ALENCAR DE NEGREIRO</v>
      </c>
      <c r="S383">
        <v>8076597110</v>
      </c>
      <c r="T383">
        <v>5561998591564</v>
      </c>
      <c r="V383" t="s">
        <v>2524</v>
      </c>
      <c r="W383" t="s">
        <v>187</v>
      </c>
      <c r="X383" t="s">
        <v>2525</v>
      </c>
      <c r="Y383" t="s">
        <v>189</v>
      </c>
      <c r="Z383" t="s">
        <v>190</v>
      </c>
      <c r="AA383" t="s">
        <v>707</v>
      </c>
      <c r="AB383" t="s">
        <v>2526</v>
      </c>
      <c r="AC383" t="s">
        <v>1493</v>
      </c>
      <c r="AD383" t="s">
        <v>1493</v>
      </c>
      <c r="AF383" t="s">
        <v>250</v>
      </c>
      <c r="AG383" t="s">
        <v>251</v>
      </c>
      <c r="AH383" s="3">
        <v>245925.27</v>
      </c>
      <c r="AI383" s="3">
        <v>245925.27</v>
      </c>
      <c r="AJ383" s="1">
        <v>46106</v>
      </c>
      <c r="AN383" t="s">
        <v>172</v>
      </c>
      <c r="AR383" s="7" t="s">
        <v>353</v>
      </c>
      <c r="AT383" t="s">
        <v>261</v>
      </c>
      <c r="AU383" t="s">
        <v>175</v>
      </c>
      <c r="AW383">
        <v>0</v>
      </c>
      <c r="AX383" s="1">
        <v>46097</v>
      </c>
      <c r="AY383" s="2">
        <v>0.71877314814814819</v>
      </c>
      <c r="AZ383">
        <v>191891</v>
      </c>
      <c r="BA383" s="1">
        <v>46078</v>
      </c>
      <c r="BC383" t="s">
        <v>0</v>
      </c>
      <c r="BD383" s="1">
        <v>46078</v>
      </c>
      <c r="BE383" t="s">
        <v>175</v>
      </c>
      <c r="BL383" s="4">
        <v>0</v>
      </c>
      <c r="BM383" s="1">
        <v>47031</v>
      </c>
      <c r="BN383" s="1">
        <v>46097</v>
      </c>
      <c r="BO383">
        <v>0</v>
      </c>
      <c r="BP383">
        <v>28923</v>
      </c>
      <c r="BQ383" t="s">
        <v>156</v>
      </c>
      <c r="BR383">
        <v>0</v>
      </c>
      <c r="BS383">
        <v>0</v>
      </c>
      <c r="BT383">
        <v>0</v>
      </c>
      <c r="BU383">
        <v>0</v>
      </c>
      <c r="BV383" s="3">
        <v>245925.27</v>
      </c>
      <c r="BX383">
        <v>0</v>
      </c>
      <c r="BZ383">
        <v>0</v>
      </c>
      <c r="CA383">
        <v>0</v>
      </c>
      <c r="CB383">
        <v>0</v>
      </c>
      <c r="CC383" s="3">
        <v>245925.27</v>
      </c>
      <c r="CD383" s="5">
        <v>0</v>
      </c>
      <c r="CF383" s="6">
        <v>46082</v>
      </c>
      <c r="CH383">
        <v>0</v>
      </c>
      <c r="CI383">
        <v>0</v>
      </c>
      <c r="CJ383">
        <v>0</v>
      </c>
      <c r="CK383">
        <v>0</v>
      </c>
      <c r="CL383">
        <v>0</v>
      </c>
      <c r="CM383">
        <v>0</v>
      </c>
      <c r="CN383">
        <v>0</v>
      </c>
      <c r="CO383">
        <v>0</v>
      </c>
      <c r="CP383">
        <v>0</v>
      </c>
      <c r="CQ383">
        <v>0</v>
      </c>
      <c r="CR383">
        <v>0</v>
      </c>
      <c r="CS383" t="s">
        <v>360</v>
      </c>
      <c r="CT383" t="s">
        <v>190</v>
      </c>
      <c r="CU383" t="s">
        <v>2522</v>
      </c>
      <c r="CW383">
        <v>-48.332599999999999</v>
      </c>
      <c r="CZ383" s="1">
        <v>46078</v>
      </c>
      <c r="DA383" t="s">
        <v>172</v>
      </c>
      <c r="DB383" t="s">
        <v>172</v>
      </c>
      <c r="DC383" t="s">
        <v>172</v>
      </c>
      <c r="DD383" t="s">
        <v>172</v>
      </c>
      <c r="DG383" s="1">
        <v>46078</v>
      </c>
      <c r="DH383">
        <v>0</v>
      </c>
      <c r="DI383">
        <v>0</v>
      </c>
      <c r="DL383" t="s">
        <v>963</v>
      </c>
      <c r="DM383" t="s">
        <v>172</v>
      </c>
      <c r="DN383" t="s">
        <v>201</v>
      </c>
      <c r="DV383" s="3">
        <v>245925.27</v>
      </c>
      <c r="DW383">
        <v>0</v>
      </c>
      <c r="DX383" s="3">
        <v>245925.27</v>
      </c>
      <c r="DY383">
        <v>0</v>
      </c>
      <c r="EG383" s="1">
        <v>46090</v>
      </c>
      <c r="EN383" t="s">
        <v>156</v>
      </c>
      <c r="EP383" s="1">
        <v>46090</v>
      </c>
      <c r="ER383" s="1">
        <v>46084</v>
      </c>
      <c r="ES383" t="s">
        <v>2527</v>
      </c>
      <c r="ET383" t="s">
        <v>2528</v>
      </c>
      <c r="EU383" s="1">
        <v>38785</v>
      </c>
      <c r="EW383" s="1">
        <v>46078</v>
      </c>
    </row>
    <row r="384" spans="1:153" ht="246.5" x14ac:dyDescent="0.35">
      <c r="A384" t="str">
        <f>HYPERLINK("https://7lm.cvcrm.com.br/gestor/comercial/reservas/6736/administrar","6736")</f>
        <v>6736</v>
      </c>
      <c r="B384" t="s">
        <v>156</v>
      </c>
      <c r="C384" s="1">
        <v>46078</v>
      </c>
      <c r="D384" s="2">
        <v>0.45490740740740743</v>
      </c>
      <c r="E384" t="s">
        <v>294</v>
      </c>
      <c r="F384" t="s">
        <v>1164</v>
      </c>
      <c r="G384" t="s">
        <v>203</v>
      </c>
      <c r="H384" t="s">
        <v>319</v>
      </c>
      <c r="I384" t="s">
        <v>1188</v>
      </c>
      <c r="J384">
        <v>1</v>
      </c>
      <c r="L384">
        <v>30001</v>
      </c>
      <c r="M384" t="s">
        <v>2529</v>
      </c>
      <c r="N384" s="1">
        <v>46092</v>
      </c>
      <c r="O384" s="2">
        <v>0.61601851851851852</v>
      </c>
      <c r="R384" t="str">
        <f>HYPERLINK("https://7lm.cvcrm.com.br/gestor/relatorios/associado/html?q[1|r.idreserva]=6736","MAYSA VIEIRA BRANDAO")</f>
        <v>MAYSA VIEIRA BRANDAO</v>
      </c>
      <c r="S384">
        <v>70820423106</v>
      </c>
      <c r="T384">
        <v>5561998125128</v>
      </c>
      <c r="V384" t="s">
        <v>2530</v>
      </c>
      <c r="W384" t="s">
        <v>187</v>
      </c>
      <c r="X384" t="s">
        <v>366</v>
      </c>
      <c r="AA384" t="s">
        <v>480</v>
      </c>
      <c r="AB384" t="s">
        <v>2531</v>
      </c>
      <c r="AC384" t="s">
        <v>665</v>
      </c>
      <c r="AD384" t="s">
        <v>665</v>
      </c>
      <c r="AF384" t="s">
        <v>250</v>
      </c>
      <c r="AG384" t="s">
        <v>251</v>
      </c>
      <c r="AH384" s="3">
        <v>256000.21</v>
      </c>
      <c r="AI384" s="3">
        <v>256000.21</v>
      </c>
      <c r="AJ384" s="1">
        <v>46106</v>
      </c>
      <c r="AN384" t="s">
        <v>172</v>
      </c>
      <c r="AR384" s="7" t="s">
        <v>353</v>
      </c>
      <c r="AU384" t="s">
        <v>175</v>
      </c>
      <c r="AW384">
        <v>0</v>
      </c>
      <c r="AX384" s="1">
        <v>46093</v>
      </c>
      <c r="AY384" s="2">
        <v>0.73207175925925927</v>
      </c>
      <c r="AZ384">
        <v>191780</v>
      </c>
      <c r="BA384" s="1">
        <v>46077</v>
      </c>
      <c r="BC384" t="s">
        <v>0</v>
      </c>
      <c r="BD384" s="1">
        <v>46078</v>
      </c>
      <c r="BE384" t="s">
        <v>176</v>
      </c>
      <c r="BL384" s="4">
        <v>0</v>
      </c>
      <c r="BM384" s="1">
        <v>46416</v>
      </c>
      <c r="BN384" s="1">
        <v>46093</v>
      </c>
      <c r="BO384">
        <v>0</v>
      </c>
      <c r="BP384">
        <v>28906</v>
      </c>
      <c r="BQ384" t="s">
        <v>156</v>
      </c>
      <c r="BR384">
        <v>0</v>
      </c>
      <c r="BS384">
        <v>0</v>
      </c>
      <c r="BT384">
        <v>0</v>
      </c>
      <c r="BU384">
        <v>0</v>
      </c>
      <c r="BV384" s="3">
        <v>256000.21</v>
      </c>
      <c r="BX384">
        <v>0</v>
      </c>
      <c r="BZ384">
        <v>0</v>
      </c>
      <c r="CA384">
        <v>0</v>
      </c>
      <c r="CB384">
        <v>0</v>
      </c>
      <c r="CC384" s="3">
        <v>256000.21</v>
      </c>
      <c r="CD384" s="5">
        <v>0</v>
      </c>
      <c r="CE384" t="s">
        <v>1170</v>
      </c>
      <c r="CF384" s="6">
        <v>46082</v>
      </c>
      <c r="CH384">
        <v>0</v>
      </c>
      <c r="CI384">
        <v>0</v>
      </c>
      <c r="CJ384">
        <v>0</v>
      </c>
      <c r="CK384">
        <v>0</v>
      </c>
      <c r="CL384">
        <v>0</v>
      </c>
      <c r="CM384">
        <v>0</v>
      </c>
      <c r="CN384">
        <v>0</v>
      </c>
      <c r="CO384">
        <v>0</v>
      </c>
      <c r="CP384">
        <v>0</v>
      </c>
      <c r="CQ384">
        <v>0</v>
      </c>
      <c r="CR384">
        <v>0</v>
      </c>
      <c r="CS384" t="s">
        <v>649</v>
      </c>
      <c r="CT384" t="s">
        <v>190</v>
      </c>
      <c r="CU384" t="s">
        <v>1188</v>
      </c>
      <c r="CW384">
        <v>-45.840400000000002</v>
      </c>
      <c r="CX384" t="s">
        <v>194</v>
      </c>
      <c r="CZ384" s="1">
        <v>46078</v>
      </c>
      <c r="DA384" t="s">
        <v>172</v>
      </c>
      <c r="DB384" t="s">
        <v>172</v>
      </c>
      <c r="DC384" t="s">
        <v>172</v>
      </c>
      <c r="DD384" t="s">
        <v>172</v>
      </c>
      <c r="DF384" t="s">
        <v>2532</v>
      </c>
      <c r="DG384" s="1">
        <v>46078</v>
      </c>
      <c r="DH384">
        <v>0</v>
      </c>
      <c r="DI384">
        <v>0</v>
      </c>
      <c r="DL384" t="s">
        <v>1171</v>
      </c>
      <c r="DM384" t="s">
        <v>172</v>
      </c>
      <c r="DN384" t="s">
        <v>525</v>
      </c>
      <c r="DV384" s="3">
        <v>256000.21</v>
      </c>
      <c r="DW384">
        <v>0</v>
      </c>
      <c r="DX384" s="3">
        <v>256000.21</v>
      </c>
      <c r="DY384">
        <v>0</v>
      </c>
      <c r="EF384" s="1">
        <v>46090</v>
      </c>
      <c r="EG384" s="1">
        <v>46087</v>
      </c>
      <c r="EK384" s="1">
        <v>46090</v>
      </c>
      <c r="EL384" s="1">
        <v>46090</v>
      </c>
      <c r="EN384" t="s">
        <v>156</v>
      </c>
      <c r="EP384" s="1">
        <v>46090</v>
      </c>
      <c r="ER384" s="1">
        <v>46084</v>
      </c>
      <c r="ES384" t="s">
        <v>2533</v>
      </c>
      <c r="ET384" t="s">
        <v>2534</v>
      </c>
      <c r="EU384" s="1">
        <v>46085</v>
      </c>
      <c r="EW384" s="1">
        <v>46078</v>
      </c>
    </row>
    <row r="385" spans="1:153" x14ac:dyDescent="0.35">
      <c r="A385" t="str">
        <f>HYPERLINK("https://7lm.cvcrm.com.br/gestor/comercial/reservas/6735/administrar","6735")</f>
        <v>6735</v>
      </c>
      <c r="B385" t="s">
        <v>172</v>
      </c>
      <c r="C385" s="1">
        <v>46077</v>
      </c>
      <c r="D385" s="2">
        <v>0.82458333333333333</v>
      </c>
      <c r="E385" t="s">
        <v>527</v>
      </c>
      <c r="F385" t="s">
        <v>957</v>
      </c>
      <c r="G385" t="s">
        <v>159</v>
      </c>
      <c r="H385" t="s">
        <v>958</v>
      </c>
      <c r="I385" t="s">
        <v>959</v>
      </c>
      <c r="J385">
        <v>1</v>
      </c>
      <c r="L385">
        <v>30121</v>
      </c>
      <c r="M385" t="s">
        <v>960</v>
      </c>
      <c r="R385" t="str">
        <f>HYPERLINK("https://7lm.cvcrm.com.br/gestor/relatorios/associado/html?q[1|r.idreserva]=6735","GEOVANNA DIAS DE SOUSA")</f>
        <v>GEOVANNA DIAS DE SOUSA</v>
      </c>
      <c r="S385">
        <v>10493625941</v>
      </c>
      <c r="T385">
        <v>5574991964832</v>
      </c>
      <c r="V385" t="s">
        <v>2535</v>
      </c>
      <c r="W385" t="s">
        <v>187</v>
      </c>
      <c r="X385" t="s">
        <v>366</v>
      </c>
      <c r="Y385" t="s">
        <v>189</v>
      </c>
      <c r="Z385" t="s">
        <v>190</v>
      </c>
      <c r="AA385" t="s">
        <v>2536</v>
      </c>
      <c r="AB385" t="s">
        <v>2537</v>
      </c>
      <c r="AC385" t="s">
        <v>665</v>
      </c>
      <c r="AD385" t="s">
        <v>665</v>
      </c>
      <c r="AF385" t="s">
        <v>250</v>
      </c>
      <c r="AG385" t="s">
        <v>251</v>
      </c>
      <c r="AH385" s="3">
        <v>266000</v>
      </c>
      <c r="AI385" s="3">
        <v>266000</v>
      </c>
      <c r="AJ385" s="1">
        <v>46088</v>
      </c>
      <c r="AN385" t="s">
        <v>172</v>
      </c>
      <c r="AO385" t="s">
        <v>816</v>
      </c>
      <c r="AR385" t="s">
        <v>2538</v>
      </c>
      <c r="AT385" t="s">
        <v>261</v>
      </c>
      <c r="AU385" t="s">
        <v>175</v>
      </c>
      <c r="AW385">
        <v>0</v>
      </c>
      <c r="AX385" s="1">
        <v>46083</v>
      </c>
      <c r="AY385" s="2">
        <v>0.60071759259259261</v>
      </c>
      <c r="AZ385">
        <v>191728</v>
      </c>
      <c r="BA385" s="1">
        <v>46077</v>
      </c>
      <c r="BC385" t="s">
        <v>0</v>
      </c>
      <c r="BD385" s="1">
        <v>46077</v>
      </c>
      <c r="BE385" t="s">
        <v>1162</v>
      </c>
      <c r="BL385" s="4">
        <v>0</v>
      </c>
      <c r="BM385" s="1">
        <v>47031</v>
      </c>
      <c r="BO385">
        <v>0</v>
      </c>
      <c r="BP385">
        <v>28894</v>
      </c>
      <c r="BQ385" t="s">
        <v>156</v>
      </c>
      <c r="BR385">
        <v>0</v>
      </c>
      <c r="BS385">
        <v>0</v>
      </c>
      <c r="BT385">
        <v>0</v>
      </c>
      <c r="BU385">
        <v>0</v>
      </c>
      <c r="BV385" s="3">
        <v>266000</v>
      </c>
      <c r="BX385">
        <v>0</v>
      </c>
      <c r="BZ385">
        <v>0</v>
      </c>
      <c r="CA385">
        <v>0</v>
      </c>
      <c r="CB385">
        <v>0</v>
      </c>
      <c r="CC385" s="3">
        <v>266000</v>
      </c>
      <c r="CD385" s="5">
        <v>0</v>
      </c>
      <c r="CF385" s="6">
        <v>46082</v>
      </c>
      <c r="CH385">
        <v>0</v>
      </c>
      <c r="CI385">
        <v>0</v>
      </c>
      <c r="CJ385">
        <v>0</v>
      </c>
      <c r="CK385">
        <v>0</v>
      </c>
      <c r="CL385">
        <v>0</v>
      </c>
      <c r="CM385">
        <v>0</v>
      </c>
      <c r="CN385">
        <v>0</v>
      </c>
      <c r="CO385">
        <v>0</v>
      </c>
      <c r="CP385">
        <v>0</v>
      </c>
      <c r="CQ385">
        <v>0</v>
      </c>
      <c r="CR385">
        <v>0</v>
      </c>
      <c r="CT385" t="s">
        <v>190</v>
      </c>
      <c r="CU385" t="s">
        <v>959</v>
      </c>
      <c r="CW385">
        <v>0</v>
      </c>
      <c r="CZ385" s="1">
        <v>46077</v>
      </c>
      <c r="DA385" t="s">
        <v>172</v>
      </c>
      <c r="DB385" t="s">
        <v>172</v>
      </c>
      <c r="DC385" t="s">
        <v>172</v>
      </c>
      <c r="DD385" t="s">
        <v>172</v>
      </c>
      <c r="DG385" s="1">
        <v>46077</v>
      </c>
      <c r="DH385">
        <v>0</v>
      </c>
      <c r="DI385">
        <v>0</v>
      </c>
      <c r="DL385" t="s">
        <v>963</v>
      </c>
      <c r="DM385" t="s">
        <v>172</v>
      </c>
      <c r="DN385" t="s">
        <v>511</v>
      </c>
      <c r="DV385" s="3">
        <v>266000</v>
      </c>
      <c r="DW385">
        <v>0</v>
      </c>
      <c r="DX385" s="3">
        <v>266000</v>
      </c>
      <c r="DY385">
        <v>0</v>
      </c>
      <c r="EN385" t="s">
        <v>537</v>
      </c>
      <c r="ET385" t="s">
        <v>2539</v>
      </c>
      <c r="EU385" s="1">
        <v>46084</v>
      </c>
    </row>
    <row r="386" spans="1:153" ht="246.5" x14ac:dyDescent="0.35">
      <c r="A386" t="str">
        <f>HYPERLINK("https://7lm.cvcrm.com.br/gestor/comercial/reservas/6734/administrar","6734")</f>
        <v>6734</v>
      </c>
      <c r="B386" t="s">
        <v>156</v>
      </c>
      <c r="C386" s="1">
        <v>46077</v>
      </c>
      <c r="D386" s="2">
        <v>0.80322916666666666</v>
      </c>
      <c r="E386" t="s">
        <v>294</v>
      </c>
      <c r="F386" t="s">
        <v>957</v>
      </c>
      <c r="G386" t="s">
        <v>159</v>
      </c>
      <c r="H386" t="s">
        <v>538</v>
      </c>
      <c r="I386" t="s">
        <v>891</v>
      </c>
      <c r="J386">
        <v>1</v>
      </c>
      <c r="L386">
        <v>30121</v>
      </c>
      <c r="M386" t="s">
        <v>2540</v>
      </c>
      <c r="N386" s="1">
        <v>46101</v>
      </c>
      <c r="O386" s="2">
        <v>0.56968750000000001</v>
      </c>
      <c r="R386" t="str">
        <f>HYPERLINK("https://7lm.cvcrm.com.br/gestor/relatorios/associado/html?q[1|r.idreserva]=6734","GENESIO INACIO FERREIRA")</f>
        <v>GENESIO INACIO FERREIRA</v>
      </c>
      <c r="S386">
        <v>76006069172</v>
      </c>
      <c r="T386">
        <v>5561999051075</v>
      </c>
      <c r="V386" t="s">
        <v>2541</v>
      </c>
      <c r="W386" t="s">
        <v>163</v>
      </c>
      <c r="X386" t="s">
        <v>366</v>
      </c>
      <c r="Y386" t="s">
        <v>189</v>
      </c>
      <c r="Z386" t="s">
        <v>190</v>
      </c>
      <c r="AA386" t="s">
        <v>707</v>
      </c>
      <c r="AB386" t="s">
        <v>2542</v>
      </c>
      <c r="AC386" t="s">
        <v>665</v>
      </c>
      <c r="AD386" t="s">
        <v>665</v>
      </c>
      <c r="AF386" t="s">
        <v>250</v>
      </c>
      <c r="AG386" t="s">
        <v>251</v>
      </c>
      <c r="AH386" s="3">
        <v>246000.05</v>
      </c>
      <c r="AI386" s="3">
        <v>246000.05</v>
      </c>
      <c r="AJ386" s="1">
        <v>46097</v>
      </c>
      <c r="AN386" t="s">
        <v>172</v>
      </c>
      <c r="AR386" s="7" t="s">
        <v>353</v>
      </c>
      <c r="AT386" t="s">
        <v>173</v>
      </c>
      <c r="AU386" t="s">
        <v>175</v>
      </c>
      <c r="AW386">
        <v>0</v>
      </c>
      <c r="AX386" s="1">
        <v>46094</v>
      </c>
      <c r="AY386" s="2">
        <v>0.34894675925925928</v>
      </c>
      <c r="AZ386">
        <v>191758</v>
      </c>
      <c r="BA386" s="1">
        <v>46077</v>
      </c>
      <c r="BC386" t="s">
        <v>0</v>
      </c>
      <c r="BD386" s="1">
        <v>46077</v>
      </c>
      <c r="BE386" t="s">
        <v>1162</v>
      </c>
      <c r="BL386" s="4">
        <v>0</v>
      </c>
      <c r="BM386" s="1">
        <v>47031</v>
      </c>
      <c r="BN386" s="1">
        <v>46094</v>
      </c>
      <c r="BO386">
        <v>0</v>
      </c>
      <c r="BP386">
        <v>28904</v>
      </c>
      <c r="BQ386" t="s">
        <v>156</v>
      </c>
      <c r="BR386">
        <v>0</v>
      </c>
      <c r="BS386">
        <v>0</v>
      </c>
      <c r="BT386">
        <v>0</v>
      </c>
      <c r="BU386">
        <v>0</v>
      </c>
      <c r="BV386" s="3">
        <v>246000.05</v>
      </c>
      <c r="BX386">
        <v>0</v>
      </c>
      <c r="BZ386">
        <v>0</v>
      </c>
      <c r="CA386">
        <v>0</v>
      </c>
      <c r="CB386">
        <v>0</v>
      </c>
      <c r="CC386" s="3">
        <v>246000.05</v>
      </c>
      <c r="CD386" s="5">
        <v>0</v>
      </c>
      <c r="CF386" s="6">
        <v>46082</v>
      </c>
      <c r="CH386">
        <v>0</v>
      </c>
      <c r="CI386">
        <v>0</v>
      </c>
      <c r="CJ386">
        <v>0</v>
      </c>
      <c r="CK386">
        <v>0</v>
      </c>
      <c r="CL386">
        <v>0</v>
      </c>
      <c r="CM386">
        <v>0</v>
      </c>
      <c r="CN386">
        <v>0</v>
      </c>
      <c r="CO386">
        <v>0</v>
      </c>
      <c r="CP386">
        <v>0</v>
      </c>
      <c r="CQ386">
        <v>0</v>
      </c>
      <c r="CR386">
        <v>0</v>
      </c>
      <c r="CS386" t="s">
        <v>649</v>
      </c>
      <c r="CT386" t="s">
        <v>190</v>
      </c>
      <c r="CU386" t="s">
        <v>891</v>
      </c>
      <c r="CW386">
        <v>-47.926200000000001</v>
      </c>
      <c r="CZ386" s="1">
        <v>46077</v>
      </c>
      <c r="DA386" t="s">
        <v>172</v>
      </c>
      <c r="DB386" t="s">
        <v>172</v>
      </c>
      <c r="DC386" t="s">
        <v>172</v>
      </c>
      <c r="DD386" t="s">
        <v>172</v>
      </c>
      <c r="DG386" s="1">
        <v>46077</v>
      </c>
      <c r="DH386">
        <v>0</v>
      </c>
      <c r="DI386">
        <v>0</v>
      </c>
      <c r="DL386" t="s">
        <v>963</v>
      </c>
      <c r="DM386" t="s">
        <v>172</v>
      </c>
      <c r="DN386" t="s">
        <v>201</v>
      </c>
      <c r="DV386" s="3">
        <v>246000.05</v>
      </c>
      <c r="DW386">
        <v>0</v>
      </c>
      <c r="DX386" s="3">
        <v>246000.05</v>
      </c>
      <c r="DY386">
        <v>0</v>
      </c>
      <c r="EF386" s="1">
        <v>46093</v>
      </c>
      <c r="EG386" s="1">
        <v>46090</v>
      </c>
      <c r="EK386" s="1">
        <v>46093</v>
      </c>
      <c r="EN386" t="s">
        <v>537</v>
      </c>
      <c r="EP386" s="1">
        <v>46087</v>
      </c>
      <c r="ER386" s="1">
        <v>46084</v>
      </c>
      <c r="ES386" t="s">
        <v>2543</v>
      </c>
      <c r="ET386" t="s">
        <v>2544</v>
      </c>
      <c r="EU386" s="1">
        <v>46087</v>
      </c>
      <c r="EW386" s="1">
        <v>46077</v>
      </c>
    </row>
    <row r="387" spans="1:153" ht="246.5" x14ac:dyDescent="0.35">
      <c r="A387" t="str">
        <f>HYPERLINK("https://7lm.cvcrm.com.br/gestor/comercial/reservas/6733/administrar","6733")</f>
        <v>6733</v>
      </c>
      <c r="B387" t="s">
        <v>156</v>
      </c>
      <c r="C387" s="1">
        <v>46077</v>
      </c>
      <c r="D387" s="2">
        <v>0.80244212962962957</v>
      </c>
      <c r="E387" t="s">
        <v>294</v>
      </c>
      <c r="F387" t="s">
        <v>202</v>
      </c>
      <c r="G387" t="s">
        <v>203</v>
      </c>
      <c r="H387" t="s">
        <v>528</v>
      </c>
      <c r="I387" t="s">
        <v>1410</v>
      </c>
      <c r="J387">
        <v>1</v>
      </c>
      <c r="L387">
        <v>20031</v>
      </c>
      <c r="M387" t="s">
        <v>2545</v>
      </c>
      <c r="N387" s="1">
        <v>46094</v>
      </c>
      <c r="O387" s="2">
        <v>0.68130787037037033</v>
      </c>
      <c r="R387" t="str">
        <f>HYPERLINK("https://7lm.cvcrm.com.br/gestor/relatorios/associado/html?q[1|r.idreserva]=6733","PABLO PEREIRA DOS SANTOS")</f>
        <v>PABLO PEREIRA DOS SANTOS</v>
      </c>
      <c r="S387">
        <v>7713442103</v>
      </c>
      <c r="T387">
        <v>5561999542311</v>
      </c>
      <c r="V387" t="s">
        <v>2546</v>
      </c>
      <c r="W387" t="s">
        <v>163</v>
      </c>
      <c r="X387" t="s">
        <v>2547</v>
      </c>
      <c r="Y387" t="s">
        <v>165</v>
      </c>
      <c r="Z387" t="s">
        <v>257</v>
      </c>
      <c r="AA387" t="s">
        <v>1845</v>
      </c>
      <c r="AB387" t="s">
        <v>2548</v>
      </c>
      <c r="AC387" t="s">
        <v>398</v>
      </c>
      <c r="AF387" t="s">
        <v>399</v>
      </c>
      <c r="AG387" t="s">
        <v>195</v>
      </c>
      <c r="AH387" s="3">
        <v>221999.9</v>
      </c>
      <c r="AI387" s="3">
        <v>221999.9</v>
      </c>
      <c r="AJ387" s="1">
        <v>46157</v>
      </c>
      <c r="AN387" t="s">
        <v>172</v>
      </c>
      <c r="AR387" s="7" t="s">
        <v>353</v>
      </c>
      <c r="AT387" t="s">
        <v>196</v>
      </c>
      <c r="AU387" t="s">
        <v>292</v>
      </c>
      <c r="AW387">
        <v>0</v>
      </c>
      <c r="AX387" s="1">
        <v>46097</v>
      </c>
      <c r="AY387" s="2">
        <v>0.72173611111111113</v>
      </c>
      <c r="AZ387">
        <v>186753</v>
      </c>
      <c r="BA387" s="1">
        <v>46051</v>
      </c>
      <c r="BC387" t="s">
        <v>275</v>
      </c>
      <c r="BD387" s="1">
        <v>46092</v>
      </c>
      <c r="BE387" t="s">
        <v>1421</v>
      </c>
      <c r="BL387" s="4">
        <v>0</v>
      </c>
      <c r="BM387" s="1">
        <v>46808</v>
      </c>
      <c r="BN387" s="1">
        <v>46097</v>
      </c>
      <c r="BO387">
        <v>0</v>
      </c>
      <c r="BP387">
        <v>28056</v>
      </c>
      <c r="BQ387" t="s">
        <v>156</v>
      </c>
      <c r="BR387" s="3">
        <v>100610.91</v>
      </c>
      <c r="BS387" s="3">
        <v>55000</v>
      </c>
      <c r="BT387">
        <v>0</v>
      </c>
      <c r="BU387" s="3">
        <v>155610.91</v>
      </c>
      <c r="BV387" s="3">
        <v>221999.9</v>
      </c>
      <c r="BX387">
        <v>0</v>
      </c>
      <c r="BZ387">
        <v>0</v>
      </c>
      <c r="CA387">
        <v>0</v>
      </c>
      <c r="CB387">
        <v>0</v>
      </c>
      <c r="CC387" s="3">
        <v>221999.9</v>
      </c>
      <c r="CD387" s="5">
        <v>0</v>
      </c>
      <c r="CF387" s="6">
        <v>46082</v>
      </c>
      <c r="CH387">
        <v>0</v>
      </c>
      <c r="CI387">
        <v>0</v>
      </c>
      <c r="CJ387">
        <v>0</v>
      </c>
      <c r="CK387">
        <v>0</v>
      </c>
      <c r="CL387">
        <v>0</v>
      </c>
      <c r="CM387">
        <v>0</v>
      </c>
      <c r="CN387">
        <v>0</v>
      </c>
      <c r="CO387">
        <v>0</v>
      </c>
      <c r="CP387">
        <v>0</v>
      </c>
      <c r="CQ387">
        <v>0</v>
      </c>
      <c r="CR387">
        <v>0</v>
      </c>
      <c r="CS387" t="s">
        <v>360</v>
      </c>
      <c r="CT387" t="s">
        <v>214</v>
      </c>
      <c r="CU387" t="s">
        <v>1410</v>
      </c>
      <c r="CW387">
        <v>-51.9161</v>
      </c>
      <c r="CZ387" s="1">
        <v>46077</v>
      </c>
      <c r="DA387" t="s">
        <v>172</v>
      </c>
      <c r="DB387" t="s">
        <v>172</v>
      </c>
      <c r="DC387" t="s">
        <v>172</v>
      </c>
      <c r="DD387" t="s">
        <v>172</v>
      </c>
      <c r="DG387" s="1">
        <v>46077</v>
      </c>
      <c r="DH387">
        <v>0</v>
      </c>
      <c r="DI387">
        <v>0</v>
      </c>
      <c r="DL387" t="s">
        <v>224</v>
      </c>
      <c r="DM387" t="s">
        <v>172</v>
      </c>
      <c r="DN387" t="s">
        <v>201</v>
      </c>
      <c r="DV387" s="3">
        <v>221999.9</v>
      </c>
      <c r="DW387">
        <v>0</v>
      </c>
      <c r="DX387" s="3">
        <v>221999.9</v>
      </c>
      <c r="DY387">
        <v>0</v>
      </c>
      <c r="EG387" s="1">
        <v>46094</v>
      </c>
      <c r="EM387" s="1">
        <v>46092</v>
      </c>
      <c r="EN387" t="s">
        <v>156</v>
      </c>
      <c r="EP387" s="1">
        <v>46091</v>
      </c>
      <c r="EU387" s="1">
        <v>46084</v>
      </c>
      <c r="EW387" s="1">
        <v>46078</v>
      </c>
    </row>
    <row r="388" spans="1:153" ht="246.5" x14ac:dyDescent="0.35">
      <c r="A388" t="str">
        <f>HYPERLINK("https://7lm.cvcrm.com.br/gestor/comercial/reservas/6732/administrar","6732")</f>
        <v>6732</v>
      </c>
      <c r="B388" t="s">
        <v>156</v>
      </c>
      <c r="C388" s="1">
        <v>46077</v>
      </c>
      <c r="D388" s="2">
        <v>0.74979166666666663</v>
      </c>
      <c r="E388" t="s">
        <v>294</v>
      </c>
      <c r="F388" t="s">
        <v>202</v>
      </c>
      <c r="G388" t="s">
        <v>203</v>
      </c>
      <c r="H388" t="s">
        <v>277</v>
      </c>
      <c r="I388" t="s">
        <v>1322</v>
      </c>
      <c r="J388">
        <v>1</v>
      </c>
      <c r="K388">
        <v>8186</v>
      </c>
      <c r="L388">
        <v>20031</v>
      </c>
      <c r="M388" t="s">
        <v>2549</v>
      </c>
      <c r="N388" s="1">
        <v>46079</v>
      </c>
      <c r="O388" s="2">
        <v>0.61427083333333332</v>
      </c>
      <c r="R388" t="str">
        <f>HYPERLINK("https://7lm.cvcrm.com.br/gestor/relatorios/associado/html?q[1|r.idreserva]=6732","JULIA MENDES SOARES")</f>
        <v>JULIA MENDES SOARES</v>
      </c>
      <c r="S388">
        <v>5137808156</v>
      </c>
      <c r="T388">
        <v>5561982129736</v>
      </c>
      <c r="V388" t="s">
        <v>2550</v>
      </c>
      <c r="W388" t="s">
        <v>187</v>
      </c>
      <c r="X388" t="s">
        <v>299</v>
      </c>
      <c r="Y388" t="s">
        <v>189</v>
      </c>
      <c r="AA388" t="s">
        <v>2551</v>
      </c>
      <c r="AB388" t="s">
        <v>2552</v>
      </c>
      <c r="AC388" t="s">
        <v>425</v>
      </c>
      <c r="AF388" t="s">
        <v>389</v>
      </c>
      <c r="AG388" t="s">
        <v>195</v>
      </c>
      <c r="AH388" s="3">
        <v>214954.95</v>
      </c>
      <c r="AI388" s="3">
        <v>214954.95</v>
      </c>
      <c r="AJ388" s="1">
        <v>46105</v>
      </c>
      <c r="AN388" t="s">
        <v>172</v>
      </c>
      <c r="AR388" s="7" t="s">
        <v>353</v>
      </c>
      <c r="AT388" t="s">
        <v>196</v>
      </c>
      <c r="AU388" t="s">
        <v>292</v>
      </c>
      <c r="AW388">
        <v>0</v>
      </c>
      <c r="AX388" s="1">
        <v>46079</v>
      </c>
      <c r="AY388" s="2">
        <v>0.35106481481481483</v>
      </c>
      <c r="AZ388">
        <v>138351</v>
      </c>
      <c r="BA388" s="1">
        <v>45601</v>
      </c>
      <c r="BB388" s="1">
        <v>46064</v>
      </c>
      <c r="BC388" t="s">
        <v>0</v>
      </c>
      <c r="BD388" s="1">
        <v>46077</v>
      </c>
      <c r="BE388" t="s">
        <v>317</v>
      </c>
      <c r="BL388" s="4">
        <v>0</v>
      </c>
      <c r="BM388" s="1">
        <v>46808</v>
      </c>
      <c r="BN388" s="1">
        <v>46079</v>
      </c>
      <c r="BO388">
        <v>0</v>
      </c>
      <c r="BP388">
        <v>28833</v>
      </c>
      <c r="BQ388" t="s">
        <v>156</v>
      </c>
      <c r="BR388" s="3">
        <v>102336.47</v>
      </c>
      <c r="BS388" s="3">
        <v>46250</v>
      </c>
      <c r="BT388">
        <v>0</v>
      </c>
      <c r="BU388" s="3">
        <v>148586.47</v>
      </c>
      <c r="BV388" s="3">
        <v>214954.95</v>
      </c>
      <c r="BX388">
        <v>0</v>
      </c>
      <c r="BZ388">
        <v>0</v>
      </c>
      <c r="CA388">
        <v>0</v>
      </c>
      <c r="CB388">
        <v>0</v>
      </c>
      <c r="CC388" s="3">
        <v>214954.95</v>
      </c>
      <c r="CD388" s="5">
        <v>0</v>
      </c>
      <c r="CF388" s="6">
        <v>46054</v>
      </c>
      <c r="CH388">
        <v>0</v>
      </c>
      <c r="CI388">
        <v>0</v>
      </c>
      <c r="CJ388">
        <v>0</v>
      </c>
      <c r="CK388">
        <v>0</v>
      </c>
      <c r="CL388">
        <v>0</v>
      </c>
      <c r="CM388">
        <v>0</v>
      </c>
      <c r="CN388">
        <v>0</v>
      </c>
      <c r="CO388">
        <v>0</v>
      </c>
      <c r="CP388">
        <v>0</v>
      </c>
      <c r="CQ388">
        <v>0</v>
      </c>
      <c r="CR388">
        <v>0</v>
      </c>
      <c r="CS388" t="s">
        <v>360</v>
      </c>
      <c r="CT388" t="s">
        <v>214</v>
      </c>
      <c r="CU388" t="s">
        <v>1322</v>
      </c>
      <c r="CW388">
        <v>-52.927300000000002</v>
      </c>
      <c r="CZ388" s="1">
        <v>46077</v>
      </c>
      <c r="DA388" t="s">
        <v>172</v>
      </c>
      <c r="DB388" t="s">
        <v>172</v>
      </c>
      <c r="DC388" t="s">
        <v>172</v>
      </c>
      <c r="DD388" t="s">
        <v>172</v>
      </c>
      <c r="DG388" s="1">
        <v>46077</v>
      </c>
      <c r="DH388">
        <v>0</v>
      </c>
      <c r="DI388">
        <v>0</v>
      </c>
      <c r="DL388" t="s">
        <v>215</v>
      </c>
      <c r="DM388" t="s">
        <v>172</v>
      </c>
      <c r="DN388" t="s">
        <v>201</v>
      </c>
      <c r="DV388" s="3">
        <v>214954.95</v>
      </c>
      <c r="DW388">
        <v>0</v>
      </c>
      <c r="DX388" s="3">
        <v>214954.95</v>
      </c>
      <c r="DY388">
        <v>0</v>
      </c>
      <c r="EG388" s="1">
        <v>46078</v>
      </c>
      <c r="EN388" t="s">
        <v>172</v>
      </c>
      <c r="EP388" s="1">
        <v>46078</v>
      </c>
      <c r="EU388" s="1">
        <v>46079</v>
      </c>
      <c r="EW388" s="1">
        <v>46077</v>
      </c>
    </row>
    <row r="389" spans="1:153" ht="246.5" x14ac:dyDescent="0.35">
      <c r="A389" t="str">
        <f>HYPERLINK("https://7lm.cvcrm.com.br/gestor/comercial/reservas/6731/administrar","6731")</f>
        <v>6731</v>
      </c>
      <c r="B389" t="s">
        <v>156</v>
      </c>
      <c r="C389" s="1">
        <v>46077</v>
      </c>
      <c r="D389" s="2">
        <v>0.48423611111111109</v>
      </c>
      <c r="E389" t="s">
        <v>294</v>
      </c>
      <c r="F389" t="s">
        <v>458</v>
      </c>
      <c r="G389" t="s">
        <v>203</v>
      </c>
      <c r="H389" t="s">
        <v>2553</v>
      </c>
      <c r="I389" t="s">
        <v>2554</v>
      </c>
      <c r="J389">
        <v>1</v>
      </c>
      <c r="K389">
        <v>8203</v>
      </c>
      <c r="L389">
        <v>20001</v>
      </c>
      <c r="M389" t="s">
        <v>2555</v>
      </c>
      <c r="N389" s="1">
        <v>46126</v>
      </c>
      <c r="O389" s="2">
        <v>0.72726851851851848</v>
      </c>
      <c r="R389" t="str">
        <f>HYPERLINK("https://7lm.cvcrm.com.br/gestor/relatorios/associado/html?q[1|r.idreserva]=6731","GUILHERME PORTO BRAUNA")</f>
        <v>GUILHERME PORTO BRAUNA</v>
      </c>
      <c r="S389">
        <v>6752747105</v>
      </c>
      <c r="T389">
        <v>5561999432752</v>
      </c>
      <c r="V389" t="s">
        <v>2556</v>
      </c>
      <c r="W389" t="s">
        <v>163</v>
      </c>
      <c r="X389" t="s">
        <v>299</v>
      </c>
      <c r="Y389" t="s">
        <v>165</v>
      </c>
      <c r="Z389" t="s">
        <v>938</v>
      </c>
      <c r="AA389" t="s">
        <v>2557</v>
      </c>
      <c r="AB389" t="s">
        <v>2558</v>
      </c>
      <c r="AC389" t="s">
        <v>2559</v>
      </c>
      <c r="AF389" t="s">
        <v>399</v>
      </c>
      <c r="AG389" t="s">
        <v>195</v>
      </c>
      <c r="AH389" s="3">
        <v>235000.54</v>
      </c>
      <c r="AI389" s="3">
        <v>235000.54</v>
      </c>
      <c r="AJ389" s="1">
        <v>46105</v>
      </c>
      <c r="AN389" t="s">
        <v>172</v>
      </c>
      <c r="AR389" s="7" t="s">
        <v>353</v>
      </c>
      <c r="AT389" t="s">
        <v>173</v>
      </c>
      <c r="AU389" t="s">
        <v>292</v>
      </c>
      <c r="AW389">
        <v>0</v>
      </c>
      <c r="AX389" s="1">
        <v>46086</v>
      </c>
      <c r="AY389" s="2">
        <v>0.39921296296296294</v>
      </c>
      <c r="AZ389">
        <v>190985</v>
      </c>
      <c r="BA389" s="1">
        <v>46074</v>
      </c>
      <c r="BC389" t="s">
        <v>0</v>
      </c>
      <c r="BD389" s="1">
        <v>46077</v>
      </c>
      <c r="BE389" t="s">
        <v>198</v>
      </c>
      <c r="BL389" s="4">
        <v>0</v>
      </c>
      <c r="BM389" s="1">
        <v>46572</v>
      </c>
      <c r="BN389" s="1">
        <v>46086</v>
      </c>
      <c r="BO389">
        <v>0</v>
      </c>
      <c r="BP389">
        <v>28800</v>
      </c>
      <c r="BQ389" t="s">
        <v>156</v>
      </c>
      <c r="BR389" s="3">
        <v>126977.75</v>
      </c>
      <c r="BS389" s="3">
        <v>38129</v>
      </c>
      <c r="BT389">
        <v>0</v>
      </c>
      <c r="BU389" s="3">
        <v>165106.75</v>
      </c>
      <c r="BV389" s="3">
        <v>235000.54</v>
      </c>
      <c r="BX389">
        <v>0</v>
      </c>
      <c r="BZ389">
        <v>0</v>
      </c>
      <c r="CA389">
        <v>0</v>
      </c>
      <c r="CB389">
        <v>0</v>
      </c>
      <c r="CC389" s="3">
        <v>235000.54</v>
      </c>
      <c r="CD389" s="5">
        <v>0</v>
      </c>
      <c r="CE389" t="s">
        <v>467</v>
      </c>
      <c r="CF389" s="6">
        <v>46082</v>
      </c>
      <c r="CH389">
        <v>0</v>
      </c>
      <c r="CI389">
        <v>0</v>
      </c>
      <c r="CJ389">
        <v>0</v>
      </c>
      <c r="CK389">
        <v>0</v>
      </c>
      <c r="CL389">
        <v>0</v>
      </c>
      <c r="CM389">
        <v>0</v>
      </c>
      <c r="CN389">
        <v>0</v>
      </c>
      <c r="CO389">
        <v>0</v>
      </c>
      <c r="CP389">
        <v>0</v>
      </c>
      <c r="CQ389">
        <v>0</v>
      </c>
      <c r="CR389">
        <v>0</v>
      </c>
      <c r="CS389" t="s">
        <v>649</v>
      </c>
      <c r="CT389" t="s">
        <v>214</v>
      </c>
      <c r="CU389" t="s">
        <v>2554</v>
      </c>
      <c r="CW389">
        <v>0</v>
      </c>
      <c r="CZ389" s="1">
        <v>46077</v>
      </c>
      <c r="DA389" t="s">
        <v>172</v>
      </c>
      <c r="DB389" t="s">
        <v>172</v>
      </c>
      <c r="DC389" t="s">
        <v>172</v>
      </c>
      <c r="DD389" t="s">
        <v>172</v>
      </c>
      <c r="DG389" s="1">
        <v>46077</v>
      </c>
      <c r="DH389">
        <v>0</v>
      </c>
      <c r="DI389">
        <v>0</v>
      </c>
      <c r="DL389" t="s">
        <v>200</v>
      </c>
      <c r="DM389" t="s">
        <v>172</v>
      </c>
      <c r="DN389" t="s">
        <v>225</v>
      </c>
      <c r="DV389" s="3">
        <v>235000.54</v>
      </c>
      <c r="DW389">
        <v>0</v>
      </c>
      <c r="DX389" s="3">
        <v>235000.54</v>
      </c>
      <c r="DY389">
        <v>0</v>
      </c>
      <c r="EF389" s="1">
        <v>46084</v>
      </c>
      <c r="EG389" s="1">
        <v>46083</v>
      </c>
      <c r="EK389" s="1">
        <v>46084</v>
      </c>
      <c r="EN389" t="s">
        <v>156</v>
      </c>
      <c r="EP389" s="1">
        <v>46083</v>
      </c>
      <c r="EU389" s="1">
        <v>46080</v>
      </c>
      <c r="EW389" s="1">
        <v>46078</v>
      </c>
    </row>
    <row r="390" spans="1:153" ht="246.5" x14ac:dyDescent="0.35">
      <c r="A390" t="str">
        <f>HYPERLINK("https://7lm.cvcrm.com.br/gestor/comercial/reservas/6730/administrar","6730")</f>
        <v>6730</v>
      </c>
      <c r="B390" t="s">
        <v>156</v>
      </c>
      <c r="C390" s="1">
        <v>46076</v>
      </c>
      <c r="D390" s="2">
        <v>0.62572916666666667</v>
      </c>
      <c r="E390" t="s">
        <v>294</v>
      </c>
      <c r="F390" t="s">
        <v>202</v>
      </c>
      <c r="G390" t="s">
        <v>203</v>
      </c>
      <c r="H390" t="s">
        <v>528</v>
      </c>
      <c r="I390" t="s">
        <v>2560</v>
      </c>
      <c r="J390">
        <v>1</v>
      </c>
      <c r="L390">
        <v>20031</v>
      </c>
      <c r="M390" t="s">
        <v>2561</v>
      </c>
      <c r="N390" s="1">
        <v>46104</v>
      </c>
      <c r="O390" s="2">
        <v>0.47113425925925928</v>
      </c>
      <c r="R390" t="str">
        <f>HYPERLINK("https://7lm.cvcrm.com.br/gestor/relatorios/associado/html?q[1|r.idreserva]=6730","THIAGO ALESSANDRO ESTRELA DE MORAIS")</f>
        <v>THIAGO ALESSANDRO ESTRELA DE MORAIS</v>
      </c>
      <c r="S390">
        <v>71498771173</v>
      </c>
      <c r="T390">
        <v>5561999776390</v>
      </c>
      <c r="V390" t="s">
        <v>2562</v>
      </c>
      <c r="W390" t="s">
        <v>163</v>
      </c>
      <c r="X390" t="s">
        <v>299</v>
      </c>
      <c r="Y390" t="s">
        <v>189</v>
      </c>
      <c r="Z390" t="s">
        <v>2563</v>
      </c>
      <c r="AA390" t="s">
        <v>2564</v>
      </c>
      <c r="AB390" t="s">
        <v>2565</v>
      </c>
      <c r="AC390" t="s">
        <v>1444</v>
      </c>
      <c r="AF390" t="s">
        <v>413</v>
      </c>
      <c r="AG390" t="s">
        <v>195</v>
      </c>
      <c r="AH390" s="3">
        <v>211740.11</v>
      </c>
      <c r="AI390" s="3">
        <v>211740.11</v>
      </c>
      <c r="AJ390" s="1">
        <v>46127</v>
      </c>
      <c r="AN390" t="s">
        <v>172</v>
      </c>
      <c r="AR390" s="7" t="s">
        <v>353</v>
      </c>
      <c r="AT390" t="s">
        <v>196</v>
      </c>
      <c r="AU390" t="s">
        <v>316</v>
      </c>
      <c r="AW390">
        <v>0</v>
      </c>
      <c r="AX390" s="1">
        <v>46106</v>
      </c>
      <c r="AY390" s="2">
        <v>0.43684027777777779</v>
      </c>
      <c r="AZ390">
        <v>160111</v>
      </c>
      <c r="BA390" s="1">
        <v>45816</v>
      </c>
      <c r="BB390" s="1">
        <v>45939</v>
      </c>
      <c r="BC390" t="s">
        <v>0</v>
      </c>
      <c r="BD390" s="1">
        <v>46076</v>
      </c>
      <c r="BE390" t="s">
        <v>317</v>
      </c>
      <c r="BL390" s="4">
        <v>0</v>
      </c>
      <c r="BM390" s="1">
        <v>46808</v>
      </c>
      <c r="BN390" s="1">
        <v>46106</v>
      </c>
      <c r="BO390">
        <v>0</v>
      </c>
      <c r="BP390">
        <v>28193</v>
      </c>
      <c r="BQ390" t="s">
        <v>156</v>
      </c>
      <c r="BR390" s="3">
        <v>102940.02</v>
      </c>
      <c r="BS390" s="3">
        <v>55000</v>
      </c>
      <c r="BT390">
        <v>0</v>
      </c>
      <c r="BU390" s="3">
        <v>157940.01999999999</v>
      </c>
      <c r="BV390" s="3">
        <v>211740.11</v>
      </c>
      <c r="BX390">
        <v>0</v>
      </c>
      <c r="BZ390">
        <v>0</v>
      </c>
      <c r="CA390">
        <v>0</v>
      </c>
      <c r="CB390">
        <v>0</v>
      </c>
      <c r="CC390" s="3">
        <v>211740.11</v>
      </c>
      <c r="CD390" s="5">
        <v>0</v>
      </c>
      <c r="CF390" s="6">
        <v>46082</v>
      </c>
      <c r="CH390">
        <v>0</v>
      </c>
      <c r="CI390">
        <v>0</v>
      </c>
      <c r="CJ390">
        <v>0</v>
      </c>
      <c r="CK390">
        <v>0</v>
      </c>
      <c r="CL390">
        <v>0</v>
      </c>
      <c r="CM390">
        <v>0</v>
      </c>
      <c r="CN390">
        <v>0</v>
      </c>
      <c r="CO390">
        <v>0</v>
      </c>
      <c r="CP390">
        <v>0</v>
      </c>
      <c r="CQ390">
        <v>0</v>
      </c>
      <c r="CR390">
        <v>0</v>
      </c>
      <c r="CS390" t="s">
        <v>360</v>
      </c>
      <c r="CT390" t="s">
        <v>214</v>
      </c>
      <c r="CU390" t="s">
        <v>2560</v>
      </c>
      <c r="CW390">
        <v>-54.9754</v>
      </c>
      <c r="CZ390" s="1">
        <v>46076</v>
      </c>
      <c r="DA390" t="s">
        <v>172</v>
      </c>
      <c r="DB390" t="s">
        <v>172</v>
      </c>
      <c r="DC390" t="s">
        <v>172</v>
      </c>
      <c r="DD390" t="s">
        <v>172</v>
      </c>
      <c r="DG390" s="1">
        <v>46076</v>
      </c>
      <c r="DH390">
        <v>0</v>
      </c>
      <c r="DI390">
        <v>0</v>
      </c>
      <c r="DL390" t="s">
        <v>224</v>
      </c>
      <c r="DM390" t="s">
        <v>172</v>
      </c>
      <c r="DN390" t="s">
        <v>201</v>
      </c>
      <c r="DV390" s="3">
        <v>211740.11</v>
      </c>
      <c r="DW390">
        <v>0</v>
      </c>
      <c r="DX390" s="3">
        <v>211740.11</v>
      </c>
      <c r="DY390">
        <v>0</v>
      </c>
      <c r="EF390" s="1">
        <v>46104</v>
      </c>
      <c r="EG390" s="1">
        <v>46101</v>
      </c>
      <c r="EK390" s="1">
        <v>46104</v>
      </c>
      <c r="EN390" t="s">
        <v>156</v>
      </c>
      <c r="EP390" s="1">
        <v>46098</v>
      </c>
      <c r="ET390" t="s">
        <v>1074</v>
      </c>
      <c r="EU390" s="1">
        <v>46104</v>
      </c>
      <c r="EW390" s="1">
        <v>46076</v>
      </c>
    </row>
    <row r="391" spans="1:153" ht="246.5" x14ac:dyDescent="0.35">
      <c r="A391" t="str">
        <f>HYPERLINK("https://7lm.cvcrm.com.br/gestor/comercial/reservas/6729/administrar","6729")</f>
        <v>6729</v>
      </c>
      <c r="B391" t="s">
        <v>156</v>
      </c>
      <c r="C391" s="1">
        <v>46076</v>
      </c>
      <c r="D391" s="2">
        <v>0.50201388888888887</v>
      </c>
      <c r="E391" t="s">
        <v>294</v>
      </c>
      <c r="F391" t="s">
        <v>957</v>
      </c>
      <c r="G391" t="s">
        <v>159</v>
      </c>
      <c r="H391" t="s">
        <v>636</v>
      </c>
      <c r="I391" t="s">
        <v>1483</v>
      </c>
      <c r="J391">
        <v>1</v>
      </c>
      <c r="L391">
        <v>30121</v>
      </c>
      <c r="M391" t="s">
        <v>2566</v>
      </c>
      <c r="N391" s="1">
        <v>46078</v>
      </c>
      <c r="O391" s="2">
        <v>0.75326388888888884</v>
      </c>
      <c r="R391" t="str">
        <f>HYPERLINK("https://7lm.cvcrm.com.br/gestor/relatorios/associado/html?q[1|r.idreserva]=6729","GIANE DE ALMEIDA E SILVA")</f>
        <v>GIANE DE ALMEIDA E SILVA</v>
      </c>
      <c r="S391">
        <v>85590088100</v>
      </c>
      <c r="T391">
        <v>5561984663354</v>
      </c>
      <c r="V391" t="s">
        <v>2567</v>
      </c>
      <c r="W391" t="s">
        <v>187</v>
      </c>
      <c r="Y391" t="s">
        <v>189</v>
      </c>
      <c r="Z391" t="s">
        <v>190</v>
      </c>
      <c r="AA391" t="s">
        <v>2568</v>
      </c>
      <c r="AB391" t="s">
        <v>2569</v>
      </c>
      <c r="AC391" t="s">
        <v>435</v>
      </c>
      <c r="AD391" t="s">
        <v>435</v>
      </c>
      <c r="AF391" t="s">
        <v>352</v>
      </c>
      <c r="AG391" t="s">
        <v>251</v>
      </c>
      <c r="AH391" s="3">
        <v>244937.62</v>
      </c>
      <c r="AI391" s="3">
        <v>244937.62</v>
      </c>
      <c r="AJ391" s="1">
        <v>46080</v>
      </c>
      <c r="AN391" t="s">
        <v>172</v>
      </c>
      <c r="AR391" s="7" t="s">
        <v>353</v>
      </c>
      <c r="AT391" t="s">
        <v>261</v>
      </c>
      <c r="AV391" t="s">
        <v>1627</v>
      </c>
      <c r="AW391">
        <v>0</v>
      </c>
      <c r="AX391" s="1">
        <v>46079</v>
      </c>
      <c r="AY391" s="2">
        <v>0.42215277777777777</v>
      </c>
      <c r="AZ391">
        <v>45875</v>
      </c>
      <c r="BA391" s="1">
        <v>44202</v>
      </c>
      <c r="BC391" t="s">
        <v>0</v>
      </c>
      <c r="BD391" s="1">
        <v>46076</v>
      </c>
      <c r="BE391" t="s">
        <v>293</v>
      </c>
      <c r="BL391" s="4">
        <v>0</v>
      </c>
      <c r="BM391" s="1">
        <v>47031</v>
      </c>
      <c r="BN391" s="1">
        <v>46079</v>
      </c>
      <c r="BO391">
        <v>0</v>
      </c>
      <c r="BP391">
        <v>28683</v>
      </c>
      <c r="BQ391" t="s">
        <v>156</v>
      </c>
      <c r="BR391" s="3">
        <v>119272.92</v>
      </c>
      <c r="BS391" s="3">
        <v>31790</v>
      </c>
      <c r="BT391">
        <v>0</v>
      </c>
      <c r="BU391" s="3">
        <v>151062.92000000001</v>
      </c>
      <c r="BV391" s="3">
        <v>244937.62</v>
      </c>
      <c r="BX391">
        <v>0</v>
      </c>
      <c r="BZ391">
        <v>0</v>
      </c>
      <c r="CA391">
        <v>0</v>
      </c>
      <c r="CB391">
        <v>0</v>
      </c>
      <c r="CC391" s="3">
        <v>244937.62</v>
      </c>
      <c r="CD391" s="5">
        <v>0</v>
      </c>
      <c r="CF391" s="6">
        <v>46054</v>
      </c>
      <c r="CH391">
        <v>0</v>
      </c>
      <c r="CI391">
        <v>0</v>
      </c>
      <c r="CJ391">
        <v>0</v>
      </c>
      <c r="CK391">
        <v>0</v>
      </c>
      <c r="CL391">
        <v>0</v>
      </c>
      <c r="CM391">
        <v>0</v>
      </c>
      <c r="CN391">
        <v>0</v>
      </c>
      <c r="CO391">
        <v>0</v>
      </c>
      <c r="CP391">
        <v>0</v>
      </c>
      <c r="CQ391">
        <v>0</v>
      </c>
      <c r="CR391">
        <v>0</v>
      </c>
      <c r="CS391" t="s">
        <v>360</v>
      </c>
      <c r="CT391" t="s">
        <v>190</v>
      </c>
      <c r="CU391" t="s">
        <v>1483</v>
      </c>
      <c r="CW391">
        <v>-45.934800000000003</v>
      </c>
      <c r="CZ391" s="1">
        <v>46076</v>
      </c>
      <c r="DA391" t="s">
        <v>172</v>
      </c>
      <c r="DB391" t="s">
        <v>172</v>
      </c>
      <c r="DC391" t="s">
        <v>172</v>
      </c>
      <c r="DD391" t="s">
        <v>172</v>
      </c>
      <c r="DG391" s="1">
        <v>46076</v>
      </c>
      <c r="DH391">
        <v>0</v>
      </c>
      <c r="DI391">
        <v>0</v>
      </c>
      <c r="DL391" t="s">
        <v>963</v>
      </c>
      <c r="DM391" t="s">
        <v>172</v>
      </c>
      <c r="DN391" t="s">
        <v>201</v>
      </c>
      <c r="DV391" s="3">
        <v>244937.62</v>
      </c>
      <c r="DW391">
        <v>0</v>
      </c>
      <c r="DX391" s="3">
        <v>244937.62</v>
      </c>
      <c r="DY391">
        <v>0</v>
      </c>
      <c r="EG391" s="1">
        <v>46076</v>
      </c>
      <c r="EP391" s="1">
        <v>46077</v>
      </c>
    </row>
    <row r="392" spans="1:153" x14ac:dyDescent="0.35">
      <c r="A392" t="str">
        <f>HYPERLINK("https://7lm.cvcrm.com.br/gestor/comercial/reservas/6728/administrar","6728")</f>
        <v>6728</v>
      </c>
      <c r="B392" t="s">
        <v>156</v>
      </c>
      <c r="C392" s="1">
        <v>46076</v>
      </c>
      <c r="D392" s="2">
        <v>0.44415509259259262</v>
      </c>
      <c r="E392" t="s">
        <v>1310</v>
      </c>
      <c r="F392" t="s">
        <v>957</v>
      </c>
      <c r="G392" t="s">
        <v>159</v>
      </c>
      <c r="H392" t="s">
        <v>636</v>
      </c>
      <c r="I392" t="s">
        <v>2286</v>
      </c>
      <c r="J392">
        <v>1</v>
      </c>
      <c r="K392">
        <v>8167</v>
      </c>
      <c r="L392">
        <v>30121</v>
      </c>
      <c r="M392" t="s">
        <v>2287</v>
      </c>
      <c r="N392" s="1">
        <v>46079</v>
      </c>
      <c r="O392" s="2">
        <v>0.50443287037037032</v>
      </c>
      <c r="Q392">
        <v>9338</v>
      </c>
      <c r="R392" t="str">
        <f>HYPERLINK("https://7lm.cvcrm.com.br/gestor/relatorios/associado/html?q[1|r.idreserva]=6728","PHELIPE DE SOUZA SILVA")</f>
        <v>PHELIPE DE SOUZA SILVA</v>
      </c>
      <c r="S392">
        <v>70449223175</v>
      </c>
      <c r="T392">
        <v>5561995205171</v>
      </c>
      <c r="V392" t="s">
        <v>2570</v>
      </c>
      <c r="W392" t="s">
        <v>163</v>
      </c>
      <c r="X392" t="s">
        <v>366</v>
      </c>
      <c r="Y392" t="s">
        <v>189</v>
      </c>
      <c r="Z392" t="s">
        <v>190</v>
      </c>
      <c r="AA392" t="s">
        <v>1491</v>
      </c>
      <c r="AB392" t="s">
        <v>2571</v>
      </c>
      <c r="AC392" t="s">
        <v>665</v>
      </c>
      <c r="AD392" t="s">
        <v>665</v>
      </c>
      <c r="AF392" t="s">
        <v>250</v>
      </c>
      <c r="AG392" t="s">
        <v>251</v>
      </c>
      <c r="AH392" s="3">
        <v>245928.99</v>
      </c>
      <c r="AI392" s="3">
        <v>245928.99</v>
      </c>
      <c r="AJ392" s="1">
        <v>46104</v>
      </c>
      <c r="AN392" t="s">
        <v>172</v>
      </c>
      <c r="AR392" t="s">
        <v>2572</v>
      </c>
      <c r="AT392" t="s">
        <v>173</v>
      </c>
      <c r="AU392" t="s">
        <v>175</v>
      </c>
      <c r="AW392">
        <v>0</v>
      </c>
      <c r="AX392" s="1">
        <v>46085</v>
      </c>
      <c r="AY392" s="2">
        <v>0.45200231481481479</v>
      </c>
      <c r="BL392" s="4">
        <v>0</v>
      </c>
      <c r="BM392" s="1">
        <v>47031</v>
      </c>
      <c r="BN392" s="1">
        <v>46079</v>
      </c>
      <c r="BO392">
        <v>0</v>
      </c>
      <c r="BP392">
        <v>28808</v>
      </c>
      <c r="BQ392" t="s">
        <v>156</v>
      </c>
      <c r="BR392">
        <v>0</v>
      </c>
      <c r="BS392">
        <v>0</v>
      </c>
      <c r="BT392">
        <v>0</v>
      </c>
      <c r="BU392">
        <v>0</v>
      </c>
      <c r="BV392" s="3">
        <v>245928.99</v>
      </c>
      <c r="BX392">
        <v>0</v>
      </c>
      <c r="BZ392">
        <v>0</v>
      </c>
      <c r="CA392">
        <v>0</v>
      </c>
      <c r="CB392">
        <v>0</v>
      </c>
      <c r="CC392" s="3">
        <v>245928.99</v>
      </c>
      <c r="CD392" s="5">
        <v>0</v>
      </c>
      <c r="CF392" s="6">
        <v>46054</v>
      </c>
      <c r="CH392">
        <v>0</v>
      </c>
      <c r="CI392">
        <v>0</v>
      </c>
      <c r="CJ392">
        <v>0</v>
      </c>
      <c r="CK392">
        <v>0</v>
      </c>
      <c r="CL392">
        <v>0</v>
      </c>
      <c r="CM392">
        <v>0</v>
      </c>
      <c r="CN392">
        <v>0</v>
      </c>
      <c r="CO392">
        <v>0</v>
      </c>
      <c r="CP392">
        <v>0</v>
      </c>
      <c r="CQ392">
        <v>0</v>
      </c>
      <c r="CR392">
        <v>0</v>
      </c>
      <c r="CS392" t="s">
        <v>360</v>
      </c>
      <c r="CT392" t="s">
        <v>190</v>
      </c>
      <c r="CU392" t="s">
        <v>2286</v>
      </c>
      <c r="CW392">
        <v>-48.813200000000002</v>
      </c>
      <c r="CZ392" s="1">
        <v>46076</v>
      </c>
      <c r="DA392" t="s">
        <v>172</v>
      </c>
      <c r="DB392" t="s">
        <v>172</v>
      </c>
      <c r="DC392" t="s">
        <v>172</v>
      </c>
      <c r="DD392" t="s">
        <v>172</v>
      </c>
      <c r="DG392" s="1">
        <v>46076</v>
      </c>
      <c r="DH392">
        <v>0</v>
      </c>
      <c r="DI392">
        <v>0</v>
      </c>
      <c r="DJ392" s="1">
        <v>46077</v>
      </c>
      <c r="DL392" t="s">
        <v>963</v>
      </c>
      <c r="DM392" t="s">
        <v>172</v>
      </c>
      <c r="DN392" t="s">
        <v>201</v>
      </c>
      <c r="DU392" t="s">
        <v>1238</v>
      </c>
      <c r="DV392" s="3">
        <v>261471.01</v>
      </c>
      <c r="DW392">
        <v>-51.53</v>
      </c>
      <c r="DX392" s="3">
        <v>261471.01</v>
      </c>
      <c r="DY392">
        <v>-51.53</v>
      </c>
      <c r="EG392" s="1">
        <v>46077</v>
      </c>
      <c r="EN392" t="s">
        <v>537</v>
      </c>
      <c r="EP392" s="1">
        <v>46077</v>
      </c>
      <c r="ER392" s="1">
        <v>46076</v>
      </c>
      <c r="ES392" t="s">
        <v>2573</v>
      </c>
      <c r="ET392" t="s">
        <v>2574</v>
      </c>
      <c r="EW392" s="1">
        <v>46076</v>
      </c>
    </row>
    <row r="393" spans="1:153" ht="116" x14ac:dyDescent="0.35">
      <c r="A393" t="str">
        <f>HYPERLINK("https://7lm.cvcrm.com.br/gestor/comercial/reservas/6727/administrar","6727")</f>
        <v>6727</v>
      </c>
      <c r="B393" t="s">
        <v>156</v>
      </c>
      <c r="C393" s="1">
        <v>46076</v>
      </c>
      <c r="D393" s="2">
        <v>0.40895833333333331</v>
      </c>
      <c r="E393" t="s">
        <v>527</v>
      </c>
      <c r="F393" t="s">
        <v>1164</v>
      </c>
      <c r="G393" t="s">
        <v>203</v>
      </c>
      <c r="H393" t="s">
        <v>277</v>
      </c>
      <c r="I393" t="s">
        <v>682</v>
      </c>
      <c r="J393">
        <v>1</v>
      </c>
      <c r="L393">
        <v>30001</v>
      </c>
      <c r="M393" t="s">
        <v>1619</v>
      </c>
      <c r="N393" s="1">
        <v>46083</v>
      </c>
      <c r="O393" s="2">
        <v>0.6368287037037037</v>
      </c>
      <c r="R393" t="str">
        <f>HYPERLINK("https://7lm.cvcrm.com.br/gestor/relatorios/associado/html?q[1|r.idreserva]=6727","MARCIA PEREIRA DA SILVA")</f>
        <v>MARCIA PEREIRA DA SILVA</v>
      </c>
      <c r="S393">
        <v>6645346190</v>
      </c>
      <c r="T393">
        <v>5561998496516</v>
      </c>
      <c r="V393" t="s">
        <v>2575</v>
      </c>
      <c r="W393" t="s">
        <v>187</v>
      </c>
      <c r="X393" t="s">
        <v>2576</v>
      </c>
      <c r="Y393" t="s">
        <v>189</v>
      </c>
      <c r="Z393" t="s">
        <v>190</v>
      </c>
      <c r="AA393" t="s">
        <v>1024</v>
      </c>
      <c r="AB393" t="s">
        <v>2577</v>
      </c>
      <c r="AC393" t="s">
        <v>641</v>
      </c>
      <c r="AF393" t="s">
        <v>194</v>
      </c>
      <c r="AG393" t="s">
        <v>195</v>
      </c>
      <c r="AH393" s="3">
        <v>264957.34999999998</v>
      </c>
      <c r="AI393" s="3">
        <v>264957.34999999998</v>
      </c>
      <c r="AJ393" s="1">
        <v>46076</v>
      </c>
      <c r="AN393" t="s">
        <v>172</v>
      </c>
      <c r="AO393" t="s">
        <v>816</v>
      </c>
      <c r="AR393" s="7" t="s">
        <v>2016</v>
      </c>
      <c r="AT393" t="s">
        <v>261</v>
      </c>
      <c r="AU393" t="s">
        <v>292</v>
      </c>
      <c r="AW393">
        <v>0</v>
      </c>
      <c r="AX393" s="1">
        <v>46106</v>
      </c>
      <c r="AY393" s="2">
        <v>0.5056018518518518</v>
      </c>
      <c r="AZ393">
        <v>118354</v>
      </c>
      <c r="BA393" s="1">
        <v>45435</v>
      </c>
      <c r="BC393" t="s">
        <v>0</v>
      </c>
      <c r="BD393" s="1">
        <v>46076</v>
      </c>
      <c r="BE393" t="s">
        <v>466</v>
      </c>
      <c r="BL393" s="4">
        <v>0</v>
      </c>
      <c r="BM393" s="1">
        <v>46416</v>
      </c>
      <c r="BO393">
        <v>0</v>
      </c>
      <c r="BP393">
        <v>28761</v>
      </c>
      <c r="BQ393" t="s">
        <v>156</v>
      </c>
      <c r="BR393" s="3">
        <v>159207.06</v>
      </c>
      <c r="BS393" s="3">
        <v>7411</v>
      </c>
      <c r="BT393">
        <v>0</v>
      </c>
      <c r="BU393" s="3">
        <v>166618.06</v>
      </c>
      <c r="BV393" s="3">
        <v>264957.34999999998</v>
      </c>
      <c r="BX393">
        <v>0</v>
      </c>
      <c r="BZ393">
        <v>0</v>
      </c>
      <c r="CA393">
        <v>0</v>
      </c>
      <c r="CB393">
        <v>0</v>
      </c>
      <c r="CC393" s="3">
        <v>264957.34999999998</v>
      </c>
      <c r="CD393" s="5">
        <v>0</v>
      </c>
      <c r="CE393" t="s">
        <v>1170</v>
      </c>
      <c r="CF393" s="6">
        <v>46082</v>
      </c>
      <c r="CH393">
        <v>0</v>
      </c>
      <c r="CI393">
        <v>0</v>
      </c>
      <c r="CJ393">
        <v>0</v>
      </c>
      <c r="CK393">
        <v>0</v>
      </c>
      <c r="CL393">
        <v>0</v>
      </c>
      <c r="CM393">
        <v>0</v>
      </c>
      <c r="CN393">
        <v>0</v>
      </c>
      <c r="CO393">
        <v>0</v>
      </c>
      <c r="CP393">
        <v>0</v>
      </c>
      <c r="CQ393">
        <v>0</v>
      </c>
      <c r="CR393">
        <v>0</v>
      </c>
      <c r="CS393" t="s">
        <v>360</v>
      </c>
      <c r="CT393" t="s">
        <v>190</v>
      </c>
      <c r="CU393" t="s">
        <v>682</v>
      </c>
      <c r="CW393">
        <v>-43.879800000000003</v>
      </c>
      <c r="CX393" t="s">
        <v>194</v>
      </c>
      <c r="CZ393" s="1">
        <v>46076</v>
      </c>
      <c r="DA393" t="s">
        <v>172</v>
      </c>
      <c r="DB393" t="s">
        <v>172</v>
      </c>
      <c r="DC393" t="s">
        <v>172</v>
      </c>
      <c r="DD393" t="s">
        <v>172</v>
      </c>
      <c r="DG393" s="1">
        <v>46076</v>
      </c>
      <c r="DH393">
        <v>0</v>
      </c>
      <c r="DI393">
        <v>0</v>
      </c>
      <c r="DL393" t="s">
        <v>1171</v>
      </c>
      <c r="DM393" t="s">
        <v>172</v>
      </c>
      <c r="DN393" t="s">
        <v>511</v>
      </c>
      <c r="DV393" s="3">
        <v>264957.34999999998</v>
      </c>
      <c r="DW393">
        <v>0</v>
      </c>
      <c r="DX393" s="3">
        <v>264957.34999999998</v>
      </c>
      <c r="DY393">
        <v>0</v>
      </c>
      <c r="EF393" s="1">
        <v>46083</v>
      </c>
      <c r="EG393" s="1">
        <v>46079</v>
      </c>
      <c r="EK393" s="1">
        <v>46083</v>
      </c>
      <c r="EL393" s="1">
        <v>46083</v>
      </c>
      <c r="EM393" s="1">
        <v>46080</v>
      </c>
      <c r="EN393" t="s">
        <v>537</v>
      </c>
      <c r="EP393" s="1">
        <v>46079</v>
      </c>
      <c r="ER393" s="1">
        <v>46079</v>
      </c>
      <c r="ES393" t="s">
        <v>2578</v>
      </c>
      <c r="ET393" t="s">
        <v>2579</v>
      </c>
      <c r="EW393" s="1">
        <v>46076</v>
      </c>
    </row>
    <row r="394" spans="1:153" ht="246.5" x14ac:dyDescent="0.35">
      <c r="A394" t="str">
        <f>HYPERLINK("https://7lm.cvcrm.com.br/gestor/comercial/reservas/6726/administrar","6726")</f>
        <v>6726</v>
      </c>
      <c r="B394" t="s">
        <v>156</v>
      </c>
      <c r="C394" s="1">
        <v>46075</v>
      </c>
      <c r="D394" s="2">
        <v>0.51916666666666667</v>
      </c>
      <c r="E394" t="s">
        <v>294</v>
      </c>
      <c r="F394" t="s">
        <v>202</v>
      </c>
      <c r="G394" t="s">
        <v>203</v>
      </c>
      <c r="H394" t="s">
        <v>217</v>
      </c>
      <c r="I394" t="s">
        <v>1923</v>
      </c>
      <c r="J394">
        <v>1</v>
      </c>
      <c r="K394">
        <v>8170</v>
      </c>
      <c r="L394">
        <v>20031</v>
      </c>
      <c r="M394" t="s">
        <v>2580</v>
      </c>
      <c r="N394" s="1">
        <v>46079</v>
      </c>
      <c r="O394" s="2">
        <v>0.41555555555555557</v>
      </c>
      <c r="R394" t="str">
        <f>HYPERLINK("https://7lm.cvcrm.com.br/gestor/relatorios/associado/html?q[1|r.idreserva]=6726","TAILINY MACEDO DE OLIVEIRA")</f>
        <v>TAILINY MACEDO DE OLIVEIRA</v>
      </c>
      <c r="S394">
        <v>4901526197</v>
      </c>
      <c r="T394">
        <v>5561981616092</v>
      </c>
      <c r="V394" t="s">
        <v>2581</v>
      </c>
      <c r="W394" t="s">
        <v>187</v>
      </c>
      <c r="X394" t="s">
        <v>2582</v>
      </c>
      <c r="Y394" t="s">
        <v>165</v>
      </c>
      <c r="Z394" t="s">
        <v>238</v>
      </c>
      <c r="AA394" t="s">
        <v>548</v>
      </c>
      <c r="AB394" t="s">
        <v>2583</v>
      </c>
      <c r="AC394" t="s">
        <v>2315</v>
      </c>
      <c r="AF394" t="s">
        <v>413</v>
      </c>
      <c r="AG394" t="s">
        <v>195</v>
      </c>
      <c r="AH394" s="3">
        <v>210194.23</v>
      </c>
      <c r="AI394" s="3">
        <v>210194.23</v>
      </c>
      <c r="AJ394" s="1">
        <v>46127</v>
      </c>
      <c r="AN394" t="s">
        <v>172</v>
      </c>
      <c r="AR394" s="7" t="s">
        <v>353</v>
      </c>
      <c r="AT394" t="s">
        <v>196</v>
      </c>
      <c r="AU394" t="s">
        <v>292</v>
      </c>
      <c r="AW394">
        <v>0</v>
      </c>
      <c r="AX394" s="1">
        <v>46079</v>
      </c>
      <c r="AY394" s="2">
        <v>0.35421296296296295</v>
      </c>
      <c r="AZ394">
        <v>189154</v>
      </c>
      <c r="BA394" s="1">
        <v>46066</v>
      </c>
      <c r="BC394" t="s">
        <v>0</v>
      </c>
      <c r="BD394" s="1">
        <v>46075</v>
      </c>
      <c r="BE394" t="s">
        <v>176</v>
      </c>
      <c r="BL394" s="4">
        <v>0</v>
      </c>
      <c r="BM394" s="1">
        <v>46808</v>
      </c>
      <c r="BN394" s="1">
        <v>46079</v>
      </c>
      <c r="BO394">
        <v>0</v>
      </c>
      <c r="BP394">
        <v>28579</v>
      </c>
      <c r="BQ394" t="s">
        <v>156</v>
      </c>
      <c r="BR394" s="3">
        <v>134317.60999999999</v>
      </c>
      <c r="BS394" s="3">
        <v>27689</v>
      </c>
      <c r="BT394">
        <v>0</v>
      </c>
      <c r="BU394" s="3">
        <v>162006.60999999999</v>
      </c>
      <c r="BV394" s="3">
        <v>210194.23</v>
      </c>
      <c r="BX394">
        <v>0</v>
      </c>
      <c r="BZ394">
        <v>0</v>
      </c>
      <c r="CA394">
        <v>0</v>
      </c>
      <c r="CB394">
        <v>0</v>
      </c>
      <c r="CC394" s="3">
        <v>210194.23</v>
      </c>
      <c r="CD394" s="5">
        <v>0</v>
      </c>
      <c r="CF394" s="6">
        <v>46054</v>
      </c>
      <c r="CH394">
        <v>0</v>
      </c>
      <c r="CI394">
        <v>0</v>
      </c>
      <c r="CJ394">
        <v>0</v>
      </c>
      <c r="CK394">
        <v>0</v>
      </c>
      <c r="CL394">
        <v>0</v>
      </c>
      <c r="CM394">
        <v>0</v>
      </c>
      <c r="CN394">
        <v>0</v>
      </c>
      <c r="CO394">
        <v>0</v>
      </c>
      <c r="CP394">
        <v>0</v>
      </c>
      <c r="CQ394">
        <v>0</v>
      </c>
      <c r="CR394">
        <v>0</v>
      </c>
      <c r="CS394" t="s">
        <v>360</v>
      </c>
      <c r="CT394" t="s">
        <v>214</v>
      </c>
      <c r="CU394" t="s">
        <v>1923</v>
      </c>
      <c r="CW394">
        <v>-54.475099999999998</v>
      </c>
      <c r="CZ394" s="1">
        <v>46075</v>
      </c>
      <c r="DA394" t="s">
        <v>172</v>
      </c>
      <c r="DB394" t="s">
        <v>172</v>
      </c>
      <c r="DC394" t="s">
        <v>172</v>
      </c>
      <c r="DD394" t="s">
        <v>172</v>
      </c>
      <c r="DG394" s="1">
        <v>46075</v>
      </c>
      <c r="DH394">
        <v>0</v>
      </c>
      <c r="DI394">
        <v>0</v>
      </c>
      <c r="DL394" t="s">
        <v>794</v>
      </c>
      <c r="DM394" t="s">
        <v>172</v>
      </c>
      <c r="DN394" t="s">
        <v>795</v>
      </c>
      <c r="DV394" s="3">
        <v>210194.23</v>
      </c>
      <c r="DW394">
        <v>0</v>
      </c>
      <c r="DX394" s="3">
        <v>210194.23</v>
      </c>
      <c r="DY394">
        <v>0</v>
      </c>
      <c r="EG394" s="1">
        <v>46077</v>
      </c>
      <c r="EN394" t="s">
        <v>172</v>
      </c>
      <c r="EP394" s="1">
        <v>46077</v>
      </c>
      <c r="EU394" s="1">
        <v>46077</v>
      </c>
      <c r="EW394" s="1">
        <v>46075</v>
      </c>
    </row>
    <row r="395" spans="1:153" ht="101.5" x14ac:dyDescent="0.35">
      <c r="A395" t="str">
        <f>HYPERLINK("https://7lm.cvcrm.com.br/gestor/comercial/reservas/6725/administrar","6725")</f>
        <v>6725</v>
      </c>
      <c r="B395" t="s">
        <v>156</v>
      </c>
      <c r="C395" s="1">
        <v>46075</v>
      </c>
      <c r="D395" s="2">
        <v>0.50406249999999997</v>
      </c>
      <c r="E395" t="s">
        <v>294</v>
      </c>
      <c r="F395" t="s">
        <v>202</v>
      </c>
      <c r="G395" t="s">
        <v>203</v>
      </c>
      <c r="H395" t="s">
        <v>217</v>
      </c>
      <c r="I395" t="s">
        <v>363</v>
      </c>
      <c r="J395">
        <v>1</v>
      </c>
      <c r="K395">
        <v>8171</v>
      </c>
      <c r="L395">
        <v>20031</v>
      </c>
      <c r="M395" t="s">
        <v>2584</v>
      </c>
      <c r="N395" s="1">
        <v>46079</v>
      </c>
      <c r="O395" s="2">
        <v>0.40115740740740741</v>
      </c>
      <c r="R395" t="str">
        <f>HYPERLINK("https://7lm.cvcrm.com.br/gestor/relatorios/associado/html?q[1|r.idreserva]=6725","SARA CARVALHO CRUZ")</f>
        <v>SARA CARVALHO CRUZ</v>
      </c>
      <c r="S395">
        <v>62006988301</v>
      </c>
      <c r="T395">
        <v>5561993994246</v>
      </c>
      <c r="V395" t="s">
        <v>2585</v>
      </c>
      <c r="W395" t="s">
        <v>187</v>
      </c>
      <c r="X395" t="s">
        <v>2586</v>
      </c>
      <c r="Y395" t="s">
        <v>165</v>
      </c>
      <c r="Z395" t="s">
        <v>385</v>
      </c>
      <c r="AA395" t="s">
        <v>2587</v>
      </c>
      <c r="AB395" t="s">
        <v>2588</v>
      </c>
      <c r="AC395" t="s">
        <v>2589</v>
      </c>
      <c r="AD395" t="s">
        <v>2590</v>
      </c>
      <c r="AF395" t="s">
        <v>413</v>
      </c>
      <c r="AG395" t="s">
        <v>195</v>
      </c>
      <c r="AH395" s="3">
        <v>210892.9</v>
      </c>
      <c r="AI395" s="3">
        <v>210892.9</v>
      </c>
      <c r="AJ395" s="1">
        <v>46733</v>
      </c>
      <c r="AN395" t="s">
        <v>172</v>
      </c>
      <c r="AR395" s="7" t="s">
        <v>2591</v>
      </c>
      <c r="AT395" t="s">
        <v>196</v>
      </c>
      <c r="AU395" t="s">
        <v>276</v>
      </c>
      <c r="AW395">
        <v>0</v>
      </c>
      <c r="AX395" s="1">
        <v>46079</v>
      </c>
      <c r="AY395" s="2">
        <v>0.35626157407407405</v>
      </c>
      <c r="AZ395">
        <v>189734</v>
      </c>
      <c r="BA395" s="1">
        <v>46069</v>
      </c>
      <c r="BC395" t="s">
        <v>0</v>
      </c>
      <c r="BD395" s="1">
        <v>46075</v>
      </c>
      <c r="BE395" t="s">
        <v>276</v>
      </c>
      <c r="BL395" s="4">
        <v>0</v>
      </c>
      <c r="BM395" s="1">
        <v>46808</v>
      </c>
      <c r="BN395" s="1">
        <v>46079</v>
      </c>
      <c r="BO395">
        <v>0</v>
      </c>
      <c r="BP395">
        <v>28626</v>
      </c>
      <c r="BQ395" t="s">
        <v>156</v>
      </c>
      <c r="BR395" s="3">
        <v>139705.18</v>
      </c>
      <c r="BS395" s="3">
        <v>25595</v>
      </c>
      <c r="BT395">
        <v>0</v>
      </c>
      <c r="BU395" s="3">
        <v>165300.18</v>
      </c>
      <c r="BV395" s="3">
        <v>210892.9</v>
      </c>
      <c r="BX395">
        <v>0</v>
      </c>
      <c r="BZ395">
        <v>0</v>
      </c>
      <c r="CA395">
        <v>0</v>
      </c>
      <c r="CB395">
        <v>0</v>
      </c>
      <c r="CC395" s="3">
        <v>210892.9</v>
      </c>
      <c r="CD395" s="5">
        <v>0</v>
      </c>
      <c r="CF395" s="6">
        <v>46054</v>
      </c>
      <c r="CH395">
        <v>0</v>
      </c>
      <c r="CI395">
        <v>0</v>
      </c>
      <c r="CJ395">
        <v>0</v>
      </c>
      <c r="CK395">
        <v>0</v>
      </c>
      <c r="CL395">
        <v>0</v>
      </c>
      <c r="CM395">
        <v>0</v>
      </c>
      <c r="CN395">
        <v>0</v>
      </c>
      <c r="CO395">
        <v>0</v>
      </c>
      <c r="CP395">
        <v>0</v>
      </c>
      <c r="CQ395">
        <v>0</v>
      </c>
      <c r="CR395">
        <v>0</v>
      </c>
      <c r="CS395" t="s">
        <v>360</v>
      </c>
      <c r="CT395" t="s">
        <v>214</v>
      </c>
      <c r="CU395" t="s">
        <v>363</v>
      </c>
      <c r="CW395">
        <v>-55.6389</v>
      </c>
      <c r="CZ395" s="1">
        <v>46075</v>
      </c>
      <c r="DA395" t="s">
        <v>172</v>
      </c>
      <c r="DB395" t="s">
        <v>172</v>
      </c>
      <c r="DC395" t="s">
        <v>172</v>
      </c>
      <c r="DD395" t="s">
        <v>172</v>
      </c>
      <c r="DG395" s="1">
        <v>46075</v>
      </c>
      <c r="DH395">
        <v>0</v>
      </c>
      <c r="DI395">
        <v>0</v>
      </c>
      <c r="DL395" t="s">
        <v>224</v>
      </c>
      <c r="DM395" t="s">
        <v>172</v>
      </c>
      <c r="DN395" t="s">
        <v>201</v>
      </c>
      <c r="DV395" s="3">
        <v>210892.9</v>
      </c>
      <c r="DW395">
        <v>0</v>
      </c>
      <c r="DX395" s="3">
        <v>210892.9</v>
      </c>
      <c r="DY395">
        <v>0</v>
      </c>
      <c r="EG395" s="1">
        <v>46077</v>
      </c>
      <c r="EN395" t="s">
        <v>172</v>
      </c>
      <c r="EP395" s="1">
        <v>46077</v>
      </c>
      <c r="ET395" t="s">
        <v>699</v>
      </c>
      <c r="EU395" s="1">
        <v>46077</v>
      </c>
      <c r="EW395" s="1">
        <v>46075</v>
      </c>
    </row>
    <row r="396" spans="1:153" ht="246.5" x14ac:dyDescent="0.35">
      <c r="A396" t="str">
        <f>HYPERLINK("https://7lm.cvcrm.com.br/gestor/comercial/reservas/6724/administrar","6724")</f>
        <v>6724</v>
      </c>
      <c r="B396" t="s">
        <v>156</v>
      </c>
      <c r="C396" s="1">
        <v>46074</v>
      </c>
      <c r="D396" s="2">
        <v>0.81336805555555558</v>
      </c>
      <c r="E396" t="s">
        <v>294</v>
      </c>
      <c r="F396" t="s">
        <v>458</v>
      </c>
      <c r="G396" t="s">
        <v>203</v>
      </c>
      <c r="H396" t="s">
        <v>404</v>
      </c>
      <c r="I396" t="s">
        <v>1020</v>
      </c>
      <c r="J396">
        <v>1</v>
      </c>
      <c r="L396">
        <v>20001</v>
      </c>
      <c r="M396" t="s">
        <v>2592</v>
      </c>
      <c r="N396" s="1">
        <v>46079</v>
      </c>
      <c r="O396" s="2">
        <v>0.59622685185185187</v>
      </c>
      <c r="R396" t="str">
        <f>HYPERLINK("https://7lm.cvcrm.com.br/gestor/relatorios/associado/html?q[1|r.idreserva]=6724","ANTONIEL DA CONCEIÇÃO RIBEIRO")</f>
        <v>ANTONIEL DA CONCEIÇÃO RIBEIRO</v>
      </c>
      <c r="S396">
        <v>3194410326</v>
      </c>
      <c r="T396">
        <v>5561991169445</v>
      </c>
      <c r="V396" t="s">
        <v>2593</v>
      </c>
      <c r="W396" t="s">
        <v>163</v>
      </c>
      <c r="Y396" t="s">
        <v>189</v>
      </c>
      <c r="Z396" t="s">
        <v>214</v>
      </c>
      <c r="AA396" t="s">
        <v>1049</v>
      </c>
      <c r="AB396" t="s">
        <v>2594</v>
      </c>
      <c r="AC396" t="s">
        <v>785</v>
      </c>
      <c r="AD396" t="s">
        <v>785</v>
      </c>
      <c r="AF396" t="s">
        <v>634</v>
      </c>
      <c r="AG396" t="s">
        <v>195</v>
      </c>
      <c r="AH396" s="3">
        <v>224983.77</v>
      </c>
      <c r="AI396" s="3">
        <v>224983.77</v>
      </c>
      <c r="AJ396" s="1">
        <v>46127</v>
      </c>
      <c r="AN396" t="s">
        <v>172</v>
      </c>
      <c r="AR396" s="7" t="s">
        <v>353</v>
      </c>
      <c r="AT396" t="s">
        <v>261</v>
      </c>
      <c r="AU396" t="s">
        <v>316</v>
      </c>
      <c r="AW396">
        <v>0</v>
      </c>
      <c r="AX396" s="1">
        <v>46079</v>
      </c>
      <c r="AY396" s="2">
        <v>0.38833333333333331</v>
      </c>
      <c r="AZ396">
        <v>190529</v>
      </c>
      <c r="BA396" s="1">
        <v>46072</v>
      </c>
      <c r="BC396" t="s">
        <v>0</v>
      </c>
      <c r="BD396" s="1">
        <v>46074</v>
      </c>
      <c r="BE396" t="s">
        <v>786</v>
      </c>
      <c r="BL396" s="4">
        <v>0</v>
      </c>
      <c r="BM396" s="1">
        <v>46572</v>
      </c>
      <c r="BN396" s="1">
        <v>46079</v>
      </c>
      <c r="BO396">
        <v>0</v>
      </c>
      <c r="BP396">
        <v>28749</v>
      </c>
      <c r="BQ396" t="s">
        <v>156</v>
      </c>
      <c r="BR396" s="3">
        <v>124295.67999999999</v>
      </c>
      <c r="BS396" s="3">
        <v>39156</v>
      </c>
      <c r="BT396">
        <v>0</v>
      </c>
      <c r="BU396" s="3">
        <v>163451.68</v>
      </c>
      <c r="BV396" s="3">
        <v>224983.77</v>
      </c>
      <c r="BX396">
        <v>0</v>
      </c>
      <c r="BZ396">
        <v>0</v>
      </c>
      <c r="CA396">
        <v>0</v>
      </c>
      <c r="CB396">
        <v>0</v>
      </c>
      <c r="CC396" s="3">
        <v>224983.77</v>
      </c>
      <c r="CD396" s="5">
        <v>0</v>
      </c>
      <c r="CE396" t="s">
        <v>467</v>
      </c>
      <c r="CF396" s="6">
        <v>46054</v>
      </c>
      <c r="CH396">
        <v>0</v>
      </c>
      <c r="CI396">
        <v>0</v>
      </c>
      <c r="CJ396">
        <v>0</v>
      </c>
      <c r="CK396">
        <v>0</v>
      </c>
      <c r="CL396">
        <v>0</v>
      </c>
      <c r="CM396">
        <v>0</v>
      </c>
      <c r="CN396">
        <v>0</v>
      </c>
      <c r="CO396">
        <v>0</v>
      </c>
      <c r="CP396">
        <v>0</v>
      </c>
      <c r="CQ396">
        <v>0</v>
      </c>
      <c r="CR396">
        <v>0</v>
      </c>
      <c r="CS396" t="s">
        <v>360</v>
      </c>
      <c r="CT396" t="s">
        <v>214</v>
      </c>
      <c r="CU396" t="s">
        <v>1020</v>
      </c>
      <c r="CW396">
        <v>-59.982599999999998</v>
      </c>
      <c r="CZ396" s="1">
        <v>46074</v>
      </c>
      <c r="DA396" t="s">
        <v>172</v>
      </c>
      <c r="DB396" t="s">
        <v>172</v>
      </c>
      <c r="DC396" t="s">
        <v>172</v>
      </c>
      <c r="DD396" t="s">
        <v>172</v>
      </c>
      <c r="DG396" s="1">
        <v>46074</v>
      </c>
      <c r="DH396">
        <v>0</v>
      </c>
      <c r="DI396">
        <v>0</v>
      </c>
      <c r="DL396" t="s">
        <v>200</v>
      </c>
      <c r="DM396" t="s">
        <v>172</v>
      </c>
      <c r="DN396" t="s">
        <v>201</v>
      </c>
      <c r="DU396" t="s">
        <v>1266</v>
      </c>
      <c r="DV396" s="3">
        <v>247816.23</v>
      </c>
      <c r="DW396">
        <v>-52.41</v>
      </c>
      <c r="DX396" s="3">
        <v>247816.23</v>
      </c>
      <c r="DY396">
        <v>-52.41</v>
      </c>
      <c r="EF396" s="1">
        <v>46079</v>
      </c>
      <c r="EG396" s="1">
        <v>46076</v>
      </c>
      <c r="EK396" s="1">
        <v>46079</v>
      </c>
      <c r="EM396" s="1">
        <v>46077</v>
      </c>
      <c r="EN396" t="s">
        <v>156</v>
      </c>
      <c r="EP396" s="1">
        <v>46076</v>
      </c>
      <c r="EU396" s="1">
        <v>46076</v>
      </c>
      <c r="EW396" s="1">
        <v>46074</v>
      </c>
    </row>
    <row r="397" spans="1:153" ht="246.5" x14ac:dyDescent="0.35">
      <c r="A397" t="str">
        <f>HYPERLINK("https://7lm.cvcrm.com.br/gestor/comercial/reservas/6723/administrar","6723")</f>
        <v>6723</v>
      </c>
      <c r="B397" t="s">
        <v>156</v>
      </c>
      <c r="C397" s="1">
        <v>46074</v>
      </c>
      <c r="D397" s="2">
        <v>0.75929398148148153</v>
      </c>
      <c r="E397" t="s">
        <v>294</v>
      </c>
      <c r="F397" t="s">
        <v>202</v>
      </c>
      <c r="G397" t="s">
        <v>203</v>
      </c>
      <c r="H397" t="s">
        <v>528</v>
      </c>
      <c r="I397" t="s">
        <v>862</v>
      </c>
      <c r="J397">
        <v>1</v>
      </c>
      <c r="L397">
        <v>20031</v>
      </c>
      <c r="M397" t="s">
        <v>2595</v>
      </c>
      <c r="N397" s="1">
        <v>46083</v>
      </c>
      <c r="O397" s="2">
        <v>0.6091550925925926</v>
      </c>
      <c r="R397" t="str">
        <f>HYPERLINK("https://7lm.cvcrm.com.br/gestor/relatorios/associado/html?q[1|r.idreserva]=6723","MICHELLE RODRIGUES DE OLIVEIRA")</f>
        <v>MICHELLE RODRIGUES DE OLIVEIRA</v>
      </c>
      <c r="S397">
        <v>72188120159</v>
      </c>
      <c r="T397">
        <v>5561981313899</v>
      </c>
      <c r="V397" t="s">
        <v>2596</v>
      </c>
      <c r="W397" t="s">
        <v>187</v>
      </c>
      <c r="X397" t="s">
        <v>492</v>
      </c>
      <c r="Y397" t="s">
        <v>165</v>
      </c>
      <c r="Z397" t="s">
        <v>938</v>
      </c>
      <c r="AA397" t="s">
        <v>2597</v>
      </c>
      <c r="AB397" t="s">
        <v>2598</v>
      </c>
      <c r="AC397" t="s">
        <v>465</v>
      </c>
      <c r="AF397" t="s">
        <v>413</v>
      </c>
      <c r="AG397" t="s">
        <v>195</v>
      </c>
      <c r="AH397" s="3">
        <v>211944.65</v>
      </c>
      <c r="AI397" s="3">
        <v>211944.65</v>
      </c>
      <c r="AJ397" s="1">
        <v>46127</v>
      </c>
      <c r="AN397" t="s">
        <v>172</v>
      </c>
      <c r="AR397" s="7" t="s">
        <v>353</v>
      </c>
      <c r="AT397" t="s">
        <v>196</v>
      </c>
      <c r="AU397" t="s">
        <v>1232</v>
      </c>
      <c r="AW397">
        <v>0</v>
      </c>
      <c r="AX397" s="1">
        <v>46079</v>
      </c>
      <c r="AY397" s="2">
        <v>0.65781250000000002</v>
      </c>
      <c r="AZ397">
        <v>184821</v>
      </c>
      <c r="BA397" s="1">
        <v>46041</v>
      </c>
      <c r="BC397" t="s">
        <v>0</v>
      </c>
      <c r="BD397" s="1">
        <v>46074</v>
      </c>
      <c r="BE397" t="s">
        <v>198</v>
      </c>
      <c r="BL397" s="4">
        <v>0</v>
      </c>
      <c r="BM397" s="1">
        <v>46808</v>
      </c>
      <c r="BN397" s="1">
        <v>46079</v>
      </c>
      <c r="BO397">
        <v>0</v>
      </c>
      <c r="BP397">
        <v>28693</v>
      </c>
      <c r="BQ397" t="s">
        <v>156</v>
      </c>
      <c r="BR397" s="3">
        <v>116296.39</v>
      </c>
      <c r="BS397" s="3">
        <v>44321</v>
      </c>
      <c r="BT397">
        <v>0</v>
      </c>
      <c r="BU397" s="3">
        <v>160617.39000000001</v>
      </c>
      <c r="BV397" s="3">
        <v>211944.65</v>
      </c>
      <c r="BX397">
        <v>0</v>
      </c>
      <c r="BZ397">
        <v>0</v>
      </c>
      <c r="CA397">
        <v>0</v>
      </c>
      <c r="CB397">
        <v>0</v>
      </c>
      <c r="CC397" s="3">
        <v>211944.65</v>
      </c>
      <c r="CD397" s="5">
        <v>0</v>
      </c>
      <c r="CF397" s="6">
        <v>46054</v>
      </c>
      <c r="CH397">
        <v>0</v>
      </c>
      <c r="CI397">
        <v>0</v>
      </c>
      <c r="CJ397">
        <v>0</v>
      </c>
      <c r="CK397">
        <v>0</v>
      </c>
      <c r="CL397">
        <v>0</v>
      </c>
      <c r="CM397">
        <v>0</v>
      </c>
      <c r="CN397">
        <v>0</v>
      </c>
      <c r="CO397">
        <v>0</v>
      </c>
      <c r="CP397">
        <v>0</v>
      </c>
      <c r="CQ397">
        <v>0</v>
      </c>
      <c r="CR397">
        <v>0</v>
      </c>
      <c r="CS397" t="s">
        <v>360</v>
      </c>
      <c r="CT397" t="s">
        <v>214</v>
      </c>
      <c r="CU397" t="s">
        <v>862</v>
      </c>
      <c r="CW397">
        <v>-55.020099999999999</v>
      </c>
      <c r="CZ397" s="1">
        <v>46074</v>
      </c>
      <c r="DA397" t="s">
        <v>172</v>
      </c>
      <c r="DB397" t="s">
        <v>172</v>
      </c>
      <c r="DC397" t="s">
        <v>172</v>
      </c>
      <c r="DD397" t="s">
        <v>172</v>
      </c>
      <c r="DG397" s="1">
        <v>46074</v>
      </c>
      <c r="DH397">
        <v>0</v>
      </c>
      <c r="DI397">
        <v>0</v>
      </c>
      <c r="DJ397" s="1">
        <v>46077</v>
      </c>
      <c r="DL397" t="s">
        <v>224</v>
      </c>
      <c r="DM397" t="s">
        <v>172</v>
      </c>
      <c r="DN397" t="s">
        <v>201</v>
      </c>
      <c r="DV397" s="3">
        <v>211944.65</v>
      </c>
      <c r="DW397">
        <v>0</v>
      </c>
      <c r="DX397" s="3">
        <v>211944.65</v>
      </c>
      <c r="DY397">
        <v>0</v>
      </c>
      <c r="EF397" s="1">
        <v>46083</v>
      </c>
      <c r="EG397" s="1">
        <v>46076</v>
      </c>
      <c r="EK397" s="1">
        <v>46083</v>
      </c>
      <c r="EN397" t="s">
        <v>156</v>
      </c>
      <c r="EP397" s="1">
        <v>46077</v>
      </c>
      <c r="ET397" t="s">
        <v>1074</v>
      </c>
      <c r="EU397" s="1">
        <v>46077</v>
      </c>
      <c r="EW397" s="1">
        <v>46074</v>
      </c>
    </row>
    <row r="398" spans="1:153" ht="246.5" x14ac:dyDescent="0.35">
      <c r="A398" t="str">
        <f>HYPERLINK("https://7lm.cvcrm.com.br/gestor/comercial/reservas/6722/administrar","6722")</f>
        <v>6722</v>
      </c>
      <c r="B398" t="s">
        <v>156</v>
      </c>
      <c r="C398" s="1">
        <v>46074</v>
      </c>
      <c r="D398" s="2">
        <v>0.69625000000000004</v>
      </c>
      <c r="E398" t="s">
        <v>294</v>
      </c>
      <c r="F398" t="s">
        <v>216</v>
      </c>
      <c r="G398" t="s">
        <v>159</v>
      </c>
      <c r="H398" t="s">
        <v>391</v>
      </c>
      <c r="I398" t="s">
        <v>430</v>
      </c>
      <c r="J398">
        <v>1</v>
      </c>
      <c r="L398">
        <v>20061</v>
      </c>
      <c r="M398" t="s">
        <v>2599</v>
      </c>
      <c r="N398" s="1">
        <v>46078</v>
      </c>
      <c r="O398" s="2">
        <v>0.60430555555555554</v>
      </c>
      <c r="R398" t="str">
        <f>HYPERLINK("https://7lm.cvcrm.com.br/gestor/relatorios/associado/html?q[1|r.idreserva]=6722","BRENDA ELIAS SILVA")</f>
        <v>BRENDA ELIAS SILVA</v>
      </c>
      <c r="S398">
        <v>71220641154</v>
      </c>
      <c r="T398">
        <v>5561994323505</v>
      </c>
      <c r="V398" t="s">
        <v>2600</v>
      </c>
      <c r="W398" t="s">
        <v>187</v>
      </c>
      <c r="X398" t="s">
        <v>299</v>
      </c>
      <c r="Y398" t="s">
        <v>189</v>
      </c>
      <c r="Z398" t="s">
        <v>214</v>
      </c>
      <c r="AA398" t="s">
        <v>2601</v>
      </c>
      <c r="AB398" t="s">
        <v>2602</v>
      </c>
      <c r="AC398" t="s">
        <v>425</v>
      </c>
      <c r="AF398" t="s">
        <v>389</v>
      </c>
      <c r="AG398" t="s">
        <v>195</v>
      </c>
      <c r="AH398" s="3">
        <v>224790.32</v>
      </c>
      <c r="AI398" s="3">
        <v>224790.32</v>
      </c>
      <c r="AJ398" s="1">
        <v>46137</v>
      </c>
      <c r="AN398" t="s">
        <v>172</v>
      </c>
      <c r="AR398" s="7" t="s">
        <v>353</v>
      </c>
      <c r="AT398" t="s">
        <v>196</v>
      </c>
      <c r="AU398" t="s">
        <v>1073</v>
      </c>
      <c r="AW398">
        <v>0</v>
      </c>
      <c r="AX398" s="1">
        <v>46079</v>
      </c>
      <c r="AY398" s="2">
        <v>0.37656250000000002</v>
      </c>
      <c r="AZ398">
        <v>112767</v>
      </c>
      <c r="BA398" s="1">
        <v>45379</v>
      </c>
      <c r="BB398" s="1">
        <v>46071</v>
      </c>
      <c r="BC398" t="s">
        <v>0</v>
      </c>
      <c r="BD398" s="1">
        <v>46074</v>
      </c>
      <c r="BE398" t="s">
        <v>401</v>
      </c>
      <c r="BL398" s="4">
        <v>0</v>
      </c>
      <c r="BM398" s="1">
        <v>46995</v>
      </c>
      <c r="BN398" s="1">
        <v>46079</v>
      </c>
      <c r="BO398">
        <v>0</v>
      </c>
      <c r="BP398">
        <v>28715</v>
      </c>
      <c r="BQ398" t="s">
        <v>156</v>
      </c>
      <c r="BR398" s="3">
        <v>109430.64</v>
      </c>
      <c r="BS398" s="3">
        <v>54776</v>
      </c>
      <c r="BT398">
        <v>0</v>
      </c>
      <c r="BU398" s="3">
        <v>164206.64000000001</v>
      </c>
      <c r="BV398" s="3">
        <v>224790.32</v>
      </c>
      <c r="BX398">
        <v>0</v>
      </c>
      <c r="BZ398">
        <v>0</v>
      </c>
      <c r="CA398">
        <v>0</v>
      </c>
      <c r="CB398">
        <v>0</v>
      </c>
      <c r="CC398" s="3">
        <v>224790.32</v>
      </c>
      <c r="CD398" s="5">
        <v>0</v>
      </c>
      <c r="CF398" s="6">
        <v>46054</v>
      </c>
      <c r="CH398">
        <v>0</v>
      </c>
      <c r="CI398">
        <v>0</v>
      </c>
      <c r="CJ398">
        <v>0</v>
      </c>
      <c r="CK398">
        <v>0</v>
      </c>
      <c r="CL398">
        <v>0</v>
      </c>
      <c r="CM398">
        <v>0</v>
      </c>
      <c r="CN398">
        <v>0</v>
      </c>
      <c r="CO398">
        <v>0</v>
      </c>
      <c r="CP398">
        <v>0</v>
      </c>
      <c r="CQ398">
        <v>0</v>
      </c>
      <c r="CR398">
        <v>0</v>
      </c>
      <c r="CS398" t="s">
        <v>360</v>
      </c>
      <c r="CT398" t="s">
        <v>214</v>
      </c>
      <c r="CU398" t="s">
        <v>430</v>
      </c>
      <c r="CW398">
        <v>-54.624499999999998</v>
      </c>
      <c r="CZ398" s="1">
        <v>46074</v>
      </c>
      <c r="DA398" t="s">
        <v>172</v>
      </c>
      <c r="DB398" t="s">
        <v>172</v>
      </c>
      <c r="DC398" t="s">
        <v>172</v>
      </c>
      <c r="DD398" t="s">
        <v>172</v>
      </c>
      <c r="DG398" s="1">
        <v>46074</v>
      </c>
      <c r="DH398">
        <v>0</v>
      </c>
      <c r="DI398">
        <v>0</v>
      </c>
      <c r="DK398" t="s">
        <v>179</v>
      </c>
      <c r="DL398" t="s">
        <v>215</v>
      </c>
      <c r="DM398" t="s">
        <v>172</v>
      </c>
      <c r="DN398" t="s">
        <v>511</v>
      </c>
      <c r="DV398" s="3">
        <v>224790.32</v>
      </c>
      <c r="DW398">
        <v>0</v>
      </c>
      <c r="DX398" s="3">
        <v>224790.32</v>
      </c>
      <c r="DY398">
        <v>0</v>
      </c>
      <c r="EF398" s="1">
        <v>46078</v>
      </c>
      <c r="EG398" s="1">
        <v>46076</v>
      </c>
      <c r="EK398" s="1">
        <v>46078</v>
      </c>
      <c r="EN398" t="s">
        <v>172</v>
      </c>
      <c r="EP398" s="1">
        <v>46077</v>
      </c>
      <c r="EU398" s="1">
        <v>46087</v>
      </c>
      <c r="EW398" s="1">
        <v>46074</v>
      </c>
    </row>
    <row r="399" spans="1:153" ht="246.5" x14ac:dyDescent="0.35">
      <c r="A399" t="str">
        <f>HYPERLINK("https://7lm.cvcrm.com.br/gestor/comercial/reservas/6721/administrar","6721")</f>
        <v>6721</v>
      </c>
      <c r="B399" t="s">
        <v>156</v>
      </c>
      <c r="C399" s="1">
        <v>46074</v>
      </c>
      <c r="D399" s="2">
        <v>0.64702546296296293</v>
      </c>
      <c r="E399" t="s">
        <v>294</v>
      </c>
      <c r="F399" t="s">
        <v>202</v>
      </c>
      <c r="G399" t="s">
        <v>203</v>
      </c>
      <c r="H399" t="s">
        <v>217</v>
      </c>
      <c r="I399" t="s">
        <v>2603</v>
      </c>
      <c r="J399">
        <v>1</v>
      </c>
      <c r="L399">
        <v>20031</v>
      </c>
      <c r="M399" t="s">
        <v>2604</v>
      </c>
      <c r="N399" s="1">
        <v>46094</v>
      </c>
      <c r="O399" s="2">
        <v>0.49502314814814813</v>
      </c>
      <c r="R399" t="str">
        <f>HYPERLINK("https://7lm.cvcrm.com.br/gestor/relatorios/associado/html?q[1|r.idreserva]=6721","LOYANE SANTOS DE ARAUJO")</f>
        <v>LOYANE SANTOS DE ARAUJO</v>
      </c>
      <c r="S399">
        <v>7755362108</v>
      </c>
      <c r="T399">
        <v>5561998775323</v>
      </c>
      <c r="V399" t="s">
        <v>2605</v>
      </c>
      <c r="W399" t="s">
        <v>187</v>
      </c>
      <c r="Y399" t="s">
        <v>189</v>
      </c>
      <c r="Z399" t="s">
        <v>214</v>
      </c>
      <c r="AA399" t="s">
        <v>2606</v>
      </c>
      <c r="AB399" t="s">
        <v>2607</v>
      </c>
      <c r="AC399" t="s">
        <v>1553</v>
      </c>
      <c r="AF399" t="s">
        <v>634</v>
      </c>
      <c r="AG399" t="s">
        <v>195</v>
      </c>
      <c r="AH399" s="3">
        <v>217018.56</v>
      </c>
      <c r="AI399" s="3">
        <v>217018.56</v>
      </c>
      <c r="AJ399" s="1">
        <v>46137</v>
      </c>
      <c r="AN399" t="s">
        <v>172</v>
      </c>
      <c r="AR399" s="7" t="s">
        <v>353</v>
      </c>
      <c r="AT399" t="s">
        <v>261</v>
      </c>
      <c r="AU399" t="s">
        <v>316</v>
      </c>
      <c r="AW399">
        <v>0</v>
      </c>
      <c r="AX399" s="1">
        <v>46107</v>
      </c>
      <c r="AY399" s="2">
        <v>0.67871527777777774</v>
      </c>
      <c r="AZ399">
        <v>103378</v>
      </c>
      <c r="BA399" s="1">
        <v>45298</v>
      </c>
      <c r="BB399" s="1">
        <v>46062</v>
      </c>
      <c r="BC399" t="s">
        <v>0</v>
      </c>
      <c r="BD399" s="1">
        <v>46074</v>
      </c>
      <c r="BE399" t="s">
        <v>276</v>
      </c>
      <c r="BL399" s="4">
        <v>0</v>
      </c>
      <c r="BM399" s="1">
        <v>46808</v>
      </c>
      <c r="BN399" s="1">
        <v>46107</v>
      </c>
      <c r="BO399">
        <v>0</v>
      </c>
      <c r="BP399">
        <v>28417</v>
      </c>
      <c r="BQ399" t="s">
        <v>156</v>
      </c>
      <c r="BR399" s="3">
        <v>128286.51</v>
      </c>
      <c r="BS399" s="3">
        <v>32693</v>
      </c>
      <c r="BT399">
        <v>0</v>
      </c>
      <c r="BU399" s="3">
        <v>160979.51</v>
      </c>
      <c r="BV399" s="3">
        <v>217018.56</v>
      </c>
      <c r="BX399">
        <v>0</v>
      </c>
      <c r="BZ399">
        <v>0</v>
      </c>
      <c r="CA399">
        <v>0</v>
      </c>
      <c r="CB399">
        <v>0</v>
      </c>
      <c r="CC399" s="3">
        <v>217018.56</v>
      </c>
      <c r="CD399" s="5">
        <v>0</v>
      </c>
      <c r="CF399" s="6">
        <v>46082</v>
      </c>
      <c r="CH399">
        <v>0</v>
      </c>
      <c r="CI399">
        <v>0</v>
      </c>
      <c r="CJ399">
        <v>0</v>
      </c>
      <c r="CK399">
        <v>0</v>
      </c>
      <c r="CL399">
        <v>0</v>
      </c>
      <c r="CM399">
        <v>0</v>
      </c>
      <c r="CN399">
        <v>0</v>
      </c>
      <c r="CO399">
        <v>0</v>
      </c>
      <c r="CP399">
        <v>0</v>
      </c>
      <c r="CQ399">
        <v>0</v>
      </c>
      <c r="CR399">
        <v>0</v>
      </c>
      <c r="CS399" t="s">
        <v>360</v>
      </c>
      <c r="CT399" t="s">
        <v>214</v>
      </c>
      <c r="CU399" t="s">
        <v>2603</v>
      </c>
      <c r="CW399">
        <v>-53.585099999999997</v>
      </c>
      <c r="CZ399" s="1">
        <v>46074</v>
      </c>
      <c r="DA399" t="s">
        <v>172</v>
      </c>
      <c r="DB399" t="s">
        <v>172</v>
      </c>
      <c r="DC399" t="s">
        <v>172</v>
      </c>
      <c r="DD399" t="s">
        <v>172</v>
      </c>
      <c r="DG399" s="1">
        <v>46074</v>
      </c>
      <c r="DH399">
        <v>0</v>
      </c>
      <c r="DI399">
        <v>0</v>
      </c>
      <c r="DL399" t="s">
        <v>224</v>
      </c>
      <c r="DM399" t="s">
        <v>172</v>
      </c>
      <c r="DN399" t="s">
        <v>201</v>
      </c>
      <c r="DV399" s="3">
        <v>217018.56</v>
      </c>
      <c r="DW399">
        <v>0</v>
      </c>
      <c r="DX399" s="3">
        <v>217018.56</v>
      </c>
      <c r="DY399">
        <v>0</v>
      </c>
      <c r="EF399" s="1">
        <v>46085</v>
      </c>
      <c r="EG399" s="1">
        <v>46084</v>
      </c>
      <c r="EK399" s="1">
        <v>46094</v>
      </c>
      <c r="EL399" s="1">
        <v>46094</v>
      </c>
      <c r="EN399" t="s">
        <v>156</v>
      </c>
      <c r="EP399" s="1">
        <v>46106</v>
      </c>
      <c r="ET399" t="s">
        <v>2608</v>
      </c>
      <c r="EW399" s="1">
        <v>46074</v>
      </c>
    </row>
    <row r="400" spans="1:153" ht="409.5" x14ac:dyDescent="0.35">
      <c r="A400" t="str">
        <f>HYPERLINK("https://7lm.cvcrm.com.br/gestor/comercial/reservas/6720/administrar","6720")</f>
        <v>6720</v>
      </c>
      <c r="B400" t="s">
        <v>156</v>
      </c>
      <c r="C400" s="1">
        <v>46074</v>
      </c>
      <c r="D400" s="2">
        <v>0.61870370370370376</v>
      </c>
      <c r="E400" t="s">
        <v>1310</v>
      </c>
      <c r="F400" t="s">
        <v>202</v>
      </c>
      <c r="G400" t="s">
        <v>203</v>
      </c>
      <c r="H400" t="s">
        <v>319</v>
      </c>
      <c r="I400" t="s">
        <v>1039</v>
      </c>
      <c r="J400">
        <v>1</v>
      </c>
      <c r="L400">
        <v>20031</v>
      </c>
      <c r="M400" t="s">
        <v>1040</v>
      </c>
      <c r="N400" s="1">
        <v>46084</v>
      </c>
      <c r="O400" s="2">
        <v>0.65576388888888892</v>
      </c>
      <c r="R400" t="str">
        <f>HYPERLINK("https://7lm.cvcrm.com.br/gestor/relatorios/associado/html?q[1|r.idreserva]=6720","MARCOS ALEXANDRE OLIVEIRA DA CRUZ")</f>
        <v>MARCOS ALEXANDRE OLIVEIRA DA CRUZ</v>
      </c>
      <c r="S400">
        <v>8118138194</v>
      </c>
      <c r="T400">
        <v>5561981086177</v>
      </c>
      <c r="V400" t="s">
        <v>2609</v>
      </c>
      <c r="W400" t="s">
        <v>163</v>
      </c>
      <c r="X400" t="s">
        <v>2610</v>
      </c>
      <c r="AA400" t="s">
        <v>471</v>
      </c>
      <c r="AB400" t="s">
        <v>2611</v>
      </c>
      <c r="AC400" t="s">
        <v>2612</v>
      </c>
      <c r="AF400" t="s">
        <v>399</v>
      </c>
      <c r="AG400" t="s">
        <v>195</v>
      </c>
      <c r="AH400" s="3">
        <v>229669.31</v>
      </c>
      <c r="AI400" s="3">
        <v>229669.31</v>
      </c>
      <c r="AJ400" s="1">
        <v>46087</v>
      </c>
      <c r="AN400" t="s">
        <v>172</v>
      </c>
      <c r="AR400" s="7" t="s">
        <v>2613</v>
      </c>
      <c r="AT400" t="s">
        <v>196</v>
      </c>
      <c r="AU400" t="s">
        <v>1073</v>
      </c>
      <c r="AW400">
        <v>0</v>
      </c>
      <c r="AX400" s="1">
        <v>46092</v>
      </c>
      <c r="AY400" s="2">
        <v>0.63792824074074073</v>
      </c>
      <c r="BL400" s="4">
        <v>0</v>
      </c>
      <c r="BM400" s="1">
        <v>46808</v>
      </c>
      <c r="BN400" s="1">
        <v>46087</v>
      </c>
      <c r="BO400">
        <v>0</v>
      </c>
      <c r="BP400">
        <v>28163</v>
      </c>
      <c r="BQ400" t="s">
        <v>156</v>
      </c>
      <c r="BR400" s="3">
        <v>142963.45000000001</v>
      </c>
      <c r="BS400" s="3">
        <v>14743</v>
      </c>
      <c r="BT400">
        <v>0</v>
      </c>
      <c r="BU400" s="3">
        <v>157706.45000000001</v>
      </c>
      <c r="BV400" s="3">
        <v>229669.31</v>
      </c>
      <c r="BX400">
        <v>0</v>
      </c>
      <c r="BZ400">
        <v>0</v>
      </c>
      <c r="CA400">
        <v>0</v>
      </c>
      <c r="CB400">
        <v>0</v>
      </c>
      <c r="CC400" s="3">
        <v>229669.31</v>
      </c>
      <c r="CD400" s="5">
        <v>0</v>
      </c>
      <c r="CF400" s="6">
        <v>46082</v>
      </c>
      <c r="CH400">
        <v>0</v>
      </c>
      <c r="CI400">
        <v>0</v>
      </c>
      <c r="CJ400">
        <v>0</v>
      </c>
      <c r="CK400">
        <v>0</v>
      </c>
      <c r="CL400">
        <v>0</v>
      </c>
      <c r="CM400">
        <v>0</v>
      </c>
      <c r="CN400">
        <v>0</v>
      </c>
      <c r="CO400">
        <v>0</v>
      </c>
      <c r="CP400">
        <v>0</v>
      </c>
      <c r="CQ400">
        <v>0</v>
      </c>
      <c r="CR400">
        <v>0</v>
      </c>
      <c r="CS400" t="s">
        <v>360</v>
      </c>
      <c r="CT400" t="s">
        <v>214</v>
      </c>
      <c r="CU400" t="s">
        <v>1039</v>
      </c>
      <c r="CW400">
        <v>-50.408700000000003</v>
      </c>
      <c r="CZ400" s="1">
        <v>46074</v>
      </c>
      <c r="DA400" t="s">
        <v>172</v>
      </c>
      <c r="DB400" t="s">
        <v>172</v>
      </c>
      <c r="DC400" t="s">
        <v>172</v>
      </c>
      <c r="DD400" t="s">
        <v>172</v>
      </c>
      <c r="DG400" s="1">
        <v>46074</v>
      </c>
      <c r="DH400">
        <v>0</v>
      </c>
      <c r="DI400">
        <v>0</v>
      </c>
      <c r="DL400" t="s">
        <v>224</v>
      </c>
      <c r="DM400" t="s">
        <v>172</v>
      </c>
      <c r="DN400" t="s">
        <v>525</v>
      </c>
      <c r="DV400" s="3">
        <v>229669.31</v>
      </c>
      <c r="DW400">
        <v>0</v>
      </c>
      <c r="DX400" s="3">
        <v>229669.31</v>
      </c>
      <c r="DY400">
        <v>0</v>
      </c>
      <c r="EG400" s="1">
        <v>46083</v>
      </c>
      <c r="EK400" s="1">
        <v>46084</v>
      </c>
      <c r="EL400" s="1">
        <v>46084</v>
      </c>
      <c r="EM400" s="1">
        <v>46084</v>
      </c>
      <c r="EN400" t="s">
        <v>537</v>
      </c>
      <c r="EP400" s="1">
        <v>46084</v>
      </c>
      <c r="EU400" s="1">
        <v>46087</v>
      </c>
      <c r="EW400" s="1">
        <v>46074</v>
      </c>
    </row>
    <row r="401" spans="1:153" ht="246.5" x14ac:dyDescent="0.35">
      <c r="A401" t="str">
        <f>HYPERLINK("https://7lm.cvcrm.com.br/gestor/comercial/reservas/6719/administrar","6719")</f>
        <v>6719</v>
      </c>
      <c r="B401" t="s">
        <v>156</v>
      </c>
      <c r="C401" s="1">
        <v>46074</v>
      </c>
      <c r="D401" s="2">
        <v>0.50467592592592592</v>
      </c>
      <c r="E401" t="s">
        <v>294</v>
      </c>
      <c r="F401" t="s">
        <v>216</v>
      </c>
      <c r="G401" t="s">
        <v>159</v>
      </c>
      <c r="H401" t="s">
        <v>306</v>
      </c>
      <c r="I401" t="s">
        <v>2091</v>
      </c>
      <c r="J401">
        <v>1</v>
      </c>
      <c r="L401">
        <v>20061</v>
      </c>
      <c r="M401" t="s">
        <v>2614</v>
      </c>
      <c r="N401" s="1">
        <v>46085</v>
      </c>
      <c r="O401" s="2">
        <v>0.55431712962962965</v>
      </c>
      <c r="R401" t="str">
        <f>HYPERLINK("https://7lm.cvcrm.com.br/gestor/relatorios/associado/html?q[1|r.idreserva]=6719","VIVIAN DE FREITAS SOUZA PEREIRA")</f>
        <v>VIVIAN DE FREITAS SOUZA PEREIRA</v>
      </c>
      <c r="S401">
        <v>8752350185</v>
      </c>
      <c r="T401">
        <v>5561994306120</v>
      </c>
      <c r="V401" t="s">
        <v>2615</v>
      </c>
      <c r="W401" t="s">
        <v>187</v>
      </c>
      <c r="X401" t="s">
        <v>452</v>
      </c>
      <c r="Y401" t="s">
        <v>165</v>
      </c>
      <c r="Z401" t="s">
        <v>257</v>
      </c>
      <c r="AA401" t="s">
        <v>2616</v>
      </c>
      <c r="AB401" t="s">
        <v>2617</v>
      </c>
      <c r="AC401" t="s">
        <v>411</v>
      </c>
      <c r="AD401" t="s">
        <v>412</v>
      </c>
      <c r="AF401" t="s">
        <v>634</v>
      </c>
      <c r="AG401" t="s">
        <v>195</v>
      </c>
      <c r="AH401" s="3">
        <v>203783.99</v>
      </c>
      <c r="AI401" s="3">
        <v>203783.99</v>
      </c>
      <c r="AJ401" s="1">
        <v>46127</v>
      </c>
      <c r="AN401" t="s">
        <v>172</v>
      </c>
      <c r="AR401" s="7" t="s">
        <v>353</v>
      </c>
      <c r="AT401" t="s">
        <v>196</v>
      </c>
      <c r="AU401" t="s">
        <v>590</v>
      </c>
      <c r="AW401">
        <v>0</v>
      </c>
      <c r="AX401" s="1">
        <v>46086</v>
      </c>
      <c r="AY401" s="2">
        <v>0.40707175925925926</v>
      </c>
      <c r="AZ401">
        <v>189350</v>
      </c>
      <c r="BA401" s="1">
        <v>46067</v>
      </c>
      <c r="BC401" t="s">
        <v>0</v>
      </c>
      <c r="BD401" s="1">
        <v>46074</v>
      </c>
      <c r="BE401" t="s">
        <v>1421</v>
      </c>
      <c r="BL401" s="4">
        <v>0</v>
      </c>
      <c r="BM401" s="1">
        <v>46995</v>
      </c>
      <c r="BN401" s="1">
        <v>46086</v>
      </c>
      <c r="BO401">
        <v>0</v>
      </c>
      <c r="BP401">
        <v>28609</v>
      </c>
      <c r="BQ401" t="s">
        <v>156</v>
      </c>
      <c r="BR401" s="3">
        <v>134273.21</v>
      </c>
      <c r="BS401" s="3">
        <v>20614</v>
      </c>
      <c r="BT401">
        <v>0</v>
      </c>
      <c r="BU401" s="3">
        <v>154887.21</v>
      </c>
      <c r="BV401" s="3">
        <v>203783.99</v>
      </c>
      <c r="BX401">
        <v>0</v>
      </c>
      <c r="BZ401">
        <v>0</v>
      </c>
      <c r="CA401">
        <v>0</v>
      </c>
      <c r="CB401">
        <v>0</v>
      </c>
      <c r="CC401" s="3">
        <v>203783.99</v>
      </c>
      <c r="CD401" s="5">
        <v>0</v>
      </c>
      <c r="CF401" s="6">
        <v>46082</v>
      </c>
      <c r="CH401">
        <v>0</v>
      </c>
      <c r="CI401">
        <v>0</v>
      </c>
      <c r="CJ401">
        <v>0</v>
      </c>
      <c r="CK401">
        <v>0</v>
      </c>
      <c r="CL401">
        <v>0</v>
      </c>
      <c r="CM401">
        <v>0</v>
      </c>
      <c r="CN401">
        <v>0</v>
      </c>
      <c r="CO401">
        <v>0</v>
      </c>
      <c r="CP401">
        <v>0</v>
      </c>
      <c r="CQ401">
        <v>0</v>
      </c>
      <c r="CR401">
        <v>0</v>
      </c>
      <c r="CS401" t="s">
        <v>360</v>
      </c>
      <c r="CT401" t="s">
        <v>214</v>
      </c>
      <c r="CU401" t="s">
        <v>2091</v>
      </c>
      <c r="CW401">
        <v>-55.600499999999997</v>
      </c>
      <c r="CZ401" s="1">
        <v>46074</v>
      </c>
      <c r="DA401" t="s">
        <v>172</v>
      </c>
      <c r="DB401" t="s">
        <v>172</v>
      </c>
      <c r="DC401" t="s">
        <v>172</v>
      </c>
      <c r="DD401" t="s">
        <v>172</v>
      </c>
      <c r="DG401" s="1">
        <v>46074</v>
      </c>
      <c r="DH401">
        <v>0</v>
      </c>
      <c r="DI401">
        <v>0</v>
      </c>
      <c r="DK401" t="s">
        <v>179</v>
      </c>
      <c r="DL401" t="s">
        <v>1157</v>
      </c>
      <c r="DM401" t="s">
        <v>172</v>
      </c>
      <c r="DN401" t="s">
        <v>795</v>
      </c>
      <c r="DV401" s="3">
        <v>203783.99</v>
      </c>
      <c r="DW401">
        <v>0</v>
      </c>
      <c r="DX401" s="3">
        <v>203783.99</v>
      </c>
      <c r="DY401">
        <v>0</v>
      </c>
      <c r="EG401" s="1">
        <v>46078</v>
      </c>
      <c r="EN401" t="s">
        <v>156</v>
      </c>
      <c r="EP401" s="1">
        <v>46079</v>
      </c>
      <c r="ET401" t="s">
        <v>2618</v>
      </c>
      <c r="EU401" s="1">
        <v>46079</v>
      </c>
      <c r="EW401" s="1">
        <v>46074</v>
      </c>
    </row>
    <row r="402" spans="1:153" ht="246.5" x14ac:dyDescent="0.35">
      <c r="A402" t="str">
        <f>HYPERLINK("https://7lm.cvcrm.com.br/gestor/comercial/reservas/6718/administrar","6718")</f>
        <v>6718</v>
      </c>
      <c r="B402" t="s">
        <v>156</v>
      </c>
      <c r="C402" s="1">
        <v>46074</v>
      </c>
      <c r="D402" s="2">
        <v>0.50170138888888893</v>
      </c>
      <c r="E402" t="s">
        <v>294</v>
      </c>
      <c r="F402" t="s">
        <v>957</v>
      </c>
      <c r="G402" t="s">
        <v>159</v>
      </c>
      <c r="H402" t="s">
        <v>2083</v>
      </c>
      <c r="I402" t="s">
        <v>2619</v>
      </c>
      <c r="J402">
        <v>1</v>
      </c>
      <c r="L402">
        <v>30121</v>
      </c>
      <c r="M402" t="s">
        <v>2620</v>
      </c>
      <c r="N402" s="1">
        <v>46079</v>
      </c>
      <c r="O402" s="2">
        <v>0.60581018518518515</v>
      </c>
      <c r="R402" t="str">
        <f>HYPERLINK("https://7lm.cvcrm.com.br/gestor/relatorios/associado/html?q[1|r.idreserva]=6718","CAMILA DOS SANTOS SOUZA")</f>
        <v>CAMILA DOS SANTOS SOUZA</v>
      </c>
      <c r="S402">
        <v>70923393161</v>
      </c>
      <c r="T402">
        <v>5561999369634</v>
      </c>
      <c r="V402" t="s">
        <v>2621</v>
      </c>
      <c r="W402" t="s">
        <v>187</v>
      </c>
      <c r="X402" t="s">
        <v>288</v>
      </c>
      <c r="Y402" t="s">
        <v>189</v>
      </c>
      <c r="Z402" t="s">
        <v>190</v>
      </c>
      <c r="AA402" t="s">
        <v>1739</v>
      </c>
      <c r="AB402" t="s">
        <v>2622</v>
      </c>
      <c r="AC402" t="s">
        <v>641</v>
      </c>
      <c r="AF402" t="s">
        <v>194</v>
      </c>
      <c r="AG402" t="s">
        <v>251</v>
      </c>
      <c r="AH402" s="3">
        <v>244931.23</v>
      </c>
      <c r="AI402" s="3">
        <v>244931.23</v>
      </c>
      <c r="AJ402" s="1">
        <v>46074</v>
      </c>
      <c r="AN402" t="s">
        <v>172</v>
      </c>
      <c r="AR402" s="7" t="s">
        <v>353</v>
      </c>
      <c r="AT402" t="s">
        <v>173</v>
      </c>
      <c r="AU402" t="s">
        <v>590</v>
      </c>
      <c r="AW402">
        <v>0</v>
      </c>
      <c r="AX402" s="1">
        <v>46083</v>
      </c>
      <c r="AY402" s="2">
        <v>0.33624999999999999</v>
      </c>
      <c r="AZ402">
        <v>188821</v>
      </c>
      <c r="BA402" s="1">
        <v>46064</v>
      </c>
      <c r="BC402" t="s">
        <v>0</v>
      </c>
      <c r="BD402" s="1">
        <v>46074</v>
      </c>
      <c r="BE402" t="s">
        <v>262</v>
      </c>
      <c r="BL402" s="4">
        <v>0</v>
      </c>
      <c r="BM402" s="1">
        <v>47031</v>
      </c>
      <c r="BN402" s="1">
        <v>46081</v>
      </c>
      <c r="BO402">
        <v>0</v>
      </c>
      <c r="BP402">
        <v>28538</v>
      </c>
      <c r="BQ402" t="s">
        <v>156</v>
      </c>
      <c r="BR402" s="3">
        <v>138749.82999999999</v>
      </c>
      <c r="BS402" s="3">
        <v>23276</v>
      </c>
      <c r="BT402">
        <v>0</v>
      </c>
      <c r="BU402" s="3">
        <v>162025.82999999999</v>
      </c>
      <c r="BV402" s="3">
        <v>244931.23</v>
      </c>
      <c r="BX402">
        <v>0</v>
      </c>
      <c r="BZ402">
        <v>0</v>
      </c>
      <c r="CA402">
        <v>0</v>
      </c>
      <c r="CB402">
        <v>0</v>
      </c>
      <c r="CC402" s="3">
        <v>244931.23</v>
      </c>
      <c r="CD402" s="5">
        <v>0</v>
      </c>
      <c r="CF402" s="6">
        <v>46054</v>
      </c>
      <c r="CH402">
        <v>0</v>
      </c>
      <c r="CI402">
        <v>0</v>
      </c>
      <c r="CJ402">
        <v>0</v>
      </c>
      <c r="CK402">
        <v>0</v>
      </c>
      <c r="CL402">
        <v>0</v>
      </c>
      <c r="CM402">
        <v>0</v>
      </c>
      <c r="CN402">
        <v>0</v>
      </c>
      <c r="CO402">
        <v>0</v>
      </c>
      <c r="CP402">
        <v>0</v>
      </c>
      <c r="CQ402">
        <v>0</v>
      </c>
      <c r="CR402">
        <v>0</v>
      </c>
      <c r="CS402" t="s">
        <v>360</v>
      </c>
      <c r="CT402" t="s">
        <v>190</v>
      </c>
      <c r="CU402" t="s">
        <v>2619</v>
      </c>
      <c r="CW402">
        <v>-47.679200000000002</v>
      </c>
      <c r="CZ402" s="1">
        <v>46074</v>
      </c>
      <c r="DA402" t="s">
        <v>172</v>
      </c>
      <c r="DB402" t="s">
        <v>172</v>
      </c>
      <c r="DC402" t="s">
        <v>172</v>
      </c>
      <c r="DD402" t="s">
        <v>172</v>
      </c>
      <c r="DG402" s="1">
        <v>46074</v>
      </c>
      <c r="DH402">
        <v>0</v>
      </c>
      <c r="DI402">
        <v>0</v>
      </c>
      <c r="DL402" t="s">
        <v>963</v>
      </c>
      <c r="DM402" t="s">
        <v>172</v>
      </c>
      <c r="DN402" t="s">
        <v>201</v>
      </c>
      <c r="DV402" s="3">
        <v>244931.23</v>
      </c>
      <c r="DW402">
        <v>0</v>
      </c>
      <c r="DX402" s="3">
        <v>244931.23</v>
      </c>
      <c r="DY402">
        <v>0</v>
      </c>
      <c r="EF402" s="1">
        <v>46079</v>
      </c>
      <c r="EG402" s="1">
        <v>46077</v>
      </c>
      <c r="EK402" s="1">
        <v>46079</v>
      </c>
      <c r="EL402" s="1">
        <v>46079</v>
      </c>
      <c r="EM402" s="1">
        <v>46079</v>
      </c>
      <c r="EN402" t="s">
        <v>172</v>
      </c>
      <c r="EP402" s="1">
        <v>46078</v>
      </c>
      <c r="ER402" s="1">
        <v>46077</v>
      </c>
      <c r="ES402" t="s">
        <v>2623</v>
      </c>
      <c r="ET402" t="s">
        <v>1930</v>
      </c>
      <c r="EU402" s="1">
        <v>46078</v>
      </c>
      <c r="EW402" s="1">
        <v>46074</v>
      </c>
    </row>
    <row r="403" spans="1:153" ht="246.5" x14ac:dyDescent="0.35">
      <c r="A403" t="str">
        <f>HYPERLINK("https://7lm.cvcrm.com.br/gestor/comercial/reservas/6717/administrar","6717")</f>
        <v>6717</v>
      </c>
      <c r="B403" t="s">
        <v>156</v>
      </c>
      <c r="C403" s="1">
        <v>46074</v>
      </c>
      <c r="D403" s="2">
        <v>0.40193287037037034</v>
      </c>
      <c r="E403" t="s">
        <v>294</v>
      </c>
      <c r="F403" t="s">
        <v>2451</v>
      </c>
      <c r="G403" t="s">
        <v>203</v>
      </c>
      <c r="H403" t="s">
        <v>204</v>
      </c>
      <c r="I403" t="s">
        <v>672</v>
      </c>
      <c r="J403">
        <v>1</v>
      </c>
      <c r="L403">
        <v>30061</v>
      </c>
      <c r="M403" t="s">
        <v>2624</v>
      </c>
      <c r="N403" s="1">
        <v>46078</v>
      </c>
      <c r="O403" s="2">
        <v>0.42296296296296299</v>
      </c>
      <c r="R403" t="str">
        <f>HYPERLINK("https://7lm.cvcrm.com.br/gestor/relatorios/associado/html?q[1|r.idreserva]=6717","DANIELE DE SOUZA")</f>
        <v>DANIELE DE SOUZA</v>
      </c>
      <c r="S403">
        <v>71149423110</v>
      </c>
      <c r="T403">
        <v>5561996470858</v>
      </c>
      <c r="V403" t="s">
        <v>2625</v>
      </c>
      <c r="W403" t="s">
        <v>187</v>
      </c>
      <c r="X403" t="s">
        <v>2626</v>
      </c>
      <c r="Y403" t="s">
        <v>189</v>
      </c>
      <c r="Z403" t="s">
        <v>190</v>
      </c>
      <c r="AA403" t="s">
        <v>806</v>
      </c>
      <c r="AB403" t="s">
        <v>2627</v>
      </c>
      <c r="AC403" t="s">
        <v>2088</v>
      </c>
      <c r="AD403" t="s">
        <v>2088</v>
      </c>
      <c r="AF403" t="s">
        <v>303</v>
      </c>
      <c r="AG403" t="s">
        <v>251</v>
      </c>
      <c r="AH403" s="3">
        <v>245001.93</v>
      </c>
      <c r="AI403" s="3">
        <v>245001.93</v>
      </c>
      <c r="AJ403" s="1">
        <v>46137</v>
      </c>
      <c r="AN403" t="s">
        <v>172</v>
      </c>
      <c r="AR403" s="7" t="s">
        <v>353</v>
      </c>
      <c r="AT403" t="s">
        <v>196</v>
      </c>
      <c r="AU403" t="s">
        <v>292</v>
      </c>
      <c r="AW403">
        <v>0</v>
      </c>
      <c r="AX403" s="1">
        <v>46079</v>
      </c>
      <c r="AY403" s="2">
        <v>0.46660879629629631</v>
      </c>
      <c r="AZ403" t="s">
        <v>2628</v>
      </c>
      <c r="BA403" t="s">
        <v>2629</v>
      </c>
      <c r="BB403" t="s">
        <v>356</v>
      </c>
      <c r="BC403" t="s">
        <v>357</v>
      </c>
      <c r="BD403" t="s">
        <v>2630</v>
      </c>
      <c r="BE403" t="s">
        <v>487</v>
      </c>
      <c r="BL403" s="4">
        <v>0</v>
      </c>
      <c r="BM403" s="1">
        <v>46788</v>
      </c>
      <c r="BN403" s="1">
        <v>46079</v>
      </c>
      <c r="BO403">
        <v>0</v>
      </c>
      <c r="BP403">
        <v>28299</v>
      </c>
      <c r="BQ403" t="s">
        <v>156</v>
      </c>
      <c r="BR403" s="3">
        <v>134341.45000000001</v>
      </c>
      <c r="BS403" s="3">
        <v>19010</v>
      </c>
      <c r="BT403">
        <v>0</v>
      </c>
      <c r="BU403" s="3">
        <v>153351.45000000001</v>
      </c>
      <c r="BV403" s="3">
        <v>245001.93</v>
      </c>
      <c r="BX403">
        <v>0</v>
      </c>
      <c r="BZ403">
        <v>0</v>
      </c>
      <c r="CA403">
        <v>0</v>
      </c>
      <c r="CB403">
        <v>0</v>
      </c>
      <c r="CC403" s="3">
        <v>245001.93</v>
      </c>
      <c r="CD403" s="5">
        <v>0</v>
      </c>
      <c r="CF403" s="6">
        <v>46054</v>
      </c>
      <c r="CH403">
        <v>0</v>
      </c>
      <c r="CI403">
        <v>0</v>
      </c>
      <c r="CJ403">
        <v>0</v>
      </c>
      <c r="CK403">
        <v>0</v>
      </c>
      <c r="CL403">
        <v>0</v>
      </c>
      <c r="CM403">
        <v>0</v>
      </c>
      <c r="CN403">
        <v>0</v>
      </c>
      <c r="CO403">
        <v>0</v>
      </c>
      <c r="CP403">
        <v>0</v>
      </c>
      <c r="CQ403">
        <v>0</v>
      </c>
      <c r="CR403">
        <v>0</v>
      </c>
      <c r="CS403" t="s">
        <v>649</v>
      </c>
      <c r="CT403" t="s">
        <v>190</v>
      </c>
      <c r="CU403" t="s">
        <v>672</v>
      </c>
      <c r="CW403">
        <v>-49.521299999999997</v>
      </c>
      <c r="CZ403" s="1">
        <v>46074</v>
      </c>
      <c r="DA403" t="s">
        <v>172</v>
      </c>
      <c r="DB403" t="s">
        <v>172</v>
      </c>
      <c r="DC403" t="s">
        <v>172</v>
      </c>
      <c r="DD403" t="s">
        <v>172</v>
      </c>
      <c r="DG403" s="1">
        <v>46074</v>
      </c>
      <c r="DH403">
        <v>0</v>
      </c>
      <c r="DI403">
        <v>0</v>
      </c>
      <c r="DL403" t="s">
        <v>2473</v>
      </c>
      <c r="DM403" t="s">
        <v>172</v>
      </c>
      <c r="DN403" t="s">
        <v>225</v>
      </c>
      <c r="DV403" s="3">
        <v>245001.93</v>
      </c>
      <c r="DW403">
        <v>0</v>
      </c>
      <c r="DX403" s="3">
        <v>245001.93</v>
      </c>
      <c r="DY403">
        <v>0</v>
      </c>
      <c r="EG403" s="1">
        <v>46077</v>
      </c>
      <c r="EN403" t="s">
        <v>172</v>
      </c>
      <c r="EP403" s="1">
        <v>46078</v>
      </c>
      <c r="ER403" s="1">
        <v>46076</v>
      </c>
      <c r="ES403" t="s">
        <v>2631</v>
      </c>
      <c r="ET403" t="s">
        <v>2168</v>
      </c>
      <c r="EU403" s="1">
        <v>46077</v>
      </c>
      <c r="EW403" s="1">
        <v>46074</v>
      </c>
    </row>
    <row r="404" spans="1:153" ht="246.5" x14ac:dyDescent="0.35">
      <c r="A404" t="str">
        <f>HYPERLINK("https://7lm.cvcrm.com.br/gestor/comercial/reservas/6716/administrar","6716")</f>
        <v>6716</v>
      </c>
      <c r="B404" t="s">
        <v>156</v>
      </c>
      <c r="C404" s="1">
        <v>46073</v>
      </c>
      <c r="D404" s="2">
        <v>0.77075231481481477</v>
      </c>
      <c r="E404" t="s">
        <v>294</v>
      </c>
      <c r="F404" t="s">
        <v>957</v>
      </c>
      <c r="G404" t="s">
        <v>159</v>
      </c>
      <c r="H404" t="s">
        <v>592</v>
      </c>
      <c r="I404" t="s">
        <v>2632</v>
      </c>
      <c r="J404">
        <v>1</v>
      </c>
      <c r="L404">
        <v>30121</v>
      </c>
      <c r="M404" t="s">
        <v>2633</v>
      </c>
      <c r="N404" s="1">
        <v>46078</v>
      </c>
      <c r="O404" s="2">
        <v>0.74872685185185184</v>
      </c>
      <c r="R404" t="str">
        <f>HYPERLINK("https://7lm.cvcrm.com.br/gestor/relatorios/associado/html?q[1|r.idreserva]=6716","JOSELIA FRANCISCO SOUZA")</f>
        <v>JOSELIA FRANCISCO SOUZA</v>
      </c>
      <c r="S404">
        <v>9586421171</v>
      </c>
      <c r="T404">
        <v>5561994666344</v>
      </c>
      <c r="V404" t="s">
        <v>2634</v>
      </c>
      <c r="W404" t="s">
        <v>187</v>
      </c>
      <c r="X404" t="s">
        <v>2635</v>
      </c>
      <c r="Y404" t="s">
        <v>189</v>
      </c>
      <c r="Z404" t="s">
        <v>190</v>
      </c>
      <c r="AA404" t="s">
        <v>2508</v>
      </c>
      <c r="AB404" t="s">
        <v>2636</v>
      </c>
      <c r="AC404" t="s">
        <v>482</v>
      </c>
      <c r="AF404" t="s">
        <v>194</v>
      </c>
      <c r="AG404" t="s">
        <v>251</v>
      </c>
      <c r="AH404" s="3">
        <v>245932.12</v>
      </c>
      <c r="AI404" s="3">
        <v>245932.12</v>
      </c>
      <c r="AJ404" s="1">
        <v>46073</v>
      </c>
      <c r="AN404" t="s">
        <v>172</v>
      </c>
      <c r="AR404" s="7" t="s">
        <v>353</v>
      </c>
      <c r="AT404" t="s">
        <v>261</v>
      </c>
      <c r="AU404" t="s">
        <v>590</v>
      </c>
      <c r="AW404">
        <v>0</v>
      </c>
      <c r="AX404" s="1">
        <v>46079</v>
      </c>
      <c r="AY404" s="2">
        <v>0.43307870370370372</v>
      </c>
      <c r="AZ404">
        <v>161254</v>
      </c>
      <c r="BA404" s="1">
        <v>45824</v>
      </c>
      <c r="BC404" t="s">
        <v>0</v>
      </c>
      <c r="BD404" s="1">
        <v>46073</v>
      </c>
      <c r="BE404" t="s">
        <v>317</v>
      </c>
      <c r="BL404" s="4">
        <v>0</v>
      </c>
      <c r="BM404" s="1">
        <v>47031</v>
      </c>
      <c r="BN404" s="1">
        <v>46079</v>
      </c>
      <c r="BO404">
        <v>0</v>
      </c>
      <c r="BP404">
        <v>28726</v>
      </c>
      <c r="BQ404" t="s">
        <v>156</v>
      </c>
      <c r="BR404" s="3">
        <v>139847.54</v>
      </c>
      <c r="BS404" s="3">
        <v>22599</v>
      </c>
      <c r="BT404">
        <v>0</v>
      </c>
      <c r="BU404" s="3">
        <v>162446.54</v>
      </c>
      <c r="BV404" s="3">
        <v>245932.12</v>
      </c>
      <c r="BX404">
        <v>0</v>
      </c>
      <c r="BZ404">
        <v>0</v>
      </c>
      <c r="CA404">
        <v>0</v>
      </c>
      <c r="CB404">
        <v>0</v>
      </c>
      <c r="CC404" s="3">
        <v>245932.12</v>
      </c>
      <c r="CD404" s="5">
        <v>0</v>
      </c>
      <c r="CF404" s="6">
        <v>46054</v>
      </c>
      <c r="CH404">
        <v>0</v>
      </c>
      <c r="CI404">
        <v>0</v>
      </c>
      <c r="CJ404">
        <v>0</v>
      </c>
      <c r="CK404">
        <v>0</v>
      </c>
      <c r="CL404">
        <v>0</v>
      </c>
      <c r="CM404">
        <v>0</v>
      </c>
      <c r="CN404">
        <v>0</v>
      </c>
      <c r="CO404">
        <v>0</v>
      </c>
      <c r="CP404">
        <v>0</v>
      </c>
      <c r="CQ404">
        <v>0</v>
      </c>
      <c r="CR404">
        <v>0</v>
      </c>
      <c r="CS404" t="s">
        <v>360</v>
      </c>
      <c r="CT404" t="s">
        <v>190</v>
      </c>
      <c r="CU404" t="s">
        <v>2632</v>
      </c>
      <c r="CW404">
        <v>-48.167299999999997</v>
      </c>
      <c r="CZ404" s="1">
        <v>46073</v>
      </c>
      <c r="DA404" t="s">
        <v>172</v>
      </c>
      <c r="DB404" t="s">
        <v>172</v>
      </c>
      <c r="DC404" t="s">
        <v>172</v>
      </c>
      <c r="DD404" t="s">
        <v>172</v>
      </c>
      <c r="DG404" s="1">
        <v>46073</v>
      </c>
      <c r="DH404">
        <v>0</v>
      </c>
      <c r="DI404">
        <v>0</v>
      </c>
      <c r="DL404" t="s">
        <v>963</v>
      </c>
      <c r="DM404" t="s">
        <v>172</v>
      </c>
      <c r="DN404" t="s">
        <v>201</v>
      </c>
      <c r="DV404" s="3">
        <v>245932.12</v>
      </c>
      <c r="DW404">
        <v>0</v>
      </c>
      <c r="DX404" s="3">
        <v>245932.12</v>
      </c>
      <c r="DY404">
        <v>0</v>
      </c>
      <c r="EG404" s="1">
        <v>46076</v>
      </c>
      <c r="EN404" t="s">
        <v>172</v>
      </c>
      <c r="EP404" s="1">
        <v>46078</v>
      </c>
      <c r="ER404" s="1">
        <v>46077</v>
      </c>
      <c r="ES404" t="s">
        <v>2637</v>
      </c>
      <c r="ET404" t="s">
        <v>2638</v>
      </c>
      <c r="EU404" s="1">
        <v>46078</v>
      </c>
    </row>
    <row r="405" spans="1:153" x14ac:dyDescent="0.35">
      <c r="A405" t="str">
        <f>HYPERLINK("https://7lm.cvcrm.com.br/gestor/comercial/reservas/6715/administrar","6715")</f>
        <v>6715</v>
      </c>
      <c r="B405" t="s">
        <v>172</v>
      </c>
      <c r="C405" s="1">
        <v>46073</v>
      </c>
      <c r="D405" s="2">
        <v>0.7481944444444445</v>
      </c>
      <c r="E405" t="s">
        <v>527</v>
      </c>
      <c r="F405" t="s">
        <v>202</v>
      </c>
      <c r="G405" t="s">
        <v>203</v>
      </c>
      <c r="H405" t="s">
        <v>404</v>
      </c>
      <c r="I405" t="s">
        <v>468</v>
      </c>
      <c r="J405">
        <v>1</v>
      </c>
      <c r="L405">
        <v>20031</v>
      </c>
      <c r="M405" t="s">
        <v>469</v>
      </c>
      <c r="R405" t="str">
        <f>HYPERLINK("https://7lm.cvcrm.com.br/gestor/relatorios/associado/html?q[1|r.idreserva]=6715","VIVIAN DE FREITAS SOUZA PEREIRA")</f>
        <v>VIVIAN DE FREITAS SOUZA PEREIRA</v>
      </c>
      <c r="S405">
        <v>8752350185</v>
      </c>
      <c r="T405">
        <v>5561994306120</v>
      </c>
      <c r="V405" t="s">
        <v>2615</v>
      </c>
      <c r="W405" t="s">
        <v>187</v>
      </c>
      <c r="X405" t="s">
        <v>452</v>
      </c>
      <c r="Y405" t="s">
        <v>165</v>
      </c>
      <c r="Z405" t="s">
        <v>257</v>
      </c>
      <c r="AA405" t="s">
        <v>2616</v>
      </c>
      <c r="AB405" t="s">
        <v>2617</v>
      </c>
      <c r="AC405" t="s">
        <v>411</v>
      </c>
      <c r="AD405" t="s">
        <v>412</v>
      </c>
      <c r="AF405" t="s">
        <v>634</v>
      </c>
      <c r="AG405" t="s">
        <v>195</v>
      </c>
      <c r="AH405" s="3">
        <v>213999.21</v>
      </c>
      <c r="AI405" s="3">
        <v>213999.21</v>
      </c>
      <c r="AJ405" s="1">
        <v>46127</v>
      </c>
      <c r="AN405" t="s">
        <v>172</v>
      </c>
      <c r="AO405" t="s">
        <v>725</v>
      </c>
      <c r="AP405" t="s">
        <v>2639</v>
      </c>
      <c r="AT405" t="s">
        <v>196</v>
      </c>
      <c r="AU405" t="s">
        <v>590</v>
      </c>
      <c r="AW405">
        <v>0</v>
      </c>
      <c r="AX405" s="1">
        <v>46074</v>
      </c>
      <c r="AY405" s="2">
        <v>0.50314814814814812</v>
      </c>
      <c r="AZ405">
        <v>189350</v>
      </c>
      <c r="BA405" s="1">
        <v>46067</v>
      </c>
      <c r="BC405" t="s">
        <v>0</v>
      </c>
      <c r="BD405" s="1">
        <v>46074</v>
      </c>
      <c r="BE405" t="s">
        <v>1421</v>
      </c>
      <c r="BL405" s="4">
        <v>0</v>
      </c>
      <c r="BM405" s="1">
        <v>46808</v>
      </c>
      <c r="BO405">
        <v>0</v>
      </c>
      <c r="BP405">
        <v>28609</v>
      </c>
      <c r="BQ405" t="s">
        <v>156</v>
      </c>
      <c r="BR405" s="3">
        <v>134273.21</v>
      </c>
      <c r="BS405" s="3">
        <v>19830</v>
      </c>
      <c r="BT405">
        <v>0</v>
      </c>
      <c r="BU405" s="3">
        <v>154103.21</v>
      </c>
      <c r="BV405" s="3">
        <v>213999.21</v>
      </c>
      <c r="BX405">
        <v>0</v>
      </c>
      <c r="BZ405">
        <v>0</v>
      </c>
      <c r="CA405">
        <v>0</v>
      </c>
      <c r="CB405">
        <v>0</v>
      </c>
      <c r="CC405" s="3">
        <v>213999.21</v>
      </c>
      <c r="CD405" s="5">
        <v>0</v>
      </c>
      <c r="CF405" s="6">
        <v>46054</v>
      </c>
      <c r="CH405">
        <v>0</v>
      </c>
      <c r="CI405">
        <v>0</v>
      </c>
      <c r="CJ405">
        <v>0</v>
      </c>
      <c r="CK405">
        <v>0</v>
      </c>
      <c r="CL405">
        <v>0</v>
      </c>
      <c r="CM405">
        <v>0</v>
      </c>
      <c r="CN405">
        <v>0</v>
      </c>
      <c r="CO405">
        <v>0</v>
      </c>
      <c r="CP405">
        <v>0</v>
      </c>
      <c r="CQ405">
        <v>0</v>
      </c>
      <c r="CR405">
        <v>0</v>
      </c>
      <c r="CT405" t="s">
        <v>214</v>
      </c>
      <c r="CU405" t="s">
        <v>468</v>
      </c>
      <c r="CW405">
        <v>0</v>
      </c>
      <c r="CZ405" s="1">
        <v>46073</v>
      </c>
      <c r="DA405" t="s">
        <v>172</v>
      </c>
      <c r="DB405" t="s">
        <v>172</v>
      </c>
      <c r="DC405" t="s">
        <v>172</v>
      </c>
      <c r="DD405" t="s">
        <v>172</v>
      </c>
      <c r="DG405" s="1">
        <v>46073</v>
      </c>
      <c r="DH405">
        <v>0</v>
      </c>
      <c r="DI405">
        <v>0</v>
      </c>
      <c r="DL405" t="s">
        <v>215</v>
      </c>
      <c r="DM405" t="s">
        <v>172</v>
      </c>
      <c r="DN405" t="s">
        <v>201</v>
      </c>
      <c r="DV405" s="3">
        <v>213999.21</v>
      </c>
      <c r="DW405">
        <v>0</v>
      </c>
      <c r="DX405" s="3">
        <v>213999.21</v>
      </c>
      <c r="DY405">
        <v>0</v>
      </c>
      <c r="EN405" t="s">
        <v>172</v>
      </c>
      <c r="EU405" s="1">
        <v>46076</v>
      </c>
      <c r="EW405" s="1">
        <v>46073</v>
      </c>
    </row>
    <row r="406" spans="1:153" x14ac:dyDescent="0.35">
      <c r="A406" t="str">
        <f>HYPERLINK("https://7lm.cvcrm.com.br/gestor/comercial/reservas/6714/administrar","6714")</f>
        <v>6714</v>
      </c>
      <c r="B406" t="s">
        <v>172</v>
      </c>
      <c r="C406" s="1">
        <v>46073</v>
      </c>
      <c r="D406" s="2">
        <v>0.7336111111111111</v>
      </c>
      <c r="E406" t="s">
        <v>527</v>
      </c>
      <c r="F406" t="s">
        <v>957</v>
      </c>
      <c r="G406" t="s">
        <v>159</v>
      </c>
      <c r="H406" t="s">
        <v>636</v>
      </c>
      <c r="I406" t="s">
        <v>2640</v>
      </c>
      <c r="J406">
        <v>1</v>
      </c>
      <c r="L406">
        <v>30121</v>
      </c>
      <c r="M406" t="s">
        <v>2641</v>
      </c>
      <c r="R406" t="str">
        <f>HYPERLINK("https://7lm.cvcrm.com.br/gestor/relatorios/associado/html?q[1|r.idreserva]=6714","SAMUEL MENDES CARNEIRO")</f>
        <v>SAMUEL MENDES CARNEIRO</v>
      </c>
      <c r="S406">
        <v>7579656108</v>
      </c>
      <c r="T406">
        <v>5561998176905</v>
      </c>
      <c r="V406" t="s">
        <v>2642</v>
      </c>
      <c r="W406" t="s">
        <v>163</v>
      </c>
      <c r="X406" t="s">
        <v>288</v>
      </c>
      <c r="Y406" t="s">
        <v>189</v>
      </c>
      <c r="Z406" t="s">
        <v>190</v>
      </c>
      <c r="AA406" t="s">
        <v>1771</v>
      </c>
      <c r="AB406" t="s">
        <v>2643</v>
      </c>
      <c r="AC406" t="s">
        <v>1493</v>
      </c>
      <c r="AD406" t="s">
        <v>1493</v>
      </c>
      <c r="AF406" t="s">
        <v>250</v>
      </c>
      <c r="AG406" t="s">
        <v>251</v>
      </c>
      <c r="AH406" s="3">
        <v>246000.48</v>
      </c>
      <c r="AI406" s="3">
        <v>246000.48</v>
      </c>
      <c r="AJ406" s="1">
        <v>46080</v>
      </c>
      <c r="AN406" t="s">
        <v>172</v>
      </c>
      <c r="AO406" t="s">
        <v>535</v>
      </c>
      <c r="AR406" t="s">
        <v>2644</v>
      </c>
      <c r="AT406" t="s">
        <v>261</v>
      </c>
      <c r="AU406" t="s">
        <v>175</v>
      </c>
      <c r="AW406">
        <v>0</v>
      </c>
      <c r="AX406" s="1">
        <v>46091</v>
      </c>
      <c r="AY406" s="2">
        <v>0.48504629629629631</v>
      </c>
      <c r="AZ406">
        <v>166979</v>
      </c>
      <c r="BA406" s="1">
        <v>45878</v>
      </c>
      <c r="BC406" t="s">
        <v>0</v>
      </c>
      <c r="BD406" s="1">
        <v>46073</v>
      </c>
      <c r="BE406" t="s">
        <v>198</v>
      </c>
      <c r="BL406" s="4">
        <v>0</v>
      </c>
      <c r="BM406" s="1">
        <v>47031</v>
      </c>
      <c r="BO406">
        <v>0</v>
      </c>
      <c r="BP406">
        <v>28777</v>
      </c>
      <c r="BQ406" t="s">
        <v>156</v>
      </c>
      <c r="BR406">
        <v>0</v>
      </c>
      <c r="BS406">
        <v>0</v>
      </c>
      <c r="BT406">
        <v>0</v>
      </c>
      <c r="BU406">
        <v>0</v>
      </c>
      <c r="BV406" s="3">
        <v>246000.48</v>
      </c>
      <c r="BX406">
        <v>0</v>
      </c>
      <c r="BZ406">
        <v>0</v>
      </c>
      <c r="CA406">
        <v>0</v>
      </c>
      <c r="CB406">
        <v>0</v>
      </c>
      <c r="CC406" s="3">
        <v>246000.48</v>
      </c>
      <c r="CD406" s="5">
        <v>0</v>
      </c>
      <c r="CF406" s="6">
        <v>46082</v>
      </c>
      <c r="CH406">
        <v>0</v>
      </c>
      <c r="CI406">
        <v>0</v>
      </c>
      <c r="CJ406">
        <v>0</v>
      </c>
      <c r="CK406">
        <v>0</v>
      </c>
      <c r="CL406">
        <v>0</v>
      </c>
      <c r="CM406">
        <v>0</v>
      </c>
      <c r="CN406">
        <v>0</v>
      </c>
      <c r="CO406">
        <v>0</v>
      </c>
      <c r="CP406">
        <v>0</v>
      </c>
      <c r="CQ406">
        <v>0</v>
      </c>
      <c r="CR406">
        <v>0</v>
      </c>
      <c r="CT406" t="s">
        <v>190</v>
      </c>
      <c r="CU406" t="s">
        <v>2640</v>
      </c>
      <c r="CW406">
        <v>0</v>
      </c>
      <c r="CZ406" s="1">
        <v>46073</v>
      </c>
      <c r="DA406" t="s">
        <v>172</v>
      </c>
      <c r="DB406" t="s">
        <v>172</v>
      </c>
      <c r="DC406" t="s">
        <v>172</v>
      </c>
      <c r="DD406" t="s">
        <v>172</v>
      </c>
      <c r="DG406" s="1">
        <v>46073</v>
      </c>
      <c r="DH406">
        <v>0</v>
      </c>
      <c r="DI406">
        <v>0</v>
      </c>
      <c r="DL406" t="s">
        <v>963</v>
      </c>
      <c r="DM406" t="s">
        <v>172</v>
      </c>
      <c r="DN406" t="s">
        <v>201</v>
      </c>
      <c r="DV406" s="3">
        <v>246000.48</v>
      </c>
      <c r="DW406">
        <v>0</v>
      </c>
      <c r="DX406" s="3">
        <v>246000.48</v>
      </c>
      <c r="DY406">
        <v>0</v>
      </c>
      <c r="EN406" t="s">
        <v>537</v>
      </c>
      <c r="ET406" t="s">
        <v>2645</v>
      </c>
      <c r="EW406" s="1">
        <v>46073</v>
      </c>
    </row>
    <row r="407" spans="1:153" ht="246.5" x14ac:dyDescent="0.35">
      <c r="A407" t="str">
        <f>HYPERLINK("https://7lm.cvcrm.com.br/gestor/comercial/reservas/6713/administrar","6713")</f>
        <v>6713</v>
      </c>
      <c r="B407" t="s">
        <v>156</v>
      </c>
      <c r="C407" s="1">
        <v>46072</v>
      </c>
      <c r="D407" s="2">
        <v>0.90554398148148152</v>
      </c>
      <c r="E407" t="s">
        <v>294</v>
      </c>
      <c r="F407" t="s">
        <v>458</v>
      </c>
      <c r="G407" t="s">
        <v>203</v>
      </c>
      <c r="H407" t="s">
        <v>277</v>
      </c>
      <c r="I407" t="s">
        <v>346</v>
      </c>
      <c r="J407">
        <v>1</v>
      </c>
      <c r="L407">
        <v>20001</v>
      </c>
      <c r="M407" t="s">
        <v>2646</v>
      </c>
      <c r="N407" s="1">
        <v>46075</v>
      </c>
      <c r="O407" s="2">
        <v>0.55305555555555552</v>
      </c>
      <c r="R407" t="str">
        <f>HYPERLINK("https://7lm.cvcrm.com.br/gestor/relatorios/associado/html?q[1|r.idreserva]=6713","JOVENIL BARBOSA DOS SANTOS")</f>
        <v>JOVENIL BARBOSA DOS SANTOS</v>
      </c>
      <c r="S407">
        <v>1139578154</v>
      </c>
      <c r="T407">
        <v>5561992640246</v>
      </c>
      <c r="V407" t="s">
        <v>2647</v>
      </c>
      <c r="W407" t="s">
        <v>163</v>
      </c>
      <c r="X407" t="s">
        <v>2648</v>
      </c>
      <c r="Y407" t="s">
        <v>189</v>
      </c>
      <c r="Z407" t="s">
        <v>2649</v>
      </c>
      <c r="AA407" t="s">
        <v>2650</v>
      </c>
      <c r="AB407" t="s">
        <v>2651</v>
      </c>
      <c r="AC407" t="s">
        <v>1466</v>
      </c>
      <c r="AF407" t="s">
        <v>413</v>
      </c>
      <c r="AG407" t="s">
        <v>195</v>
      </c>
      <c r="AH407" s="3">
        <v>227577</v>
      </c>
      <c r="AI407" s="3">
        <v>227577</v>
      </c>
      <c r="AJ407" s="1">
        <v>46127</v>
      </c>
      <c r="AN407" t="s">
        <v>172</v>
      </c>
      <c r="AR407" s="7" t="s">
        <v>353</v>
      </c>
      <c r="AT407" t="s">
        <v>261</v>
      </c>
      <c r="AU407" t="s">
        <v>316</v>
      </c>
      <c r="AW407">
        <v>0</v>
      </c>
      <c r="AX407" s="1">
        <v>46107</v>
      </c>
      <c r="AY407" s="2">
        <v>0.71945601851851848</v>
      </c>
      <c r="AZ407">
        <v>172630</v>
      </c>
      <c r="BA407" s="1">
        <v>45943</v>
      </c>
      <c r="BC407" t="s">
        <v>0</v>
      </c>
      <c r="BD407" s="1">
        <v>46072</v>
      </c>
      <c r="BE407" t="s">
        <v>317</v>
      </c>
      <c r="BL407" s="4">
        <v>0</v>
      </c>
      <c r="BM407" s="1">
        <v>46572</v>
      </c>
      <c r="BN407" s="1">
        <v>46107</v>
      </c>
      <c r="BO407">
        <v>0</v>
      </c>
      <c r="BP407">
        <v>28495</v>
      </c>
      <c r="BQ407" t="s">
        <v>156</v>
      </c>
      <c r="BR407" s="3">
        <v>172000</v>
      </c>
      <c r="BS407">
        <v>597</v>
      </c>
      <c r="BT407">
        <v>0</v>
      </c>
      <c r="BU407" s="3">
        <v>172597</v>
      </c>
      <c r="BV407" s="3">
        <v>227577</v>
      </c>
      <c r="BX407">
        <v>0</v>
      </c>
      <c r="BZ407">
        <v>0</v>
      </c>
      <c r="CA407">
        <v>0</v>
      </c>
      <c r="CB407">
        <v>0</v>
      </c>
      <c r="CC407" s="3">
        <v>227577</v>
      </c>
      <c r="CD407" s="5">
        <v>0</v>
      </c>
      <c r="CE407" t="s">
        <v>467</v>
      </c>
      <c r="CF407" s="6">
        <v>46082</v>
      </c>
      <c r="CH407">
        <v>0</v>
      </c>
      <c r="CI407">
        <v>0</v>
      </c>
      <c r="CJ407">
        <v>0</v>
      </c>
      <c r="CK407">
        <v>0</v>
      </c>
      <c r="CL407">
        <v>0</v>
      </c>
      <c r="CM407">
        <v>0</v>
      </c>
      <c r="CN407">
        <v>0</v>
      </c>
      <c r="CO407">
        <v>0</v>
      </c>
      <c r="CP407">
        <v>0</v>
      </c>
      <c r="CQ407">
        <v>0</v>
      </c>
      <c r="CR407">
        <v>0</v>
      </c>
      <c r="CS407" t="s">
        <v>415</v>
      </c>
      <c r="CT407" t="s">
        <v>214</v>
      </c>
      <c r="CU407" t="s">
        <v>346</v>
      </c>
      <c r="CW407">
        <v>-51.866100000000003</v>
      </c>
      <c r="CZ407" s="1">
        <v>46072</v>
      </c>
      <c r="DA407" t="s">
        <v>172</v>
      </c>
      <c r="DB407" t="s">
        <v>172</v>
      </c>
      <c r="DC407" t="s">
        <v>172</v>
      </c>
      <c r="DD407" t="s">
        <v>172</v>
      </c>
      <c r="DG407" s="1">
        <v>46072</v>
      </c>
      <c r="DH407">
        <v>0</v>
      </c>
      <c r="DI407">
        <v>0</v>
      </c>
      <c r="DL407" t="s">
        <v>200</v>
      </c>
      <c r="DM407" t="s">
        <v>172</v>
      </c>
      <c r="DN407" t="s">
        <v>201</v>
      </c>
      <c r="DV407" s="3">
        <v>227577</v>
      </c>
      <c r="DW407">
        <v>0</v>
      </c>
      <c r="DX407" s="3">
        <v>227577</v>
      </c>
      <c r="DY407">
        <v>0</v>
      </c>
      <c r="EF407" s="1">
        <v>46108</v>
      </c>
      <c r="EG407" s="1">
        <v>46107</v>
      </c>
      <c r="EK407" s="1">
        <v>46108</v>
      </c>
      <c r="EM407" s="1">
        <v>46094</v>
      </c>
      <c r="EN407" t="s">
        <v>156</v>
      </c>
      <c r="EP407" s="1">
        <v>46093</v>
      </c>
      <c r="ER407" s="1">
        <v>46093</v>
      </c>
      <c r="ES407" t="s">
        <v>2652</v>
      </c>
      <c r="ET407" t="s">
        <v>1074</v>
      </c>
      <c r="EU407" s="1">
        <v>46111</v>
      </c>
      <c r="EW407" s="1">
        <v>46072</v>
      </c>
    </row>
    <row r="408" spans="1:153" x14ac:dyDescent="0.35">
      <c r="A408" t="str">
        <f>HYPERLINK("https://7lm.cvcrm.com.br/gestor/comercial/reservas/6712/administrar","6712")</f>
        <v>6712</v>
      </c>
      <c r="B408" t="s">
        <v>172</v>
      </c>
      <c r="C408" s="1">
        <v>46072</v>
      </c>
      <c r="D408" s="2">
        <v>0.87761574074074078</v>
      </c>
      <c r="E408" t="s">
        <v>527</v>
      </c>
      <c r="F408" t="s">
        <v>458</v>
      </c>
      <c r="G408" t="s">
        <v>203</v>
      </c>
      <c r="H408" t="s">
        <v>306</v>
      </c>
      <c r="I408" t="s">
        <v>1214</v>
      </c>
      <c r="J408">
        <v>1</v>
      </c>
      <c r="K408">
        <v>8170</v>
      </c>
      <c r="L408">
        <v>20001</v>
      </c>
      <c r="M408" t="s">
        <v>1905</v>
      </c>
      <c r="R408" t="str">
        <f>HYPERLINK("https://7lm.cvcrm.com.br/gestor/relatorios/associado/html?q[1|r.idreserva]=6712","TAILINY MACEDO DE OLIVEIRA")</f>
        <v>TAILINY MACEDO DE OLIVEIRA</v>
      </c>
      <c r="S408">
        <v>4901526197</v>
      </c>
      <c r="T408">
        <v>5561981616092</v>
      </c>
      <c r="V408" t="s">
        <v>2581</v>
      </c>
      <c r="W408" t="s">
        <v>187</v>
      </c>
      <c r="X408" t="s">
        <v>2582</v>
      </c>
      <c r="Y408" t="s">
        <v>165</v>
      </c>
      <c r="Z408" t="s">
        <v>238</v>
      </c>
      <c r="AA408" t="s">
        <v>548</v>
      </c>
      <c r="AB408" t="s">
        <v>2583</v>
      </c>
      <c r="AC408" t="s">
        <v>2315</v>
      </c>
      <c r="AF408" t="s">
        <v>413</v>
      </c>
      <c r="AG408" t="s">
        <v>195</v>
      </c>
      <c r="AH408" s="3">
        <v>226126.81</v>
      </c>
      <c r="AI408" s="3">
        <v>226126.81</v>
      </c>
      <c r="AJ408" s="1">
        <v>46127</v>
      </c>
      <c r="AN408" t="s">
        <v>172</v>
      </c>
      <c r="AO408" t="s">
        <v>725</v>
      </c>
      <c r="AP408" t="s">
        <v>2653</v>
      </c>
      <c r="AR408" t="s">
        <v>2654</v>
      </c>
      <c r="AT408" t="s">
        <v>196</v>
      </c>
      <c r="AU408" t="s">
        <v>292</v>
      </c>
      <c r="AW408">
        <v>0</v>
      </c>
      <c r="AX408" s="1">
        <v>46079</v>
      </c>
      <c r="AY408" s="2">
        <v>0.66729166666666662</v>
      </c>
      <c r="AZ408">
        <v>189154</v>
      </c>
      <c r="BA408" s="1">
        <v>46066</v>
      </c>
      <c r="BC408" t="s">
        <v>0</v>
      </c>
      <c r="BD408" s="1">
        <v>46075</v>
      </c>
      <c r="BE408" t="s">
        <v>176</v>
      </c>
      <c r="BL408" s="4">
        <v>0</v>
      </c>
      <c r="BM408" s="1">
        <v>46572</v>
      </c>
      <c r="BO408">
        <v>0</v>
      </c>
      <c r="BP408">
        <v>28579</v>
      </c>
      <c r="BQ408" t="s">
        <v>156</v>
      </c>
      <c r="BR408" s="3">
        <v>134317.60999999999</v>
      </c>
      <c r="BS408" s="3">
        <v>27689</v>
      </c>
      <c r="BT408">
        <v>0</v>
      </c>
      <c r="BU408" s="3">
        <v>162006.60999999999</v>
      </c>
      <c r="BV408" s="3">
        <v>226126.81</v>
      </c>
      <c r="BX408">
        <v>0</v>
      </c>
      <c r="BZ408">
        <v>0</v>
      </c>
      <c r="CA408">
        <v>0</v>
      </c>
      <c r="CB408">
        <v>0</v>
      </c>
      <c r="CC408" s="3">
        <v>226126.81</v>
      </c>
      <c r="CD408" s="5">
        <v>0</v>
      </c>
      <c r="CE408" t="s">
        <v>467</v>
      </c>
      <c r="CF408" s="6">
        <v>46054</v>
      </c>
      <c r="CH408">
        <v>0</v>
      </c>
      <c r="CI408">
        <v>0</v>
      </c>
      <c r="CJ408">
        <v>0</v>
      </c>
      <c r="CK408">
        <v>0</v>
      </c>
      <c r="CL408">
        <v>0</v>
      </c>
      <c r="CM408">
        <v>0</v>
      </c>
      <c r="CN408">
        <v>0</v>
      </c>
      <c r="CO408">
        <v>0</v>
      </c>
      <c r="CP408">
        <v>0</v>
      </c>
      <c r="CQ408">
        <v>0</v>
      </c>
      <c r="CR408">
        <v>0</v>
      </c>
      <c r="CT408" t="s">
        <v>214</v>
      </c>
      <c r="CU408" t="s">
        <v>1214</v>
      </c>
      <c r="CW408">
        <v>0</v>
      </c>
      <c r="CZ408" s="1">
        <v>46072</v>
      </c>
      <c r="DA408" t="s">
        <v>172</v>
      </c>
      <c r="DB408" t="s">
        <v>172</v>
      </c>
      <c r="DC408" t="s">
        <v>172</v>
      </c>
      <c r="DD408" t="s">
        <v>172</v>
      </c>
      <c r="DG408" s="1">
        <v>46072</v>
      </c>
      <c r="DH408">
        <v>0</v>
      </c>
      <c r="DI408">
        <v>0</v>
      </c>
      <c r="DL408" t="s">
        <v>200</v>
      </c>
      <c r="DM408" t="s">
        <v>172</v>
      </c>
      <c r="DN408" t="s">
        <v>201</v>
      </c>
      <c r="DV408" s="3">
        <v>226126.81</v>
      </c>
      <c r="DW408">
        <v>0</v>
      </c>
      <c r="DX408" s="3">
        <v>226126.81</v>
      </c>
      <c r="DY408">
        <v>0</v>
      </c>
      <c r="EN408" t="s">
        <v>172</v>
      </c>
      <c r="ET408" t="s">
        <v>2655</v>
      </c>
      <c r="EW408" s="1">
        <v>46072</v>
      </c>
    </row>
    <row r="409" spans="1:153" x14ac:dyDescent="0.35">
      <c r="A409" t="str">
        <f>HYPERLINK("https://7lm.cvcrm.com.br/gestor/comercial/reservas/6711/administrar","6711")</f>
        <v>6711</v>
      </c>
      <c r="B409" t="s">
        <v>172</v>
      </c>
      <c r="C409" s="1">
        <v>46072</v>
      </c>
      <c r="D409" s="2">
        <v>0.84949074074074071</v>
      </c>
      <c r="E409" t="s">
        <v>527</v>
      </c>
      <c r="F409" t="s">
        <v>458</v>
      </c>
      <c r="G409" t="s">
        <v>203</v>
      </c>
      <c r="H409" t="s">
        <v>404</v>
      </c>
      <c r="I409" t="s">
        <v>1345</v>
      </c>
      <c r="J409">
        <v>1</v>
      </c>
      <c r="L409">
        <v>20001</v>
      </c>
      <c r="M409" t="s">
        <v>1346</v>
      </c>
      <c r="R409" t="str">
        <f>HYPERLINK("https://7lm.cvcrm.com.br/gestor/relatorios/associado/html?q[1|r.idreserva]=6711","JOAO VICTOR DE OLIVEIRA LOPES")</f>
        <v>JOAO VICTOR DE OLIVEIRA LOPES</v>
      </c>
      <c r="S409">
        <v>8291385106</v>
      </c>
      <c r="T409">
        <v>5561992905215</v>
      </c>
      <c r="V409" t="s">
        <v>2656</v>
      </c>
      <c r="W409" t="s">
        <v>163</v>
      </c>
      <c r="Y409" t="s">
        <v>165</v>
      </c>
      <c r="Z409" t="s">
        <v>385</v>
      </c>
      <c r="AA409" t="s">
        <v>783</v>
      </c>
      <c r="AB409" t="s">
        <v>2657</v>
      </c>
      <c r="AC409" t="s">
        <v>2418</v>
      </c>
      <c r="AD409" t="s">
        <v>2419</v>
      </c>
      <c r="AF409" t="s">
        <v>634</v>
      </c>
      <c r="AG409" t="s">
        <v>195</v>
      </c>
      <c r="AH409" s="3">
        <v>224999.22</v>
      </c>
      <c r="AI409" s="3">
        <v>224999.22</v>
      </c>
      <c r="AJ409" s="1">
        <v>46127</v>
      </c>
      <c r="AN409" t="s">
        <v>172</v>
      </c>
      <c r="AO409" t="s">
        <v>1175</v>
      </c>
      <c r="AR409" t="s">
        <v>2658</v>
      </c>
      <c r="AT409" t="s">
        <v>196</v>
      </c>
      <c r="AU409" t="s">
        <v>197</v>
      </c>
      <c r="AW409">
        <v>0</v>
      </c>
      <c r="AX409" s="1">
        <v>46113</v>
      </c>
      <c r="AY409" s="2">
        <v>0.4896759259259259</v>
      </c>
      <c r="AZ409">
        <v>190622</v>
      </c>
      <c r="BA409" s="1">
        <v>46072</v>
      </c>
      <c r="BC409" t="s">
        <v>0</v>
      </c>
      <c r="BD409" s="1">
        <v>46072</v>
      </c>
      <c r="BE409" t="s">
        <v>213</v>
      </c>
      <c r="BL409" s="4">
        <v>0</v>
      </c>
      <c r="BM409" s="1">
        <v>46572</v>
      </c>
      <c r="BO409">
        <v>0</v>
      </c>
      <c r="BP409">
        <v>28524</v>
      </c>
      <c r="BQ409" t="s">
        <v>156</v>
      </c>
      <c r="BR409" s="3">
        <v>104267.84</v>
      </c>
      <c r="BS409" s="3">
        <v>55000</v>
      </c>
      <c r="BT409">
        <v>0</v>
      </c>
      <c r="BU409" s="3">
        <v>159267.84</v>
      </c>
      <c r="BV409" s="3">
        <v>224999.22</v>
      </c>
      <c r="BX409">
        <v>0</v>
      </c>
      <c r="BZ409">
        <v>0</v>
      </c>
      <c r="CA409">
        <v>0</v>
      </c>
      <c r="CB409">
        <v>0</v>
      </c>
      <c r="CC409" s="3">
        <v>224999.22</v>
      </c>
      <c r="CD409" s="5">
        <v>0</v>
      </c>
      <c r="CE409" t="s">
        <v>467</v>
      </c>
      <c r="CF409" s="6">
        <v>46113</v>
      </c>
      <c r="CH409">
        <v>0</v>
      </c>
      <c r="CI409">
        <v>0</v>
      </c>
      <c r="CJ409">
        <v>0</v>
      </c>
      <c r="CK409">
        <v>0</v>
      </c>
      <c r="CL409">
        <v>0</v>
      </c>
      <c r="CM409">
        <v>0</v>
      </c>
      <c r="CN409">
        <v>0</v>
      </c>
      <c r="CO409">
        <v>0</v>
      </c>
      <c r="CP409">
        <v>0</v>
      </c>
      <c r="CQ409">
        <v>0</v>
      </c>
      <c r="CR409">
        <v>0</v>
      </c>
      <c r="CT409" t="s">
        <v>214</v>
      </c>
      <c r="CU409" t="s">
        <v>1345</v>
      </c>
      <c r="CW409">
        <v>0</v>
      </c>
      <c r="CZ409" s="1">
        <v>46072</v>
      </c>
      <c r="DA409" t="s">
        <v>172</v>
      </c>
      <c r="DB409" t="s">
        <v>172</v>
      </c>
      <c r="DC409" t="s">
        <v>172</v>
      </c>
      <c r="DD409" t="s">
        <v>172</v>
      </c>
      <c r="DG409" s="1">
        <v>46072</v>
      </c>
      <c r="DH409">
        <v>0</v>
      </c>
      <c r="DI409">
        <v>0</v>
      </c>
      <c r="DL409" t="s">
        <v>200</v>
      </c>
      <c r="DM409" t="s">
        <v>172</v>
      </c>
      <c r="DN409" t="s">
        <v>201</v>
      </c>
      <c r="DV409" s="3">
        <v>224999.22</v>
      </c>
      <c r="DW409">
        <v>0</v>
      </c>
      <c r="DX409" s="3">
        <v>224999.22</v>
      </c>
      <c r="DY409">
        <v>0</v>
      </c>
      <c r="EN409" t="s">
        <v>537</v>
      </c>
      <c r="ET409" t="s">
        <v>2659</v>
      </c>
      <c r="EW409" s="1">
        <v>46072</v>
      </c>
    </row>
    <row r="410" spans="1:153" ht="246.5" x14ac:dyDescent="0.35">
      <c r="A410" t="str">
        <f>HYPERLINK("https://7lm.cvcrm.com.br/gestor/comercial/reservas/6710/administrar","6710")</f>
        <v>6710</v>
      </c>
      <c r="B410" t="s">
        <v>156</v>
      </c>
      <c r="C410" s="1">
        <v>46072</v>
      </c>
      <c r="D410" s="2">
        <v>0.79298611111111106</v>
      </c>
      <c r="E410" t="s">
        <v>294</v>
      </c>
      <c r="F410" t="s">
        <v>202</v>
      </c>
      <c r="G410" t="s">
        <v>203</v>
      </c>
      <c r="H410" t="s">
        <v>204</v>
      </c>
      <c r="I410" t="s">
        <v>788</v>
      </c>
      <c r="J410">
        <v>1</v>
      </c>
      <c r="L410">
        <v>20031</v>
      </c>
      <c r="M410" t="s">
        <v>2660</v>
      </c>
      <c r="N410" s="1">
        <v>46079</v>
      </c>
      <c r="O410" s="2">
        <v>0.55402777777777779</v>
      </c>
      <c r="R410" t="str">
        <f>HYPERLINK("https://7lm.cvcrm.com.br/gestor/relatorios/associado/html?q[1|r.idreserva]=6710","EDUARDA CASTRO DE MORAIS")</f>
        <v>EDUARDA CASTRO DE MORAIS</v>
      </c>
      <c r="S410">
        <v>678401160</v>
      </c>
      <c r="T410">
        <v>5561991868458</v>
      </c>
      <c r="V410" t="s">
        <v>2661</v>
      </c>
      <c r="W410" t="s">
        <v>187</v>
      </c>
      <c r="X410" t="s">
        <v>299</v>
      </c>
      <c r="Y410" t="s">
        <v>189</v>
      </c>
      <c r="Z410" t="s">
        <v>214</v>
      </c>
      <c r="AA410" t="s">
        <v>1665</v>
      </c>
      <c r="AB410" t="s">
        <v>2662</v>
      </c>
      <c r="AC410" t="s">
        <v>1327</v>
      </c>
      <c r="AD410" t="s">
        <v>1328</v>
      </c>
      <c r="AF410" t="s">
        <v>634</v>
      </c>
      <c r="AG410" t="s">
        <v>195</v>
      </c>
      <c r="AH410" s="3">
        <v>215998.89</v>
      </c>
      <c r="AI410" s="3">
        <v>215998.89</v>
      </c>
      <c r="AJ410" s="1">
        <v>46127</v>
      </c>
      <c r="AN410" t="s">
        <v>172</v>
      </c>
      <c r="AR410" s="7" t="s">
        <v>353</v>
      </c>
      <c r="AT410" t="s">
        <v>196</v>
      </c>
      <c r="AU410" t="s">
        <v>590</v>
      </c>
      <c r="AW410">
        <v>0</v>
      </c>
      <c r="AX410" s="1">
        <v>46083</v>
      </c>
      <c r="AY410" s="2">
        <v>0.34325231481481483</v>
      </c>
      <c r="AZ410">
        <v>130239</v>
      </c>
      <c r="BA410" s="1">
        <v>45539</v>
      </c>
      <c r="BC410" t="s">
        <v>0</v>
      </c>
      <c r="BD410" s="1">
        <v>46072</v>
      </c>
      <c r="BE410" t="s">
        <v>317</v>
      </c>
      <c r="BL410" s="4">
        <v>0</v>
      </c>
      <c r="BM410" s="1">
        <v>46808</v>
      </c>
      <c r="BN410" s="1">
        <v>46081</v>
      </c>
      <c r="BO410">
        <v>0</v>
      </c>
      <c r="BP410">
        <v>28702</v>
      </c>
      <c r="BQ410" t="s">
        <v>156</v>
      </c>
      <c r="BR410" s="3">
        <v>126513.02</v>
      </c>
      <c r="BS410" s="3">
        <v>34099</v>
      </c>
      <c r="BT410">
        <v>0</v>
      </c>
      <c r="BU410" s="3">
        <v>160612.01999999999</v>
      </c>
      <c r="BV410" s="3">
        <v>215998.89</v>
      </c>
      <c r="BX410">
        <v>0</v>
      </c>
      <c r="BZ410">
        <v>0</v>
      </c>
      <c r="CA410">
        <v>0</v>
      </c>
      <c r="CB410">
        <v>0</v>
      </c>
      <c r="CC410" s="3">
        <v>215998.89</v>
      </c>
      <c r="CD410" s="5">
        <v>0</v>
      </c>
      <c r="CF410" s="6">
        <v>46054</v>
      </c>
      <c r="CH410">
        <v>0</v>
      </c>
      <c r="CI410">
        <v>0</v>
      </c>
      <c r="CJ410">
        <v>0</v>
      </c>
      <c r="CK410">
        <v>0</v>
      </c>
      <c r="CL410">
        <v>0</v>
      </c>
      <c r="CM410">
        <v>0</v>
      </c>
      <c r="CN410">
        <v>0</v>
      </c>
      <c r="CO410">
        <v>0</v>
      </c>
      <c r="CP410">
        <v>0</v>
      </c>
      <c r="CQ410">
        <v>0</v>
      </c>
      <c r="CR410">
        <v>0</v>
      </c>
      <c r="CS410" t="s">
        <v>360</v>
      </c>
      <c r="CT410" t="s">
        <v>214</v>
      </c>
      <c r="CU410" t="s">
        <v>788</v>
      </c>
      <c r="CW410">
        <v>-53.742100000000001</v>
      </c>
      <c r="CZ410" s="1">
        <v>46072</v>
      </c>
      <c r="DA410" t="s">
        <v>172</v>
      </c>
      <c r="DB410" t="s">
        <v>172</v>
      </c>
      <c r="DC410" t="s">
        <v>172</v>
      </c>
      <c r="DD410" t="s">
        <v>172</v>
      </c>
      <c r="DG410" s="1">
        <v>46072</v>
      </c>
      <c r="DH410">
        <v>0</v>
      </c>
      <c r="DI410">
        <v>0</v>
      </c>
      <c r="DL410" t="s">
        <v>215</v>
      </c>
      <c r="DM410" t="s">
        <v>172</v>
      </c>
      <c r="DN410" t="s">
        <v>201</v>
      </c>
      <c r="DV410" s="3">
        <v>215998.89</v>
      </c>
      <c r="DW410">
        <v>0</v>
      </c>
      <c r="DX410" s="3">
        <v>215998.89</v>
      </c>
      <c r="DY410">
        <v>0</v>
      </c>
      <c r="EF410" s="1">
        <v>46079</v>
      </c>
      <c r="EG410" s="1">
        <v>46077</v>
      </c>
      <c r="EK410" s="1">
        <v>46079</v>
      </c>
      <c r="EL410" s="1">
        <v>46079</v>
      </c>
      <c r="EM410" s="1">
        <v>46078</v>
      </c>
      <c r="EN410" t="s">
        <v>156</v>
      </c>
      <c r="EP410" s="1">
        <v>46077</v>
      </c>
      <c r="ET410" t="s">
        <v>2663</v>
      </c>
      <c r="EU410" s="1">
        <v>46078</v>
      </c>
      <c r="EW410" s="1">
        <v>46072</v>
      </c>
    </row>
    <row r="411" spans="1:153" x14ac:dyDescent="0.35">
      <c r="A411" t="str">
        <f>HYPERLINK("https://7lm.cvcrm.com.br/gestor/comercial/reservas/6709/administrar","6709")</f>
        <v>6709</v>
      </c>
      <c r="B411" t="s">
        <v>172</v>
      </c>
      <c r="C411" s="1">
        <v>46072</v>
      </c>
      <c r="D411" s="2">
        <v>0.78082175925925923</v>
      </c>
      <c r="E411" t="s">
        <v>527</v>
      </c>
      <c r="F411" t="s">
        <v>202</v>
      </c>
      <c r="G411" t="s">
        <v>203</v>
      </c>
      <c r="H411" t="s">
        <v>404</v>
      </c>
      <c r="I411" t="s">
        <v>468</v>
      </c>
      <c r="J411">
        <v>1</v>
      </c>
      <c r="L411">
        <v>20031</v>
      </c>
      <c r="M411" t="s">
        <v>469</v>
      </c>
      <c r="R411" t="str">
        <f>HYPERLINK("https://7lm.cvcrm.com.br/gestor/relatorios/associado/html?q[1|r.idreserva]=6709","VIVIAN DE FREITAS SOUZA PEREIRA")</f>
        <v>VIVIAN DE FREITAS SOUZA PEREIRA</v>
      </c>
      <c r="S411">
        <v>8752350185</v>
      </c>
      <c r="T411">
        <v>5561994306120</v>
      </c>
      <c r="V411" t="s">
        <v>2615</v>
      </c>
      <c r="W411" t="s">
        <v>187</v>
      </c>
      <c r="X411" t="s">
        <v>452</v>
      </c>
      <c r="Y411" t="s">
        <v>165</v>
      </c>
      <c r="Z411" t="s">
        <v>257</v>
      </c>
      <c r="AA411" t="s">
        <v>2616</v>
      </c>
      <c r="AB411" t="s">
        <v>2617</v>
      </c>
      <c r="AC411" t="s">
        <v>411</v>
      </c>
      <c r="AD411" t="s">
        <v>412</v>
      </c>
      <c r="AF411" t="s">
        <v>413</v>
      </c>
      <c r="AG411" t="s">
        <v>195</v>
      </c>
      <c r="AH411" s="3">
        <v>213999.21</v>
      </c>
      <c r="AI411" s="3">
        <v>213999.21</v>
      </c>
      <c r="AJ411" s="1">
        <v>46127</v>
      </c>
      <c r="AN411" t="s">
        <v>172</v>
      </c>
      <c r="AO411" t="s">
        <v>725</v>
      </c>
      <c r="AP411" t="s">
        <v>2664</v>
      </c>
      <c r="AR411" t="s">
        <v>2665</v>
      </c>
      <c r="AT411" t="s">
        <v>261</v>
      </c>
      <c r="AU411" t="s">
        <v>590</v>
      </c>
      <c r="AW411">
        <v>0</v>
      </c>
      <c r="AX411" s="1">
        <v>46073</v>
      </c>
      <c r="AY411" s="2">
        <v>0.73223379629629626</v>
      </c>
      <c r="AZ411">
        <v>189350</v>
      </c>
      <c r="BA411" s="1">
        <v>46067</v>
      </c>
      <c r="BC411" t="s">
        <v>0</v>
      </c>
      <c r="BD411" s="1">
        <v>46074</v>
      </c>
      <c r="BE411" t="s">
        <v>1421</v>
      </c>
      <c r="BL411" s="4">
        <v>0</v>
      </c>
      <c r="BM411" s="1">
        <v>46808</v>
      </c>
      <c r="BO411">
        <v>0</v>
      </c>
      <c r="BP411">
        <v>28609</v>
      </c>
      <c r="BQ411" t="s">
        <v>156</v>
      </c>
      <c r="BR411" s="3">
        <v>134273.21</v>
      </c>
      <c r="BS411" s="3">
        <v>19830</v>
      </c>
      <c r="BT411">
        <v>0</v>
      </c>
      <c r="BU411" s="3">
        <v>154103.21</v>
      </c>
      <c r="BV411" s="3">
        <v>213999.21</v>
      </c>
      <c r="BX411">
        <v>0</v>
      </c>
      <c r="BZ411">
        <v>0</v>
      </c>
      <c r="CA411">
        <v>0</v>
      </c>
      <c r="CB411">
        <v>0</v>
      </c>
      <c r="CC411" s="3">
        <v>213999.21</v>
      </c>
      <c r="CD411" s="5">
        <v>0</v>
      </c>
      <c r="CF411" s="6">
        <v>46054</v>
      </c>
      <c r="CH411">
        <v>0</v>
      </c>
      <c r="CI411">
        <v>0</v>
      </c>
      <c r="CJ411">
        <v>0</v>
      </c>
      <c r="CK411">
        <v>0</v>
      </c>
      <c r="CL411">
        <v>0</v>
      </c>
      <c r="CM411">
        <v>0</v>
      </c>
      <c r="CN411">
        <v>0</v>
      </c>
      <c r="CO411">
        <v>0</v>
      </c>
      <c r="CP411">
        <v>0</v>
      </c>
      <c r="CQ411">
        <v>0</v>
      </c>
      <c r="CR411">
        <v>0</v>
      </c>
      <c r="CT411" t="s">
        <v>214</v>
      </c>
      <c r="CU411" t="s">
        <v>468</v>
      </c>
      <c r="CW411">
        <v>0</v>
      </c>
      <c r="CZ411" s="1">
        <v>46072</v>
      </c>
      <c r="DA411" t="s">
        <v>172</v>
      </c>
      <c r="DB411" t="s">
        <v>172</v>
      </c>
      <c r="DC411" t="s">
        <v>172</v>
      </c>
      <c r="DD411" t="s">
        <v>172</v>
      </c>
      <c r="DG411" s="1">
        <v>46072</v>
      </c>
      <c r="DH411">
        <v>0</v>
      </c>
      <c r="DI411">
        <v>0</v>
      </c>
      <c r="DL411" t="s">
        <v>215</v>
      </c>
      <c r="DM411" t="s">
        <v>172</v>
      </c>
      <c r="DN411" t="s">
        <v>201</v>
      </c>
      <c r="DV411" s="3">
        <v>213999.21</v>
      </c>
      <c r="DW411">
        <v>0</v>
      </c>
      <c r="DX411" s="3">
        <v>213999.21</v>
      </c>
      <c r="DY411">
        <v>0</v>
      </c>
      <c r="EN411" t="s">
        <v>156</v>
      </c>
      <c r="EU411" s="1">
        <v>46074</v>
      </c>
      <c r="EW411" s="1">
        <v>46072</v>
      </c>
    </row>
    <row r="412" spans="1:153" ht="406" x14ac:dyDescent="0.35">
      <c r="A412" t="str">
        <f>HYPERLINK("https://7lm.cvcrm.com.br/gestor/comercial/reservas/6708/administrar","6708")</f>
        <v>6708</v>
      </c>
      <c r="B412" t="s">
        <v>172</v>
      </c>
      <c r="C412" s="1">
        <v>46072</v>
      </c>
      <c r="D412" s="2">
        <v>0.77268518518518514</v>
      </c>
      <c r="E412" t="s">
        <v>527</v>
      </c>
      <c r="F412" t="s">
        <v>202</v>
      </c>
      <c r="G412" t="s">
        <v>203</v>
      </c>
      <c r="H412" t="s">
        <v>513</v>
      </c>
      <c r="I412" t="s">
        <v>637</v>
      </c>
      <c r="J412">
        <v>1</v>
      </c>
      <c r="L412">
        <v>20031</v>
      </c>
      <c r="M412" t="s">
        <v>700</v>
      </c>
      <c r="R412" t="str">
        <f>HYPERLINK("https://7lm.cvcrm.com.br/gestor/relatorios/associado/html?q[1|r.idreserva]=6708","THIAGO HENRIQUE FERREIRA DOS SANTOS")</f>
        <v>THIAGO HENRIQUE FERREIRA DOS SANTOS</v>
      </c>
      <c r="S412">
        <v>70924216166</v>
      </c>
      <c r="T412">
        <v>556198350217</v>
      </c>
      <c r="V412" t="s">
        <v>2666</v>
      </c>
      <c r="W412" t="s">
        <v>163</v>
      </c>
      <c r="X412" t="s">
        <v>299</v>
      </c>
      <c r="Y412" t="s">
        <v>165</v>
      </c>
      <c r="Z412" t="s">
        <v>1030</v>
      </c>
      <c r="AA412" t="s">
        <v>1110</v>
      </c>
      <c r="AB412" t="s">
        <v>2667</v>
      </c>
      <c r="AC412" t="s">
        <v>425</v>
      </c>
      <c r="AF412" t="s">
        <v>389</v>
      </c>
      <c r="AG412" t="s">
        <v>195</v>
      </c>
      <c r="AH412" s="3">
        <v>215327.71</v>
      </c>
      <c r="AI412" s="3">
        <v>215327.71</v>
      </c>
      <c r="AJ412" s="1">
        <v>46137</v>
      </c>
      <c r="AN412" t="s">
        <v>172</v>
      </c>
      <c r="AO412" t="s">
        <v>1334</v>
      </c>
      <c r="AR412" s="7" t="s">
        <v>2668</v>
      </c>
      <c r="AT412" t="s">
        <v>173</v>
      </c>
      <c r="AU412" t="s">
        <v>1073</v>
      </c>
      <c r="AW412">
        <v>0</v>
      </c>
      <c r="AX412" s="1">
        <v>46091</v>
      </c>
      <c r="AY412" s="2">
        <v>0.48656250000000001</v>
      </c>
      <c r="AZ412">
        <v>171972</v>
      </c>
      <c r="BA412" s="1">
        <v>45938</v>
      </c>
      <c r="BC412" t="s">
        <v>0</v>
      </c>
      <c r="BD412" s="1">
        <v>46072</v>
      </c>
      <c r="BE412" t="s">
        <v>317</v>
      </c>
      <c r="BL412" s="4">
        <v>0</v>
      </c>
      <c r="BM412" s="1">
        <v>46808</v>
      </c>
      <c r="BO412">
        <v>0</v>
      </c>
      <c r="BP412">
        <v>27598</v>
      </c>
      <c r="BQ412" t="s">
        <v>156</v>
      </c>
      <c r="BR412" s="3">
        <v>105106.18</v>
      </c>
      <c r="BS412" s="3">
        <v>55000</v>
      </c>
      <c r="BT412">
        <v>0</v>
      </c>
      <c r="BU412" s="3">
        <v>160106.18</v>
      </c>
      <c r="BV412" s="3">
        <v>215327.71</v>
      </c>
      <c r="BX412">
        <v>0</v>
      </c>
      <c r="BZ412">
        <v>0</v>
      </c>
      <c r="CA412">
        <v>0</v>
      </c>
      <c r="CB412">
        <v>0</v>
      </c>
      <c r="CC412" s="3">
        <v>215327.71</v>
      </c>
      <c r="CD412" s="5">
        <v>0</v>
      </c>
      <c r="CF412" s="6">
        <v>46082</v>
      </c>
      <c r="CH412">
        <v>0</v>
      </c>
      <c r="CI412">
        <v>0</v>
      </c>
      <c r="CJ412">
        <v>0</v>
      </c>
      <c r="CK412">
        <v>0</v>
      </c>
      <c r="CL412">
        <v>0</v>
      </c>
      <c r="CM412">
        <v>0</v>
      </c>
      <c r="CN412">
        <v>0</v>
      </c>
      <c r="CO412">
        <v>0</v>
      </c>
      <c r="CP412">
        <v>0</v>
      </c>
      <c r="CQ412">
        <v>0</v>
      </c>
      <c r="CR412">
        <v>0</v>
      </c>
      <c r="CT412" t="s">
        <v>214</v>
      </c>
      <c r="CU412" t="s">
        <v>637</v>
      </c>
      <c r="CW412">
        <v>0</v>
      </c>
      <c r="CZ412" s="1">
        <v>46072</v>
      </c>
      <c r="DA412" t="s">
        <v>172</v>
      </c>
      <c r="DB412" t="s">
        <v>172</v>
      </c>
      <c r="DC412" t="s">
        <v>172</v>
      </c>
      <c r="DD412" t="s">
        <v>172</v>
      </c>
      <c r="DG412" s="1">
        <v>46072</v>
      </c>
      <c r="DH412">
        <v>0</v>
      </c>
      <c r="DI412">
        <v>0</v>
      </c>
      <c r="DL412" t="s">
        <v>215</v>
      </c>
      <c r="DM412" t="s">
        <v>172</v>
      </c>
      <c r="DN412" t="s">
        <v>201</v>
      </c>
      <c r="DV412" s="3">
        <v>215327.71</v>
      </c>
      <c r="DW412">
        <v>0</v>
      </c>
      <c r="DX412" s="3">
        <v>215327.71</v>
      </c>
      <c r="DY412">
        <v>0</v>
      </c>
      <c r="EN412" t="s">
        <v>537</v>
      </c>
      <c r="EU412" s="1">
        <v>46079</v>
      </c>
      <c r="EW412" s="1">
        <v>46072</v>
      </c>
    </row>
    <row r="413" spans="1:153" x14ac:dyDescent="0.35">
      <c r="A413" t="str">
        <f>HYPERLINK("https://7lm.cvcrm.com.br/gestor/comercial/reservas/6707/administrar","6707")</f>
        <v>6707</v>
      </c>
      <c r="B413" t="s">
        <v>172</v>
      </c>
      <c r="C413" s="1">
        <v>46072</v>
      </c>
      <c r="D413" s="2">
        <v>0.75126157407407412</v>
      </c>
      <c r="E413" t="s">
        <v>527</v>
      </c>
      <c r="F413" t="s">
        <v>202</v>
      </c>
      <c r="G413" t="s">
        <v>203</v>
      </c>
      <c r="H413" t="s">
        <v>404</v>
      </c>
      <c r="I413" t="s">
        <v>942</v>
      </c>
      <c r="J413">
        <v>1</v>
      </c>
      <c r="L413">
        <v>20031</v>
      </c>
      <c r="M413" t="s">
        <v>943</v>
      </c>
      <c r="R413" t="str">
        <f>HYPERLINK("https://7lm.cvcrm.com.br/gestor/relatorios/associado/html?q[1|r.idreserva]=6707","IANNARA LAVINYA RODRIGUES SOUZA")</f>
        <v>IANNARA LAVINYA RODRIGUES SOUZA</v>
      </c>
      <c r="S413">
        <v>9109855106</v>
      </c>
      <c r="T413">
        <v>556199453666</v>
      </c>
      <c r="V413" t="s">
        <v>2669</v>
      </c>
      <c r="W413" t="s">
        <v>187</v>
      </c>
      <c r="Y413" t="s">
        <v>189</v>
      </c>
      <c r="Z413" t="s">
        <v>2670</v>
      </c>
      <c r="AA413" t="s">
        <v>2671</v>
      </c>
      <c r="AB413" t="s">
        <v>2672</v>
      </c>
      <c r="AC413" t="s">
        <v>1553</v>
      </c>
      <c r="AF413" t="s">
        <v>634</v>
      </c>
      <c r="AG413" t="s">
        <v>195</v>
      </c>
      <c r="AH413" s="3">
        <v>47400</v>
      </c>
      <c r="AI413" s="3">
        <v>47400</v>
      </c>
      <c r="AJ413" s="1">
        <v>69456</v>
      </c>
      <c r="AN413" t="s">
        <v>172</v>
      </c>
      <c r="AO413" t="s">
        <v>816</v>
      </c>
      <c r="AR413" t="s">
        <v>2673</v>
      </c>
      <c r="AT413" t="s">
        <v>196</v>
      </c>
      <c r="AU413" t="s">
        <v>316</v>
      </c>
      <c r="AW413">
        <v>0</v>
      </c>
      <c r="AX413" s="1">
        <v>46077</v>
      </c>
      <c r="AY413" s="2">
        <v>0.69665509259259262</v>
      </c>
      <c r="AZ413">
        <v>147878</v>
      </c>
      <c r="BA413" s="1">
        <v>45692</v>
      </c>
      <c r="BC413" t="s">
        <v>0</v>
      </c>
      <c r="BD413" s="1">
        <v>46072</v>
      </c>
      <c r="BE413" t="s">
        <v>317</v>
      </c>
      <c r="BL413" s="4">
        <v>0</v>
      </c>
      <c r="BM413" s="1">
        <v>46808</v>
      </c>
      <c r="BO413">
        <v>0</v>
      </c>
      <c r="BP413">
        <v>28381</v>
      </c>
      <c r="BQ413" t="s">
        <v>156</v>
      </c>
      <c r="BR413" s="3">
        <v>111117.57</v>
      </c>
      <c r="BS413" s="3">
        <v>50939</v>
      </c>
      <c r="BT413">
        <v>0</v>
      </c>
      <c r="BU413" s="3">
        <v>162056.57</v>
      </c>
      <c r="BV413" s="3">
        <v>47400</v>
      </c>
      <c r="BX413">
        <v>0</v>
      </c>
      <c r="BZ413">
        <v>0</v>
      </c>
      <c r="CA413">
        <v>0</v>
      </c>
      <c r="CB413">
        <v>0</v>
      </c>
      <c r="CC413" s="3">
        <v>47400</v>
      </c>
      <c r="CD413" s="5">
        <v>0</v>
      </c>
      <c r="CF413" s="6">
        <v>46054</v>
      </c>
      <c r="CH413">
        <v>0</v>
      </c>
      <c r="CI413">
        <v>0</v>
      </c>
      <c r="CJ413">
        <v>0</v>
      </c>
      <c r="CK413">
        <v>0</v>
      </c>
      <c r="CL413">
        <v>0</v>
      </c>
      <c r="CM413">
        <v>0</v>
      </c>
      <c r="CN413">
        <v>0</v>
      </c>
      <c r="CO413">
        <v>0</v>
      </c>
      <c r="CP413">
        <v>0</v>
      </c>
      <c r="CQ413">
        <v>0</v>
      </c>
      <c r="CR413">
        <v>0</v>
      </c>
      <c r="CT413" t="s">
        <v>214</v>
      </c>
      <c r="CU413" t="s">
        <v>942</v>
      </c>
      <c r="CW413">
        <v>0</v>
      </c>
      <c r="CZ413" s="1">
        <v>46072</v>
      </c>
      <c r="DA413" t="s">
        <v>172</v>
      </c>
      <c r="DB413" t="s">
        <v>172</v>
      </c>
      <c r="DC413" t="s">
        <v>172</v>
      </c>
      <c r="DD413" t="s">
        <v>172</v>
      </c>
      <c r="DG413" s="1">
        <v>46072</v>
      </c>
      <c r="DH413">
        <v>0</v>
      </c>
      <c r="DI413">
        <v>0</v>
      </c>
      <c r="DL413" t="s">
        <v>215</v>
      </c>
      <c r="DM413" t="s">
        <v>172</v>
      </c>
      <c r="DN413" t="s">
        <v>201</v>
      </c>
      <c r="DU413" t="s">
        <v>318</v>
      </c>
      <c r="DV413" s="3">
        <v>428000</v>
      </c>
      <c r="DW413">
        <v>-90.03</v>
      </c>
      <c r="DX413" s="3">
        <v>428000</v>
      </c>
      <c r="DY413">
        <v>-90.03</v>
      </c>
      <c r="EN413" t="s">
        <v>537</v>
      </c>
      <c r="ET413" t="s">
        <v>2674</v>
      </c>
      <c r="EW413" s="1">
        <v>46072</v>
      </c>
    </row>
    <row r="414" spans="1:153" ht="246.5" x14ac:dyDescent="0.35">
      <c r="A414" t="str">
        <f>HYPERLINK("https://7lm.cvcrm.com.br/gestor/comercial/reservas/6706/administrar","6706")</f>
        <v>6706</v>
      </c>
      <c r="B414" t="s">
        <v>156</v>
      </c>
      <c r="C414" s="1">
        <v>46072</v>
      </c>
      <c r="D414" s="2">
        <v>0.6900115740740741</v>
      </c>
      <c r="E414" t="s">
        <v>294</v>
      </c>
      <c r="F414" t="s">
        <v>957</v>
      </c>
      <c r="G414" t="s">
        <v>159</v>
      </c>
      <c r="H414" t="s">
        <v>2083</v>
      </c>
      <c r="I414" t="s">
        <v>2675</v>
      </c>
      <c r="J414">
        <v>1</v>
      </c>
      <c r="L414">
        <v>30121</v>
      </c>
      <c r="M414" t="s">
        <v>2676</v>
      </c>
      <c r="N414" s="1">
        <v>46079</v>
      </c>
      <c r="O414" s="2">
        <v>0.5151041666666667</v>
      </c>
      <c r="R414" t="str">
        <f>HYPERLINK("https://7lm.cvcrm.com.br/gestor/relatorios/associado/html?q[1|r.idreserva]=6706","THAMIRES DE OLIVEIRA MONTALVAO")</f>
        <v>THAMIRES DE OLIVEIRA MONTALVAO</v>
      </c>
      <c r="S414">
        <v>7405541151</v>
      </c>
      <c r="T414">
        <v>5561999874067</v>
      </c>
      <c r="V414" t="s">
        <v>2677</v>
      </c>
      <c r="W414" t="s">
        <v>187</v>
      </c>
      <c r="X414" t="s">
        <v>269</v>
      </c>
      <c r="Y414" t="s">
        <v>189</v>
      </c>
      <c r="Z414" t="s">
        <v>190</v>
      </c>
      <c r="AA414" t="s">
        <v>500</v>
      </c>
      <c r="AB414" t="s">
        <v>2678</v>
      </c>
      <c r="AC414" t="s">
        <v>302</v>
      </c>
      <c r="AD414" t="s">
        <v>302</v>
      </c>
      <c r="AF414" t="s">
        <v>303</v>
      </c>
      <c r="AG414" t="s">
        <v>251</v>
      </c>
      <c r="AH414" s="3">
        <v>244933.14</v>
      </c>
      <c r="AI414" s="3">
        <v>244933.14</v>
      </c>
      <c r="AJ414" s="1">
        <v>46127</v>
      </c>
      <c r="AN414" t="s">
        <v>172</v>
      </c>
      <c r="AR414" s="7" t="s">
        <v>353</v>
      </c>
      <c r="AT414" t="s">
        <v>196</v>
      </c>
      <c r="AU414" t="s">
        <v>292</v>
      </c>
      <c r="AW414">
        <v>0</v>
      </c>
      <c r="AX414" s="1">
        <v>46079</v>
      </c>
      <c r="AY414" s="2">
        <v>0.5282175925925926</v>
      </c>
      <c r="AZ414">
        <v>163997</v>
      </c>
      <c r="BA414" s="1">
        <v>45848</v>
      </c>
      <c r="BC414" t="s">
        <v>0</v>
      </c>
      <c r="BD414" s="1">
        <v>46072</v>
      </c>
      <c r="BE414" t="s">
        <v>276</v>
      </c>
      <c r="BL414" s="4">
        <v>0</v>
      </c>
      <c r="BM414" s="1">
        <v>47031</v>
      </c>
      <c r="BN414" s="1">
        <v>46079</v>
      </c>
      <c r="BO414">
        <v>0</v>
      </c>
      <c r="BP414">
        <v>28650</v>
      </c>
      <c r="BQ414" t="s">
        <v>156</v>
      </c>
      <c r="BR414" s="3">
        <v>134262.92000000001</v>
      </c>
      <c r="BS414" s="3">
        <v>26115</v>
      </c>
      <c r="BT414">
        <v>0</v>
      </c>
      <c r="BU414" s="3">
        <v>160377.92000000001</v>
      </c>
      <c r="BV414" s="3">
        <v>244933.14</v>
      </c>
      <c r="BX414">
        <v>0</v>
      </c>
      <c r="BZ414">
        <v>0</v>
      </c>
      <c r="CA414">
        <v>0</v>
      </c>
      <c r="CB414">
        <v>0</v>
      </c>
      <c r="CC414" s="3">
        <v>244933.14</v>
      </c>
      <c r="CD414" s="5">
        <v>0</v>
      </c>
      <c r="CF414" s="6">
        <v>46054</v>
      </c>
      <c r="CH414">
        <v>0</v>
      </c>
      <c r="CI414">
        <v>0</v>
      </c>
      <c r="CJ414">
        <v>0</v>
      </c>
      <c r="CK414">
        <v>0</v>
      </c>
      <c r="CL414">
        <v>0</v>
      </c>
      <c r="CM414">
        <v>0</v>
      </c>
      <c r="CN414">
        <v>0</v>
      </c>
      <c r="CO414">
        <v>0</v>
      </c>
      <c r="CP414">
        <v>0</v>
      </c>
      <c r="CQ414">
        <v>0</v>
      </c>
      <c r="CR414">
        <v>0</v>
      </c>
      <c r="CS414" t="s">
        <v>360</v>
      </c>
      <c r="CT414" t="s">
        <v>190</v>
      </c>
      <c r="CU414" t="s">
        <v>2675</v>
      </c>
      <c r="CW414">
        <v>-48.264699999999998</v>
      </c>
      <c r="CZ414" s="1">
        <v>46072</v>
      </c>
      <c r="DA414" t="s">
        <v>172</v>
      </c>
      <c r="DB414" t="s">
        <v>172</v>
      </c>
      <c r="DC414" t="s">
        <v>172</v>
      </c>
      <c r="DD414" t="s">
        <v>172</v>
      </c>
      <c r="DG414" s="1">
        <v>46072</v>
      </c>
      <c r="DH414">
        <v>0</v>
      </c>
      <c r="DI414">
        <v>0</v>
      </c>
      <c r="DL414" t="s">
        <v>963</v>
      </c>
      <c r="DM414" t="s">
        <v>172</v>
      </c>
      <c r="DN414" t="s">
        <v>201</v>
      </c>
      <c r="DV414" s="3">
        <v>244933.14</v>
      </c>
      <c r="DW414">
        <v>0</v>
      </c>
      <c r="DX414" s="3">
        <v>244933.14</v>
      </c>
      <c r="DY414">
        <v>0</v>
      </c>
      <c r="EG414" s="1">
        <v>46077</v>
      </c>
      <c r="EN414" t="s">
        <v>156</v>
      </c>
      <c r="EP414" s="1">
        <v>46078</v>
      </c>
      <c r="ET414" t="s">
        <v>2168</v>
      </c>
      <c r="EU414" s="1">
        <v>46076</v>
      </c>
      <c r="EW414" s="1">
        <v>46072</v>
      </c>
    </row>
    <row r="415" spans="1:153" ht="246.5" x14ac:dyDescent="0.35">
      <c r="A415" t="str">
        <f>HYPERLINK("https://7lm.cvcrm.com.br/gestor/comercial/reservas/6705/administrar","6705")</f>
        <v>6705</v>
      </c>
      <c r="B415" t="s">
        <v>156</v>
      </c>
      <c r="C415" s="1">
        <v>46072</v>
      </c>
      <c r="D415" s="2">
        <v>0.66722222222222227</v>
      </c>
      <c r="E415" t="s">
        <v>294</v>
      </c>
      <c r="F415" t="s">
        <v>2451</v>
      </c>
      <c r="G415" t="s">
        <v>203</v>
      </c>
      <c r="H415" t="s">
        <v>204</v>
      </c>
      <c r="I415" t="s">
        <v>2679</v>
      </c>
      <c r="J415">
        <v>1</v>
      </c>
      <c r="L415">
        <v>30061</v>
      </c>
      <c r="M415" t="s">
        <v>2680</v>
      </c>
      <c r="N415" s="1">
        <v>46077</v>
      </c>
      <c r="O415" s="2">
        <v>0.6374305555555555</v>
      </c>
      <c r="R415" t="str">
        <f>HYPERLINK("https://7lm.cvcrm.com.br/gestor/relatorios/associado/html?q[1|r.idreserva]=6705","RARYANNE ALVES FERNANDES")</f>
        <v>RARYANNE ALVES FERNANDES</v>
      </c>
      <c r="S415">
        <v>4091640117</v>
      </c>
      <c r="T415">
        <v>556199147915</v>
      </c>
      <c r="V415" t="s">
        <v>2681</v>
      </c>
      <c r="W415" t="s">
        <v>187</v>
      </c>
      <c r="X415" t="s">
        <v>1813</v>
      </c>
      <c r="Y415" t="s">
        <v>189</v>
      </c>
      <c r="Z415" t="s">
        <v>190</v>
      </c>
      <c r="AA415" t="s">
        <v>675</v>
      </c>
      <c r="AB415" t="s">
        <v>2682</v>
      </c>
      <c r="AC415" t="s">
        <v>379</v>
      </c>
      <c r="AD415" t="s">
        <v>379</v>
      </c>
      <c r="AF415" t="s">
        <v>352</v>
      </c>
      <c r="AG415" t="s">
        <v>195</v>
      </c>
      <c r="AH415" s="3">
        <v>244933.46</v>
      </c>
      <c r="AI415" s="3">
        <v>244933.46</v>
      </c>
      <c r="AJ415" s="1">
        <v>46127</v>
      </c>
      <c r="AN415" t="s">
        <v>172</v>
      </c>
      <c r="AR415" s="7" t="s">
        <v>353</v>
      </c>
      <c r="AT415" t="s">
        <v>261</v>
      </c>
      <c r="AU415" t="s">
        <v>197</v>
      </c>
      <c r="AW415">
        <v>0</v>
      </c>
      <c r="AX415" s="1">
        <v>46079</v>
      </c>
      <c r="AY415" s="2">
        <v>0.47037037037037038</v>
      </c>
      <c r="AZ415">
        <v>184161</v>
      </c>
      <c r="BA415" s="1">
        <v>46037</v>
      </c>
      <c r="BC415" t="s">
        <v>0</v>
      </c>
      <c r="BD415" s="1">
        <v>46072</v>
      </c>
      <c r="BE415" t="s">
        <v>176</v>
      </c>
      <c r="BL415" s="4">
        <v>0</v>
      </c>
      <c r="BM415" s="1">
        <v>46788</v>
      </c>
      <c r="BN415" s="1">
        <v>46079</v>
      </c>
      <c r="BO415">
        <v>0</v>
      </c>
      <c r="BP415">
        <v>27537</v>
      </c>
      <c r="BQ415" t="s">
        <v>156</v>
      </c>
      <c r="BR415" s="3">
        <v>135700.76999999999</v>
      </c>
      <c r="BS415" s="3">
        <v>24772</v>
      </c>
      <c r="BT415">
        <v>0</v>
      </c>
      <c r="BU415" s="3">
        <v>160472.76999999999</v>
      </c>
      <c r="BV415" s="3">
        <v>244933.46</v>
      </c>
      <c r="BX415">
        <v>0</v>
      </c>
      <c r="BZ415">
        <v>0</v>
      </c>
      <c r="CA415">
        <v>0</v>
      </c>
      <c r="CB415">
        <v>0</v>
      </c>
      <c r="CC415" s="3">
        <v>244933.46</v>
      </c>
      <c r="CD415" s="5">
        <v>0</v>
      </c>
      <c r="CF415" s="6">
        <v>46054</v>
      </c>
      <c r="CH415">
        <v>0</v>
      </c>
      <c r="CI415">
        <v>0</v>
      </c>
      <c r="CJ415">
        <v>0</v>
      </c>
      <c r="CK415">
        <v>0</v>
      </c>
      <c r="CL415">
        <v>0</v>
      </c>
      <c r="CM415">
        <v>0</v>
      </c>
      <c r="CN415">
        <v>0</v>
      </c>
      <c r="CO415">
        <v>0</v>
      </c>
      <c r="CP415">
        <v>0</v>
      </c>
      <c r="CQ415">
        <v>0</v>
      </c>
      <c r="CR415">
        <v>0</v>
      </c>
      <c r="CS415" t="s">
        <v>360</v>
      </c>
      <c r="CT415" t="s">
        <v>190</v>
      </c>
      <c r="CU415" t="s">
        <v>2679</v>
      </c>
      <c r="CW415">
        <v>-47.691800000000001</v>
      </c>
      <c r="CZ415" s="1">
        <v>46072</v>
      </c>
      <c r="DA415" t="s">
        <v>172</v>
      </c>
      <c r="DB415" t="s">
        <v>172</v>
      </c>
      <c r="DC415" t="s">
        <v>172</v>
      </c>
      <c r="DD415" t="s">
        <v>172</v>
      </c>
      <c r="DG415" s="1">
        <v>46072</v>
      </c>
      <c r="DH415">
        <v>0</v>
      </c>
      <c r="DI415">
        <v>0</v>
      </c>
      <c r="DL415" t="s">
        <v>2473</v>
      </c>
      <c r="DM415" t="s">
        <v>172</v>
      </c>
      <c r="DN415" t="s">
        <v>201</v>
      </c>
      <c r="DV415" s="3">
        <v>244933.46</v>
      </c>
      <c r="DW415">
        <v>0</v>
      </c>
      <c r="DX415" s="3">
        <v>244933.46</v>
      </c>
      <c r="DY415">
        <v>0</v>
      </c>
      <c r="EG415" s="1">
        <v>46073</v>
      </c>
      <c r="EH415" t="s">
        <v>2683</v>
      </c>
      <c r="EM415" s="1">
        <v>46077</v>
      </c>
      <c r="EN415" t="s">
        <v>156</v>
      </c>
      <c r="EP415" s="1">
        <v>46076</v>
      </c>
      <c r="ER415" s="1">
        <v>46073</v>
      </c>
      <c r="ES415" t="s">
        <v>2684</v>
      </c>
      <c r="EU415" s="1">
        <v>46080</v>
      </c>
      <c r="EW415" s="1">
        <v>46072</v>
      </c>
    </row>
    <row r="416" spans="1:153" ht="246.5" x14ac:dyDescent="0.35">
      <c r="A416" t="str">
        <f>HYPERLINK("https://7lm.cvcrm.com.br/gestor/comercial/reservas/6704/administrar","6704")</f>
        <v>6704</v>
      </c>
      <c r="B416" t="s">
        <v>156</v>
      </c>
      <c r="C416" s="1">
        <v>46072</v>
      </c>
      <c r="D416" s="2">
        <v>0.66690972222222222</v>
      </c>
      <c r="E416" t="s">
        <v>294</v>
      </c>
      <c r="F416" t="s">
        <v>957</v>
      </c>
      <c r="G416" t="s">
        <v>159</v>
      </c>
      <c r="H416" t="s">
        <v>643</v>
      </c>
      <c r="I416" t="s">
        <v>2685</v>
      </c>
      <c r="J416">
        <v>1</v>
      </c>
      <c r="K416">
        <v>8393</v>
      </c>
      <c r="L416">
        <v>30121</v>
      </c>
      <c r="M416" t="s">
        <v>2686</v>
      </c>
      <c r="N416" s="1">
        <v>46142</v>
      </c>
      <c r="O416" s="2">
        <v>0.58237268518518515</v>
      </c>
      <c r="Q416">
        <v>9919</v>
      </c>
      <c r="R416" t="str">
        <f>HYPERLINK("https://7lm.cvcrm.com.br/gestor/relatorios/associado/html?q[1|r.idreserva]=6704","DEBORAH RIBEIRO DA SILVA")</f>
        <v>DEBORAH RIBEIRO DA SILVA</v>
      </c>
      <c r="S416">
        <v>10685996182</v>
      </c>
      <c r="T416">
        <v>5561998318942</v>
      </c>
      <c r="U416">
        <v>5561996425884</v>
      </c>
      <c r="V416" t="s">
        <v>2687</v>
      </c>
      <c r="W416" t="s">
        <v>187</v>
      </c>
      <c r="X416" t="s">
        <v>366</v>
      </c>
      <c r="Y416" t="s">
        <v>189</v>
      </c>
      <c r="Z416" t="s">
        <v>506</v>
      </c>
      <c r="AA416" t="s">
        <v>763</v>
      </c>
      <c r="AB416" t="s">
        <v>2688</v>
      </c>
      <c r="AC416" t="s">
        <v>598</v>
      </c>
      <c r="AD416" t="s">
        <v>598</v>
      </c>
      <c r="AF416" t="s">
        <v>250</v>
      </c>
      <c r="AG416" t="s">
        <v>251</v>
      </c>
      <c r="AH416" s="3">
        <v>245933.21</v>
      </c>
      <c r="AI416" s="3">
        <v>245933.21</v>
      </c>
      <c r="AJ416" s="1">
        <v>46151</v>
      </c>
      <c r="AN416" t="s">
        <v>172</v>
      </c>
      <c r="AR416" s="7" t="s">
        <v>353</v>
      </c>
      <c r="AT416" t="s">
        <v>173</v>
      </c>
      <c r="AU416" t="s">
        <v>175</v>
      </c>
      <c r="AW416">
        <v>0</v>
      </c>
      <c r="AX416" s="1">
        <v>46142</v>
      </c>
      <c r="AY416" s="2">
        <v>0.63031250000000005</v>
      </c>
      <c r="AZ416">
        <v>134150</v>
      </c>
      <c r="BA416" s="1">
        <v>45569</v>
      </c>
      <c r="BB416" s="1">
        <v>45881</v>
      </c>
      <c r="BC416" t="s">
        <v>0</v>
      </c>
      <c r="BD416" s="1">
        <v>46072</v>
      </c>
      <c r="BE416" t="s">
        <v>276</v>
      </c>
      <c r="BL416" s="4">
        <v>0</v>
      </c>
      <c r="BM416" s="1">
        <v>47031</v>
      </c>
      <c r="BN416" s="1">
        <v>46142</v>
      </c>
      <c r="BO416">
        <v>0</v>
      </c>
      <c r="BP416">
        <v>28690</v>
      </c>
      <c r="BQ416" t="s">
        <v>156</v>
      </c>
      <c r="BR416">
        <v>0</v>
      </c>
      <c r="BS416">
        <v>0</v>
      </c>
      <c r="BT416">
        <v>0</v>
      </c>
      <c r="BU416">
        <v>0</v>
      </c>
      <c r="BV416" s="3">
        <v>245933.21</v>
      </c>
      <c r="BX416">
        <v>0</v>
      </c>
      <c r="BZ416">
        <v>0</v>
      </c>
      <c r="CA416">
        <v>0</v>
      </c>
      <c r="CB416">
        <v>0</v>
      </c>
      <c r="CC416" s="3">
        <v>245933.21</v>
      </c>
      <c r="CD416" s="5">
        <v>0</v>
      </c>
      <c r="CF416" s="6">
        <v>46113</v>
      </c>
      <c r="CH416">
        <v>0</v>
      </c>
      <c r="CI416">
        <v>0</v>
      </c>
      <c r="CJ416">
        <v>0</v>
      </c>
      <c r="CK416">
        <v>0</v>
      </c>
      <c r="CL416">
        <v>0</v>
      </c>
      <c r="CM416">
        <v>0</v>
      </c>
      <c r="CN416">
        <v>0</v>
      </c>
      <c r="CO416">
        <v>0</v>
      </c>
      <c r="CP416">
        <v>0</v>
      </c>
      <c r="CQ416">
        <v>0</v>
      </c>
      <c r="CR416">
        <v>0</v>
      </c>
      <c r="CS416" t="s">
        <v>649</v>
      </c>
      <c r="CT416" t="s">
        <v>190</v>
      </c>
      <c r="CU416" t="s">
        <v>2685</v>
      </c>
      <c r="CW416">
        <v>-47.818800000000003</v>
      </c>
      <c r="CZ416" s="1">
        <v>46072</v>
      </c>
      <c r="DA416" t="s">
        <v>172</v>
      </c>
      <c r="DB416" t="s">
        <v>172</v>
      </c>
      <c r="DC416" t="s">
        <v>172</v>
      </c>
      <c r="DD416" t="s">
        <v>172</v>
      </c>
      <c r="DG416" s="1">
        <v>46072</v>
      </c>
      <c r="DH416">
        <v>0</v>
      </c>
      <c r="DI416">
        <v>0</v>
      </c>
      <c r="DJ416" s="1">
        <v>46142</v>
      </c>
      <c r="DL416" t="s">
        <v>963</v>
      </c>
      <c r="DM416" t="s">
        <v>172</v>
      </c>
      <c r="DN416" t="s">
        <v>201</v>
      </c>
      <c r="DV416" s="3">
        <v>245933.21</v>
      </c>
      <c r="DW416">
        <v>0</v>
      </c>
      <c r="DX416" s="3">
        <v>245933.21</v>
      </c>
      <c r="DY416">
        <v>0</v>
      </c>
      <c r="EF416" s="1">
        <v>46141</v>
      </c>
      <c r="EG416" s="1">
        <v>46139</v>
      </c>
      <c r="EK416" s="1">
        <v>46141</v>
      </c>
      <c r="EL416" s="1">
        <v>46141</v>
      </c>
      <c r="EM416" s="1">
        <v>46141</v>
      </c>
      <c r="EN416" t="s">
        <v>156</v>
      </c>
      <c r="EP416" s="1">
        <v>46141</v>
      </c>
      <c r="ER416" s="1">
        <v>46135</v>
      </c>
      <c r="ES416" t="s">
        <v>2689</v>
      </c>
      <c r="ET416" t="s">
        <v>2690</v>
      </c>
      <c r="EU416" s="1">
        <v>46139</v>
      </c>
      <c r="EW416" s="1">
        <v>46129</v>
      </c>
    </row>
    <row r="417" spans="1:153" x14ac:dyDescent="0.35">
      <c r="A417" t="str">
        <f>HYPERLINK("https://7lm.cvcrm.com.br/gestor/comercial/reservas/6703/administrar","6703")</f>
        <v>6703</v>
      </c>
      <c r="B417" t="s">
        <v>172</v>
      </c>
      <c r="C417" s="1">
        <v>46071</v>
      </c>
      <c r="D417" s="2">
        <v>0.68454861111111109</v>
      </c>
      <c r="E417" t="s">
        <v>527</v>
      </c>
      <c r="F417" t="s">
        <v>2451</v>
      </c>
      <c r="G417" t="s">
        <v>203</v>
      </c>
      <c r="H417" t="s">
        <v>204</v>
      </c>
      <c r="I417" t="s">
        <v>2679</v>
      </c>
      <c r="J417">
        <v>1</v>
      </c>
      <c r="L417">
        <v>30061</v>
      </c>
      <c r="M417" t="s">
        <v>2680</v>
      </c>
      <c r="R417" t="str">
        <f>HYPERLINK("https://7lm.cvcrm.com.br/gestor/relatorios/associado/html?q[1|r.idreserva]=6703","YASMIN SALES GUIMARAES")</f>
        <v>YASMIN SALES GUIMARAES</v>
      </c>
      <c r="S417">
        <v>8640617147</v>
      </c>
      <c r="T417">
        <v>5561996385265</v>
      </c>
      <c r="V417" t="s">
        <v>2691</v>
      </c>
      <c r="W417" t="s">
        <v>187</v>
      </c>
      <c r="X417" t="s">
        <v>376</v>
      </c>
      <c r="Y417" t="s">
        <v>189</v>
      </c>
      <c r="Z417" t="s">
        <v>190</v>
      </c>
      <c r="AA417" t="s">
        <v>300</v>
      </c>
      <c r="AB417" t="s">
        <v>2692</v>
      </c>
      <c r="AC417" t="s">
        <v>534</v>
      </c>
      <c r="AF417" t="s">
        <v>303</v>
      </c>
      <c r="AG417" t="s">
        <v>251</v>
      </c>
      <c r="AH417" s="3">
        <v>240042.07</v>
      </c>
      <c r="AI417" s="3">
        <v>240042.07</v>
      </c>
      <c r="AJ417" s="1">
        <v>46080</v>
      </c>
      <c r="AN417" t="s">
        <v>172</v>
      </c>
      <c r="AO417" t="s">
        <v>1334</v>
      </c>
      <c r="AR417" t="s">
        <v>2693</v>
      </c>
      <c r="AT417" t="s">
        <v>196</v>
      </c>
      <c r="AU417" t="s">
        <v>292</v>
      </c>
      <c r="AW417">
        <v>0</v>
      </c>
      <c r="AX417" s="1">
        <v>46072</v>
      </c>
      <c r="AY417" s="2">
        <v>0.48744212962962963</v>
      </c>
      <c r="AZ417">
        <v>177984</v>
      </c>
      <c r="BA417" s="1">
        <v>45989</v>
      </c>
      <c r="BC417" t="s">
        <v>0</v>
      </c>
      <c r="BD417" s="1">
        <v>46071</v>
      </c>
      <c r="BE417" t="s">
        <v>176</v>
      </c>
      <c r="BL417" s="4">
        <v>0</v>
      </c>
      <c r="BM417" s="1">
        <v>46788</v>
      </c>
      <c r="BO417">
        <v>0</v>
      </c>
      <c r="BP417">
        <v>26384</v>
      </c>
      <c r="BQ417" t="s">
        <v>156</v>
      </c>
      <c r="BR417" s="3">
        <v>134550.07</v>
      </c>
      <c r="BS417" s="3">
        <v>20440</v>
      </c>
      <c r="BT417">
        <v>0</v>
      </c>
      <c r="BU417" s="3">
        <v>154990.07</v>
      </c>
      <c r="BV417" s="3">
        <v>240042.07</v>
      </c>
      <c r="BX417">
        <v>0</v>
      </c>
      <c r="BZ417">
        <v>0</v>
      </c>
      <c r="CA417">
        <v>0</v>
      </c>
      <c r="CB417">
        <v>0</v>
      </c>
      <c r="CC417" s="3">
        <v>240042.07</v>
      </c>
      <c r="CD417" s="5">
        <v>0</v>
      </c>
      <c r="CF417" s="6">
        <v>46054</v>
      </c>
      <c r="CH417">
        <v>0</v>
      </c>
      <c r="CI417">
        <v>0</v>
      </c>
      <c r="CJ417">
        <v>0</v>
      </c>
      <c r="CK417">
        <v>0</v>
      </c>
      <c r="CL417">
        <v>0</v>
      </c>
      <c r="CM417">
        <v>0</v>
      </c>
      <c r="CN417">
        <v>0</v>
      </c>
      <c r="CO417">
        <v>0</v>
      </c>
      <c r="CP417">
        <v>0</v>
      </c>
      <c r="CQ417">
        <v>0</v>
      </c>
      <c r="CR417">
        <v>0</v>
      </c>
      <c r="CT417" t="s">
        <v>190</v>
      </c>
      <c r="CU417" t="s">
        <v>2679</v>
      </c>
      <c r="CW417">
        <v>0</v>
      </c>
      <c r="CZ417" s="1">
        <v>46071</v>
      </c>
      <c r="DA417" t="s">
        <v>172</v>
      </c>
      <c r="DB417" t="s">
        <v>172</v>
      </c>
      <c r="DC417" t="s">
        <v>172</v>
      </c>
      <c r="DD417" t="s">
        <v>172</v>
      </c>
      <c r="DG417" s="1">
        <v>46071</v>
      </c>
      <c r="DH417">
        <v>0</v>
      </c>
      <c r="DI417">
        <v>0</v>
      </c>
      <c r="DL417" t="s">
        <v>2473</v>
      </c>
      <c r="DM417" t="s">
        <v>172</v>
      </c>
      <c r="DN417" t="s">
        <v>201</v>
      </c>
      <c r="DP417" s="4">
        <v>1.2E-2</v>
      </c>
      <c r="DV417" s="3">
        <v>240042.07</v>
      </c>
      <c r="DW417">
        <v>0</v>
      </c>
      <c r="DX417" s="3">
        <v>240042.07</v>
      </c>
      <c r="DY417">
        <v>0</v>
      </c>
      <c r="EN417" t="s">
        <v>537</v>
      </c>
      <c r="EU417" s="1">
        <v>46076</v>
      </c>
    </row>
    <row r="418" spans="1:153" ht="246.5" x14ac:dyDescent="0.35">
      <c r="A418" t="str">
        <f>HYPERLINK("https://7lm.cvcrm.com.br/gestor/comercial/reservas/6702/administrar","6702")</f>
        <v>6702</v>
      </c>
      <c r="B418" t="s">
        <v>156</v>
      </c>
      <c r="C418" s="1">
        <v>46071</v>
      </c>
      <c r="D418" s="2">
        <v>0.61490740740740746</v>
      </c>
      <c r="E418" t="s">
        <v>294</v>
      </c>
      <c r="F418" t="s">
        <v>2451</v>
      </c>
      <c r="G418" t="s">
        <v>203</v>
      </c>
      <c r="H418" t="s">
        <v>319</v>
      </c>
      <c r="I418" t="s">
        <v>976</v>
      </c>
      <c r="J418">
        <v>1</v>
      </c>
      <c r="L418">
        <v>30061</v>
      </c>
      <c r="M418" t="s">
        <v>2694</v>
      </c>
      <c r="N418" s="1">
        <v>46077</v>
      </c>
      <c r="O418" s="2">
        <v>0.68861111111111106</v>
      </c>
      <c r="R418" t="str">
        <f>HYPERLINK("https://7lm.cvcrm.com.br/gestor/relatorios/associado/html?q[1|r.idreserva]=6702","LARISSA NUNES MURRINHO")</f>
        <v>LARISSA NUNES MURRINHO</v>
      </c>
      <c r="S418">
        <v>71248309154</v>
      </c>
      <c r="T418">
        <v>5562981814493</v>
      </c>
      <c r="V418" t="s">
        <v>2695</v>
      </c>
      <c r="W418" t="s">
        <v>187</v>
      </c>
      <c r="X418" t="s">
        <v>376</v>
      </c>
      <c r="Y418" t="s">
        <v>189</v>
      </c>
      <c r="Z418" t="s">
        <v>190</v>
      </c>
      <c r="AA418" t="s">
        <v>685</v>
      </c>
      <c r="AB418" t="s">
        <v>2696</v>
      </c>
      <c r="AC418" t="s">
        <v>302</v>
      </c>
      <c r="AD418" t="s">
        <v>302</v>
      </c>
      <c r="AF418" t="s">
        <v>303</v>
      </c>
      <c r="AG418" t="s">
        <v>251</v>
      </c>
      <c r="AH418" s="3">
        <v>244933.24</v>
      </c>
      <c r="AI418" s="3">
        <v>244933.24</v>
      </c>
      <c r="AJ418" s="1">
        <v>46127</v>
      </c>
      <c r="AN418" t="s">
        <v>172</v>
      </c>
      <c r="AR418" s="7" t="s">
        <v>353</v>
      </c>
      <c r="AT418" t="s">
        <v>196</v>
      </c>
      <c r="AU418" t="s">
        <v>292</v>
      </c>
      <c r="AW418">
        <v>0</v>
      </c>
      <c r="AX418" s="1">
        <v>46079</v>
      </c>
      <c r="AY418" s="2">
        <v>0.47460648148148149</v>
      </c>
      <c r="AZ418">
        <v>124382</v>
      </c>
      <c r="BA418" s="1">
        <v>45488</v>
      </c>
      <c r="BC418" t="s">
        <v>0</v>
      </c>
      <c r="BD418" s="1">
        <v>46071</v>
      </c>
      <c r="BE418" t="s">
        <v>175</v>
      </c>
      <c r="BL418" s="4">
        <v>0</v>
      </c>
      <c r="BM418" s="1">
        <v>46788</v>
      </c>
      <c r="BN418" s="1">
        <v>46079</v>
      </c>
      <c r="BO418">
        <v>0</v>
      </c>
      <c r="BP418">
        <v>28407</v>
      </c>
      <c r="BQ418" t="s">
        <v>156</v>
      </c>
      <c r="BR418" s="3">
        <v>134341.45000000001</v>
      </c>
      <c r="BS418" s="3">
        <v>26115</v>
      </c>
      <c r="BT418">
        <v>0</v>
      </c>
      <c r="BU418" s="3">
        <v>160456.45000000001</v>
      </c>
      <c r="BV418" s="3">
        <v>244933.24</v>
      </c>
      <c r="BX418">
        <v>0</v>
      </c>
      <c r="BZ418">
        <v>0</v>
      </c>
      <c r="CA418">
        <v>0</v>
      </c>
      <c r="CB418">
        <v>0</v>
      </c>
      <c r="CC418" s="3">
        <v>244933.24</v>
      </c>
      <c r="CD418" s="5">
        <v>0</v>
      </c>
      <c r="CF418" s="6">
        <v>46054</v>
      </c>
      <c r="CH418">
        <v>0</v>
      </c>
      <c r="CI418">
        <v>0</v>
      </c>
      <c r="CJ418">
        <v>0</v>
      </c>
      <c r="CK418">
        <v>0</v>
      </c>
      <c r="CL418">
        <v>0</v>
      </c>
      <c r="CM418">
        <v>0</v>
      </c>
      <c r="CN418">
        <v>0</v>
      </c>
      <c r="CO418">
        <v>0</v>
      </c>
      <c r="CP418">
        <v>0</v>
      </c>
      <c r="CQ418">
        <v>0</v>
      </c>
      <c r="CR418">
        <v>0</v>
      </c>
      <c r="CS418" t="s">
        <v>360</v>
      </c>
      <c r="CT418" t="s">
        <v>190</v>
      </c>
      <c r="CU418" t="s">
        <v>976</v>
      </c>
      <c r="CW418">
        <v>-48.632399999999997</v>
      </c>
      <c r="CZ418" s="1">
        <v>46071</v>
      </c>
      <c r="DA418" t="s">
        <v>172</v>
      </c>
      <c r="DB418" t="s">
        <v>172</v>
      </c>
      <c r="DC418" t="s">
        <v>172</v>
      </c>
      <c r="DD418" t="s">
        <v>172</v>
      </c>
      <c r="DG418" s="1">
        <v>46071</v>
      </c>
      <c r="DH418">
        <v>0</v>
      </c>
      <c r="DI418">
        <v>0</v>
      </c>
      <c r="DL418" t="s">
        <v>2473</v>
      </c>
      <c r="DM418" t="s">
        <v>172</v>
      </c>
      <c r="DN418" t="s">
        <v>201</v>
      </c>
      <c r="DV418" s="3">
        <v>244933.24</v>
      </c>
      <c r="DW418">
        <v>0</v>
      </c>
      <c r="DX418" s="3">
        <v>244933.24</v>
      </c>
      <c r="DY418">
        <v>0</v>
      </c>
      <c r="EG418" s="1">
        <v>46076</v>
      </c>
      <c r="EN418" t="s">
        <v>156</v>
      </c>
      <c r="EP418" s="1">
        <v>46076</v>
      </c>
      <c r="ER418" s="1">
        <v>46073</v>
      </c>
      <c r="ES418" t="s">
        <v>2697</v>
      </c>
      <c r="EU418" s="1">
        <v>46073</v>
      </c>
      <c r="EW418" s="1">
        <v>46071</v>
      </c>
    </row>
    <row r="419" spans="1:153" ht="232" x14ac:dyDescent="0.35">
      <c r="A419" t="str">
        <f>HYPERLINK("https://7lm.cvcrm.com.br/gestor/comercial/reservas/6701/administrar","6701")</f>
        <v>6701</v>
      </c>
      <c r="B419" t="s">
        <v>172</v>
      </c>
      <c r="C419" s="1">
        <v>46069</v>
      </c>
      <c r="D419" s="2">
        <v>0.61597222222222225</v>
      </c>
      <c r="E419" t="s">
        <v>527</v>
      </c>
      <c r="F419" t="s">
        <v>2451</v>
      </c>
      <c r="G419" t="s">
        <v>203</v>
      </c>
      <c r="H419" t="s">
        <v>336</v>
      </c>
      <c r="I419" t="s">
        <v>818</v>
      </c>
      <c r="J419">
        <v>1</v>
      </c>
      <c r="L419">
        <v>30061</v>
      </c>
      <c r="M419" t="s">
        <v>2698</v>
      </c>
      <c r="R419" t="str">
        <f>HYPERLINK("https://7lm.cvcrm.com.br/gestor/relatorios/associado/html?q[1|r.idreserva]=6701","DANIELE DE SOUZA")</f>
        <v>DANIELE DE SOUZA</v>
      </c>
      <c r="S419">
        <v>71149423110</v>
      </c>
      <c r="T419">
        <v>5561996470858</v>
      </c>
      <c r="V419" t="s">
        <v>2625</v>
      </c>
      <c r="W419" t="s">
        <v>187</v>
      </c>
      <c r="X419" t="s">
        <v>2626</v>
      </c>
      <c r="Y419" t="s">
        <v>189</v>
      </c>
      <c r="Z419" t="s">
        <v>190</v>
      </c>
      <c r="AA419" t="s">
        <v>806</v>
      </c>
      <c r="AB419" t="s">
        <v>2627</v>
      </c>
      <c r="AC419" t="s">
        <v>2088</v>
      </c>
      <c r="AD419" t="s">
        <v>2088</v>
      </c>
      <c r="AF419" t="s">
        <v>303</v>
      </c>
      <c r="AG419" t="s">
        <v>251</v>
      </c>
      <c r="AH419" s="3">
        <v>240000</v>
      </c>
      <c r="AI419" s="3">
        <v>240000</v>
      </c>
      <c r="AJ419" s="1">
        <v>46097</v>
      </c>
      <c r="AN419" t="s">
        <v>172</v>
      </c>
      <c r="AO419" t="s">
        <v>725</v>
      </c>
      <c r="AP419" t="s">
        <v>1600</v>
      </c>
      <c r="AR419" s="7" t="s">
        <v>2699</v>
      </c>
      <c r="AT419" t="s">
        <v>196</v>
      </c>
      <c r="AU419" t="s">
        <v>292</v>
      </c>
      <c r="AW419">
        <v>0</v>
      </c>
      <c r="AX419" s="1">
        <v>46076</v>
      </c>
      <c r="AY419" s="2">
        <v>0.42831018518518521</v>
      </c>
      <c r="AZ419">
        <v>187890</v>
      </c>
      <c r="BA419" s="1">
        <v>46059</v>
      </c>
      <c r="BC419" t="s">
        <v>0</v>
      </c>
      <c r="BD419" s="1">
        <v>46074</v>
      </c>
      <c r="BE419" t="s">
        <v>276</v>
      </c>
      <c r="BL419" s="4">
        <v>0</v>
      </c>
      <c r="BM419" s="1">
        <v>46788</v>
      </c>
      <c r="BO419">
        <v>0</v>
      </c>
      <c r="BP419">
        <v>28299</v>
      </c>
      <c r="BQ419" t="s">
        <v>156</v>
      </c>
      <c r="BR419" s="3">
        <v>134341.45000000001</v>
      </c>
      <c r="BS419" s="3">
        <v>19010</v>
      </c>
      <c r="BT419">
        <v>0</v>
      </c>
      <c r="BU419" s="3">
        <v>153351.45000000001</v>
      </c>
      <c r="BV419" s="3">
        <v>240000</v>
      </c>
      <c r="BX419">
        <v>0</v>
      </c>
      <c r="BZ419">
        <v>0</v>
      </c>
      <c r="CA419">
        <v>0</v>
      </c>
      <c r="CB419">
        <v>0</v>
      </c>
      <c r="CC419" s="3">
        <v>240000</v>
      </c>
      <c r="CD419" s="5">
        <v>0</v>
      </c>
      <c r="CF419" s="6">
        <v>46054</v>
      </c>
      <c r="CH419">
        <v>0</v>
      </c>
      <c r="CI419">
        <v>0</v>
      </c>
      <c r="CJ419">
        <v>0</v>
      </c>
      <c r="CK419">
        <v>0</v>
      </c>
      <c r="CL419">
        <v>0</v>
      </c>
      <c r="CM419">
        <v>0</v>
      </c>
      <c r="CN419">
        <v>0</v>
      </c>
      <c r="CO419">
        <v>0</v>
      </c>
      <c r="CP419">
        <v>0</v>
      </c>
      <c r="CQ419">
        <v>0</v>
      </c>
      <c r="CR419">
        <v>0</v>
      </c>
      <c r="CT419" t="s">
        <v>190</v>
      </c>
      <c r="CU419" t="s">
        <v>818</v>
      </c>
      <c r="CW419">
        <v>0</v>
      </c>
      <c r="CZ419" s="1">
        <v>46069</v>
      </c>
      <c r="DA419" t="s">
        <v>172</v>
      </c>
      <c r="DB419" t="s">
        <v>172</v>
      </c>
      <c r="DC419" t="s">
        <v>172</v>
      </c>
      <c r="DD419" t="s">
        <v>172</v>
      </c>
      <c r="DG419" s="1">
        <v>46069</v>
      </c>
      <c r="DH419">
        <v>0</v>
      </c>
      <c r="DI419">
        <v>0</v>
      </c>
      <c r="DL419" t="s">
        <v>200</v>
      </c>
      <c r="DM419" t="s">
        <v>172</v>
      </c>
      <c r="DN419" t="s">
        <v>201</v>
      </c>
      <c r="DV419" s="3">
        <v>240000</v>
      </c>
      <c r="DW419">
        <v>0</v>
      </c>
      <c r="DX419" s="3">
        <v>240000</v>
      </c>
      <c r="DY419">
        <v>0</v>
      </c>
      <c r="EN419" t="s">
        <v>537</v>
      </c>
      <c r="ET419" t="s">
        <v>2700</v>
      </c>
      <c r="EU419" s="1">
        <v>46072</v>
      </c>
      <c r="EW419" s="1">
        <v>46069</v>
      </c>
    </row>
    <row r="420" spans="1:153" x14ac:dyDescent="0.35">
      <c r="A420" t="str">
        <f>HYPERLINK("https://7lm.cvcrm.com.br/gestor/comercial/reservas/6700/administrar","6700")</f>
        <v>6700</v>
      </c>
      <c r="B420" t="s">
        <v>156</v>
      </c>
      <c r="C420" s="1">
        <v>46069</v>
      </c>
      <c r="D420" s="2">
        <v>0.57030092592592596</v>
      </c>
      <c r="E420" t="s">
        <v>294</v>
      </c>
      <c r="F420" t="s">
        <v>2451</v>
      </c>
      <c r="G420" t="s">
        <v>203</v>
      </c>
      <c r="H420" t="s">
        <v>204</v>
      </c>
      <c r="I420" t="s">
        <v>449</v>
      </c>
      <c r="J420">
        <v>1</v>
      </c>
      <c r="L420">
        <v>30061</v>
      </c>
      <c r="M420" t="s">
        <v>2701</v>
      </c>
      <c r="N420" s="1">
        <v>46078</v>
      </c>
      <c r="O420" s="2">
        <v>0.72633101851851856</v>
      </c>
      <c r="R420" t="str">
        <f>HYPERLINK("https://7lm.cvcrm.com.br/gestor/relatorios/associado/html?q[1|r.idreserva]=6700","BRENDA GEOVANA PEREIRA MATEUS")</f>
        <v>BRENDA GEOVANA PEREIRA MATEUS</v>
      </c>
      <c r="S420">
        <v>6837894145</v>
      </c>
      <c r="T420">
        <v>5561996654198</v>
      </c>
      <c r="V420" t="s">
        <v>2702</v>
      </c>
      <c r="W420" t="s">
        <v>187</v>
      </c>
      <c r="X420" t="s">
        <v>376</v>
      </c>
      <c r="Y420" t="s">
        <v>189</v>
      </c>
      <c r="Z420" t="s">
        <v>190</v>
      </c>
      <c r="AA420" t="s">
        <v>532</v>
      </c>
      <c r="AB420" t="s">
        <v>2703</v>
      </c>
      <c r="AC420" t="s">
        <v>881</v>
      </c>
      <c r="AD420" t="s">
        <v>881</v>
      </c>
      <c r="AF420" t="s">
        <v>303</v>
      </c>
      <c r="AG420" t="s">
        <v>251</v>
      </c>
      <c r="AH420" s="3">
        <v>244932.77</v>
      </c>
      <c r="AI420" s="3">
        <v>244932.77</v>
      </c>
      <c r="AJ420" s="1">
        <v>46127</v>
      </c>
      <c r="AN420" t="s">
        <v>172</v>
      </c>
      <c r="AR420" t="s">
        <v>2704</v>
      </c>
      <c r="AT420" t="s">
        <v>196</v>
      </c>
      <c r="AU420" t="s">
        <v>292</v>
      </c>
      <c r="AW420">
        <v>0</v>
      </c>
      <c r="AX420" s="1">
        <v>46079</v>
      </c>
      <c r="AY420" s="2">
        <v>0.47800925925925924</v>
      </c>
      <c r="AZ420">
        <v>111186</v>
      </c>
      <c r="BA420" s="1">
        <v>45364</v>
      </c>
      <c r="BC420" t="s">
        <v>0</v>
      </c>
      <c r="BD420" s="1">
        <v>46069</v>
      </c>
      <c r="BE420" t="s">
        <v>466</v>
      </c>
      <c r="BL420" s="4">
        <v>0</v>
      </c>
      <c r="BM420" s="1">
        <v>46788</v>
      </c>
      <c r="BN420" s="1">
        <v>46079</v>
      </c>
      <c r="BO420">
        <v>0</v>
      </c>
      <c r="BP420">
        <v>28403</v>
      </c>
      <c r="BQ420" t="s">
        <v>156</v>
      </c>
      <c r="BR420" s="3">
        <v>136096.22</v>
      </c>
      <c r="BS420" s="3">
        <v>19010</v>
      </c>
      <c r="BT420">
        <v>0</v>
      </c>
      <c r="BU420" s="3">
        <v>155106.22</v>
      </c>
      <c r="BV420" s="3">
        <v>244932.77</v>
      </c>
      <c r="BX420">
        <v>0</v>
      </c>
      <c r="BZ420">
        <v>0</v>
      </c>
      <c r="CA420">
        <v>0</v>
      </c>
      <c r="CB420">
        <v>0</v>
      </c>
      <c r="CC420" s="3">
        <v>244932.77</v>
      </c>
      <c r="CD420" s="5">
        <v>0</v>
      </c>
      <c r="CF420" s="6">
        <v>46054</v>
      </c>
      <c r="CH420">
        <v>0</v>
      </c>
      <c r="CI420">
        <v>0</v>
      </c>
      <c r="CJ420">
        <v>0</v>
      </c>
      <c r="CK420">
        <v>0</v>
      </c>
      <c r="CL420">
        <v>0</v>
      </c>
      <c r="CM420">
        <v>0</v>
      </c>
      <c r="CN420">
        <v>0</v>
      </c>
      <c r="CO420">
        <v>0</v>
      </c>
      <c r="CP420">
        <v>0</v>
      </c>
      <c r="CQ420">
        <v>0</v>
      </c>
      <c r="CR420">
        <v>0</v>
      </c>
      <c r="CS420" t="s">
        <v>360</v>
      </c>
      <c r="CT420" t="s">
        <v>190</v>
      </c>
      <c r="CU420" t="s">
        <v>449</v>
      </c>
      <c r="CW420">
        <v>-47.065300000000001</v>
      </c>
      <c r="CZ420" s="1">
        <v>46069</v>
      </c>
      <c r="DA420" t="s">
        <v>172</v>
      </c>
      <c r="DB420" t="s">
        <v>172</v>
      </c>
      <c r="DC420" t="s">
        <v>172</v>
      </c>
      <c r="DD420" t="s">
        <v>172</v>
      </c>
      <c r="DG420" s="1">
        <v>46069</v>
      </c>
      <c r="DH420">
        <v>0</v>
      </c>
      <c r="DI420">
        <v>0</v>
      </c>
      <c r="DL420" t="s">
        <v>2473</v>
      </c>
      <c r="DM420" t="s">
        <v>172</v>
      </c>
      <c r="DN420" t="s">
        <v>201</v>
      </c>
      <c r="DV420" s="3">
        <v>244932.77</v>
      </c>
      <c r="DW420">
        <v>0</v>
      </c>
      <c r="DX420" s="3">
        <v>244932.77</v>
      </c>
      <c r="DY420">
        <v>0</v>
      </c>
      <c r="EG420" s="1">
        <v>46076</v>
      </c>
      <c r="EN420" t="s">
        <v>156</v>
      </c>
      <c r="EP420" s="1">
        <v>46072</v>
      </c>
      <c r="ER420" s="1">
        <v>46072</v>
      </c>
      <c r="ES420" t="s">
        <v>2705</v>
      </c>
      <c r="ET420" t="s">
        <v>2706</v>
      </c>
      <c r="EU420" s="1">
        <v>46072</v>
      </c>
      <c r="EW420" s="1">
        <v>46069</v>
      </c>
    </row>
    <row r="421" spans="1:153" ht="246.5" x14ac:dyDescent="0.35">
      <c r="A421" t="str">
        <f>HYPERLINK("https://7lm.cvcrm.com.br/gestor/comercial/reservas/6699/administrar","6699")</f>
        <v>6699</v>
      </c>
      <c r="B421" t="s">
        <v>156</v>
      </c>
      <c r="C421" s="1">
        <v>46069</v>
      </c>
      <c r="D421" s="2">
        <v>0.53780092592592588</v>
      </c>
      <c r="E421" t="s">
        <v>294</v>
      </c>
      <c r="F421" t="s">
        <v>2451</v>
      </c>
      <c r="G421" t="s">
        <v>203</v>
      </c>
      <c r="H421" t="s">
        <v>319</v>
      </c>
      <c r="I421" t="s">
        <v>1039</v>
      </c>
      <c r="J421">
        <v>1</v>
      </c>
      <c r="L421">
        <v>30061</v>
      </c>
      <c r="M421" t="s">
        <v>2707</v>
      </c>
      <c r="N421" s="1">
        <v>46069</v>
      </c>
      <c r="O421" s="2">
        <v>0.62763888888888886</v>
      </c>
      <c r="R421" t="str">
        <f>HYPERLINK("https://7lm.cvcrm.com.br/gestor/relatorios/associado/html?q[1|r.idreserva]=6699","TAIS SILVA DE MELO")</f>
        <v>TAIS SILVA DE MELO</v>
      </c>
      <c r="S421">
        <v>8584172190</v>
      </c>
      <c r="T421">
        <v>5561998737252</v>
      </c>
      <c r="V421" t="s">
        <v>2708</v>
      </c>
      <c r="W421" t="s">
        <v>187</v>
      </c>
      <c r="X421" t="s">
        <v>2709</v>
      </c>
      <c r="Y421" t="s">
        <v>189</v>
      </c>
      <c r="Z421" t="s">
        <v>190</v>
      </c>
      <c r="AA421" t="s">
        <v>799</v>
      </c>
      <c r="AB421" t="s">
        <v>2710</v>
      </c>
      <c r="AC421" t="s">
        <v>1104</v>
      </c>
      <c r="AF421" t="s">
        <v>303</v>
      </c>
      <c r="AG421" t="s">
        <v>195</v>
      </c>
      <c r="AH421" s="3">
        <v>245000</v>
      </c>
      <c r="AI421" s="3">
        <v>245000</v>
      </c>
      <c r="AJ421" s="1">
        <v>46097</v>
      </c>
      <c r="AN421" t="s">
        <v>172</v>
      </c>
      <c r="AR421" s="7" t="s">
        <v>353</v>
      </c>
      <c r="AT421" t="s">
        <v>196</v>
      </c>
      <c r="AU421" t="s">
        <v>292</v>
      </c>
      <c r="AW421">
        <v>0</v>
      </c>
      <c r="AX421" s="1">
        <v>46076</v>
      </c>
      <c r="AY421" s="2">
        <v>0.4216435185185185</v>
      </c>
      <c r="AZ421">
        <v>165023</v>
      </c>
      <c r="BA421" s="1">
        <v>45856</v>
      </c>
      <c r="BC421" t="s">
        <v>0</v>
      </c>
      <c r="BD421" s="1">
        <v>46069</v>
      </c>
      <c r="BE421" t="s">
        <v>176</v>
      </c>
      <c r="BL421" s="4">
        <v>0</v>
      </c>
      <c r="BM421" s="1">
        <v>46788</v>
      </c>
      <c r="BN421" s="1">
        <v>46076</v>
      </c>
      <c r="BO421">
        <v>0</v>
      </c>
      <c r="BP421">
        <v>28474</v>
      </c>
      <c r="BQ421" t="s">
        <v>156</v>
      </c>
      <c r="BR421" s="3">
        <v>136096.22</v>
      </c>
      <c r="BS421" s="3">
        <v>24961</v>
      </c>
      <c r="BT421">
        <v>0</v>
      </c>
      <c r="BU421" s="3">
        <v>161057.22</v>
      </c>
      <c r="BV421" s="3">
        <v>245000</v>
      </c>
      <c r="BX421">
        <v>0</v>
      </c>
      <c r="BZ421">
        <v>0</v>
      </c>
      <c r="CA421">
        <v>0</v>
      </c>
      <c r="CB421">
        <v>0</v>
      </c>
      <c r="CC421" s="3">
        <v>245000</v>
      </c>
      <c r="CD421" s="5">
        <v>0</v>
      </c>
      <c r="CF421" s="6">
        <v>46054</v>
      </c>
      <c r="CH421">
        <v>0</v>
      </c>
      <c r="CI421">
        <v>0</v>
      </c>
      <c r="CJ421">
        <v>0</v>
      </c>
      <c r="CK421">
        <v>0</v>
      </c>
      <c r="CL421">
        <v>0</v>
      </c>
      <c r="CM421">
        <v>0</v>
      </c>
      <c r="CN421">
        <v>0</v>
      </c>
      <c r="CO421">
        <v>0</v>
      </c>
      <c r="CP421">
        <v>0</v>
      </c>
      <c r="CQ421">
        <v>0</v>
      </c>
      <c r="CR421">
        <v>0</v>
      </c>
      <c r="CS421" t="s">
        <v>305</v>
      </c>
      <c r="CT421" t="s">
        <v>190</v>
      </c>
      <c r="CU421" t="s">
        <v>1039</v>
      </c>
      <c r="CW421">
        <v>-52.500999999999998</v>
      </c>
      <c r="CZ421" s="1">
        <v>46069</v>
      </c>
      <c r="DA421" t="s">
        <v>172</v>
      </c>
      <c r="DB421" t="s">
        <v>172</v>
      </c>
      <c r="DC421" t="s">
        <v>172</v>
      </c>
      <c r="DD421" t="s">
        <v>172</v>
      </c>
      <c r="DG421" s="1">
        <v>46069</v>
      </c>
      <c r="DH421">
        <v>0</v>
      </c>
      <c r="DI421">
        <v>0</v>
      </c>
      <c r="DL421" t="s">
        <v>2473</v>
      </c>
      <c r="DM421" t="s">
        <v>172</v>
      </c>
      <c r="DN421" t="s">
        <v>225</v>
      </c>
      <c r="DP421" s="8">
        <v>0.01</v>
      </c>
      <c r="DV421" s="3">
        <v>245000</v>
      </c>
      <c r="DW421">
        <v>0</v>
      </c>
      <c r="DX421" s="3">
        <v>245000</v>
      </c>
      <c r="DY421">
        <v>0</v>
      </c>
      <c r="EG421" s="1">
        <v>46071</v>
      </c>
      <c r="EN421" t="s">
        <v>156</v>
      </c>
      <c r="ER421" s="1">
        <v>46071</v>
      </c>
      <c r="ES421" t="s">
        <v>2711</v>
      </c>
      <c r="EU421" s="1">
        <v>46071</v>
      </c>
      <c r="EW421" s="1">
        <v>46069</v>
      </c>
    </row>
    <row r="422" spans="1:153" ht="246.5" x14ac:dyDescent="0.35">
      <c r="A422" t="str">
        <f>HYPERLINK("https://7lm.cvcrm.com.br/gestor/comercial/reservas/6698/administrar","6698")</f>
        <v>6698</v>
      </c>
      <c r="B422" t="s">
        <v>156</v>
      </c>
      <c r="C422" s="1">
        <v>46069</v>
      </c>
      <c r="D422" s="2">
        <v>0.46717592592592594</v>
      </c>
      <c r="E422" t="s">
        <v>294</v>
      </c>
      <c r="F422" t="s">
        <v>957</v>
      </c>
      <c r="G422" t="s">
        <v>159</v>
      </c>
      <c r="H422" t="s">
        <v>636</v>
      </c>
      <c r="I422" t="s">
        <v>637</v>
      </c>
      <c r="J422">
        <v>1</v>
      </c>
      <c r="K422">
        <v>2844</v>
      </c>
      <c r="L422">
        <v>30121</v>
      </c>
      <c r="M422" t="s">
        <v>2712</v>
      </c>
      <c r="N422" s="1">
        <v>46079</v>
      </c>
      <c r="O422" s="2">
        <v>0.49932870370370369</v>
      </c>
      <c r="R422" t="str">
        <f>HYPERLINK("https://7lm.cvcrm.com.br/gestor/relatorios/associado/html?q[1|r.idreserva]=6698","LILIANE DA SILVA SANTOS")</f>
        <v>LILIANE DA SILVA SANTOS</v>
      </c>
      <c r="S422">
        <v>70937461105</v>
      </c>
      <c r="T422">
        <v>5561996472104</v>
      </c>
      <c r="V422" t="s">
        <v>2713</v>
      </c>
      <c r="W422" t="s">
        <v>187</v>
      </c>
      <c r="X422" t="s">
        <v>2714</v>
      </c>
      <c r="Y422" t="s">
        <v>189</v>
      </c>
      <c r="Z422" t="s">
        <v>190</v>
      </c>
      <c r="AA422" t="s">
        <v>2715</v>
      </c>
      <c r="AB422" t="s">
        <v>2716</v>
      </c>
      <c r="AC422" t="s">
        <v>633</v>
      </c>
      <c r="AF422" t="s">
        <v>413</v>
      </c>
      <c r="AG422" t="s">
        <v>195</v>
      </c>
      <c r="AH422" s="3">
        <v>244926.68</v>
      </c>
      <c r="AI422" s="3">
        <v>244926.68</v>
      </c>
      <c r="AJ422" s="1">
        <v>46137</v>
      </c>
      <c r="AN422" t="s">
        <v>172</v>
      </c>
      <c r="AR422" s="7" t="s">
        <v>353</v>
      </c>
      <c r="AT422" t="s">
        <v>261</v>
      </c>
      <c r="AU422" t="s">
        <v>1403</v>
      </c>
      <c r="AW422">
        <v>0</v>
      </c>
      <c r="AX422" s="1">
        <v>46079</v>
      </c>
      <c r="AY422" s="2">
        <v>0.43854166666666666</v>
      </c>
      <c r="AZ422">
        <v>166558</v>
      </c>
      <c r="BA422" s="1">
        <v>45873</v>
      </c>
      <c r="BC422" t="s">
        <v>275</v>
      </c>
      <c r="BD422" s="1">
        <v>45873</v>
      </c>
      <c r="BE422" t="s">
        <v>276</v>
      </c>
      <c r="BL422" s="4">
        <v>0</v>
      </c>
      <c r="BM422" s="1">
        <v>47031</v>
      </c>
      <c r="BN422" s="1">
        <v>46079</v>
      </c>
      <c r="BO422">
        <v>0</v>
      </c>
      <c r="BP422">
        <v>28502</v>
      </c>
      <c r="BQ422" t="s">
        <v>156</v>
      </c>
      <c r="BR422" s="3">
        <v>113786.41</v>
      </c>
      <c r="BS422" s="3">
        <v>52136</v>
      </c>
      <c r="BT422">
        <v>0</v>
      </c>
      <c r="BU422" s="3">
        <v>165922.41</v>
      </c>
      <c r="BV422" s="3">
        <v>244926.68</v>
      </c>
      <c r="BX422">
        <v>0</v>
      </c>
      <c r="BZ422">
        <v>0</v>
      </c>
      <c r="CA422">
        <v>0</v>
      </c>
      <c r="CB422">
        <v>0</v>
      </c>
      <c r="CC422" s="3">
        <v>244926.68</v>
      </c>
      <c r="CD422" s="5">
        <v>0</v>
      </c>
      <c r="CF422" s="6">
        <v>46054</v>
      </c>
      <c r="CH422">
        <v>0</v>
      </c>
      <c r="CI422">
        <v>0</v>
      </c>
      <c r="CJ422">
        <v>0</v>
      </c>
      <c r="CK422">
        <v>0</v>
      </c>
      <c r="CL422">
        <v>0</v>
      </c>
      <c r="CM422">
        <v>0</v>
      </c>
      <c r="CN422">
        <v>0</v>
      </c>
      <c r="CO422">
        <v>0</v>
      </c>
      <c r="CP422">
        <v>0</v>
      </c>
      <c r="CQ422">
        <v>0</v>
      </c>
      <c r="CR422">
        <v>0</v>
      </c>
      <c r="CS422" t="s">
        <v>360</v>
      </c>
      <c r="CT422" t="s">
        <v>190</v>
      </c>
      <c r="CU422" t="s">
        <v>637</v>
      </c>
      <c r="CW422">
        <v>-48.879300000000001</v>
      </c>
      <c r="CZ422" s="1">
        <v>46069</v>
      </c>
      <c r="DA422" t="s">
        <v>172</v>
      </c>
      <c r="DB422" t="s">
        <v>172</v>
      </c>
      <c r="DC422" t="s">
        <v>172</v>
      </c>
      <c r="DD422" t="s">
        <v>172</v>
      </c>
      <c r="DG422" s="1">
        <v>46069</v>
      </c>
      <c r="DH422">
        <v>0</v>
      </c>
      <c r="DI422">
        <v>0</v>
      </c>
      <c r="DL422" t="s">
        <v>963</v>
      </c>
      <c r="DM422" t="s">
        <v>172</v>
      </c>
      <c r="DN422" t="s">
        <v>201</v>
      </c>
      <c r="DU422" t="s">
        <v>1238</v>
      </c>
      <c r="DV422" s="3">
        <v>262473.32</v>
      </c>
      <c r="DW422">
        <v>-51.73</v>
      </c>
      <c r="DX422" s="3">
        <v>262473.32</v>
      </c>
      <c r="DY422">
        <v>-51.73</v>
      </c>
      <c r="EG422" s="1">
        <v>46076</v>
      </c>
      <c r="EN422" t="s">
        <v>156</v>
      </c>
      <c r="EP422" s="1">
        <v>46076</v>
      </c>
    </row>
    <row r="423" spans="1:153" ht="246.5" x14ac:dyDescent="0.35">
      <c r="A423" t="str">
        <f>HYPERLINK("https://7lm.cvcrm.com.br/gestor/comercial/reservas/6697/administrar","6697")</f>
        <v>6697</v>
      </c>
      <c r="B423" t="s">
        <v>156</v>
      </c>
      <c r="C423" s="1">
        <v>46069</v>
      </c>
      <c r="D423" s="2">
        <v>0.45627314814814812</v>
      </c>
      <c r="E423" t="s">
        <v>294</v>
      </c>
      <c r="F423" t="s">
        <v>2451</v>
      </c>
      <c r="G423" t="s">
        <v>203</v>
      </c>
      <c r="H423" t="s">
        <v>404</v>
      </c>
      <c r="I423" t="s">
        <v>608</v>
      </c>
      <c r="J423">
        <v>1</v>
      </c>
      <c r="L423">
        <v>30061</v>
      </c>
      <c r="M423" t="s">
        <v>2717</v>
      </c>
      <c r="N423" s="1">
        <v>46077</v>
      </c>
      <c r="O423" s="2">
        <v>0.61280092592592594</v>
      </c>
      <c r="R423" t="str">
        <f>HYPERLINK("https://7lm.cvcrm.com.br/gestor/relatorios/associado/html?q[1|r.idreserva]=6697","FELIPE MATTHEUS ALARCAO BRAGA SILVA")</f>
        <v>FELIPE MATTHEUS ALARCAO BRAGA SILVA</v>
      </c>
      <c r="S423">
        <v>6779033162</v>
      </c>
      <c r="T423">
        <v>556196798535</v>
      </c>
      <c r="V423" t="s">
        <v>2718</v>
      </c>
      <c r="W423" t="s">
        <v>163</v>
      </c>
      <c r="X423" t="s">
        <v>376</v>
      </c>
      <c r="Y423" t="s">
        <v>189</v>
      </c>
      <c r="Z423" t="s">
        <v>190</v>
      </c>
      <c r="AA423" t="s">
        <v>190</v>
      </c>
      <c r="AB423" t="s">
        <v>2719</v>
      </c>
      <c r="AC423" t="s">
        <v>1944</v>
      </c>
      <c r="AF423" t="s">
        <v>194</v>
      </c>
      <c r="AG423" t="s">
        <v>251</v>
      </c>
      <c r="AH423" s="3">
        <v>239933.82</v>
      </c>
      <c r="AI423" s="3">
        <v>239933.82</v>
      </c>
      <c r="AJ423" s="1">
        <v>46069</v>
      </c>
      <c r="AN423" t="s">
        <v>172</v>
      </c>
      <c r="AR423" s="7" t="s">
        <v>353</v>
      </c>
      <c r="AT423" t="s">
        <v>196</v>
      </c>
      <c r="AU423" t="s">
        <v>590</v>
      </c>
      <c r="AW423">
        <v>0</v>
      </c>
      <c r="AX423" s="1">
        <v>46079</v>
      </c>
      <c r="AY423" s="2">
        <v>0.48098379629629628</v>
      </c>
      <c r="AZ423">
        <v>189015</v>
      </c>
      <c r="BA423" s="1">
        <v>46065</v>
      </c>
      <c r="BC423" t="s">
        <v>0</v>
      </c>
      <c r="BD423" s="1">
        <v>46069</v>
      </c>
      <c r="BE423" t="s">
        <v>198</v>
      </c>
      <c r="BL423" s="4">
        <v>0</v>
      </c>
      <c r="BM423" s="1">
        <v>46788</v>
      </c>
      <c r="BN423" s="1">
        <v>46079</v>
      </c>
      <c r="BO423">
        <v>0</v>
      </c>
      <c r="BP423">
        <v>28560</v>
      </c>
      <c r="BQ423" t="s">
        <v>156</v>
      </c>
      <c r="BR423" s="3">
        <v>127047.23</v>
      </c>
      <c r="BS423" s="3">
        <v>26162</v>
      </c>
      <c r="BT423">
        <v>0</v>
      </c>
      <c r="BU423" s="3">
        <v>153209.23000000001</v>
      </c>
      <c r="BV423" s="3">
        <v>239933.82</v>
      </c>
      <c r="BX423">
        <v>0</v>
      </c>
      <c r="BZ423">
        <v>0</v>
      </c>
      <c r="CA423">
        <v>0</v>
      </c>
      <c r="CB423">
        <v>0</v>
      </c>
      <c r="CC423" s="3">
        <v>239933.82</v>
      </c>
      <c r="CD423" s="5">
        <v>0</v>
      </c>
      <c r="CF423" s="6">
        <v>46054</v>
      </c>
      <c r="CH423">
        <v>0</v>
      </c>
      <c r="CI423">
        <v>0</v>
      </c>
      <c r="CJ423">
        <v>0</v>
      </c>
      <c r="CK423">
        <v>0</v>
      </c>
      <c r="CL423">
        <v>0</v>
      </c>
      <c r="CM423">
        <v>0</v>
      </c>
      <c r="CN423">
        <v>0</v>
      </c>
      <c r="CO423">
        <v>0</v>
      </c>
      <c r="CP423">
        <v>0</v>
      </c>
      <c r="CQ423">
        <v>0</v>
      </c>
      <c r="CR423">
        <v>0</v>
      </c>
      <c r="CS423" t="s">
        <v>360</v>
      </c>
      <c r="CT423" t="s">
        <v>190</v>
      </c>
      <c r="CU423" t="s">
        <v>608</v>
      </c>
      <c r="CW423">
        <v>-48.318800000000003</v>
      </c>
      <c r="CZ423" s="1">
        <v>46069</v>
      </c>
      <c r="DA423" t="s">
        <v>172</v>
      </c>
      <c r="DB423" t="s">
        <v>172</v>
      </c>
      <c r="DC423" t="s">
        <v>172</v>
      </c>
      <c r="DD423" t="s">
        <v>172</v>
      </c>
      <c r="DG423" s="1">
        <v>46069</v>
      </c>
      <c r="DH423">
        <v>0</v>
      </c>
      <c r="DI423">
        <v>0</v>
      </c>
      <c r="DL423" t="s">
        <v>2473</v>
      </c>
      <c r="DM423" t="s">
        <v>172</v>
      </c>
      <c r="DN423" t="s">
        <v>201</v>
      </c>
      <c r="DV423" s="3">
        <v>239933.82</v>
      </c>
      <c r="DW423">
        <v>0</v>
      </c>
      <c r="DX423" s="3">
        <v>239933.82</v>
      </c>
      <c r="DY423">
        <v>0</v>
      </c>
      <c r="EG423" s="1">
        <v>46073</v>
      </c>
      <c r="EN423" t="s">
        <v>156</v>
      </c>
      <c r="EP423" s="1">
        <v>46073</v>
      </c>
      <c r="ER423" s="1">
        <v>46071</v>
      </c>
      <c r="ES423" t="s">
        <v>2720</v>
      </c>
      <c r="ET423" t="s">
        <v>2721</v>
      </c>
      <c r="EU423" s="1">
        <v>46072</v>
      </c>
      <c r="EW423" s="1">
        <v>46069</v>
      </c>
    </row>
    <row r="424" spans="1:153" ht="246.5" x14ac:dyDescent="0.35">
      <c r="A424" t="str">
        <f>HYPERLINK("https://7lm.cvcrm.com.br/gestor/comercial/reservas/6696/administrar","6696")</f>
        <v>6696</v>
      </c>
      <c r="B424" t="s">
        <v>156</v>
      </c>
      <c r="C424" s="1">
        <v>46067</v>
      </c>
      <c r="D424" s="2">
        <v>0.7402199074074074</v>
      </c>
      <c r="E424" t="s">
        <v>294</v>
      </c>
      <c r="F424" t="s">
        <v>202</v>
      </c>
      <c r="G424" t="s">
        <v>203</v>
      </c>
      <c r="H424" t="s">
        <v>277</v>
      </c>
      <c r="I424" t="s">
        <v>2722</v>
      </c>
      <c r="J424">
        <v>1</v>
      </c>
      <c r="K424">
        <v>8157</v>
      </c>
      <c r="L424">
        <v>20031</v>
      </c>
      <c r="M424" t="s">
        <v>2723</v>
      </c>
      <c r="N424" s="1">
        <v>46076</v>
      </c>
      <c r="O424" s="2">
        <v>0.60515046296296293</v>
      </c>
      <c r="R424" t="str">
        <f>HYPERLINK("https://7lm.cvcrm.com.br/gestor/relatorios/associado/html?q[1|r.idreserva]=6696","AMANDA LARISSA SOBRINHA DA ROCHA")</f>
        <v>AMANDA LARISSA SOBRINHA DA ROCHA</v>
      </c>
      <c r="S424">
        <v>6141477194</v>
      </c>
      <c r="T424">
        <v>5561992896969</v>
      </c>
      <c r="V424" t="s">
        <v>2724</v>
      </c>
      <c r="W424" t="s">
        <v>187</v>
      </c>
      <c r="X424" t="s">
        <v>299</v>
      </c>
      <c r="Y424" t="s">
        <v>165</v>
      </c>
      <c r="Z424" t="s">
        <v>238</v>
      </c>
      <c r="AA424" t="s">
        <v>812</v>
      </c>
      <c r="AB424" t="s">
        <v>2725</v>
      </c>
      <c r="AC424" t="s">
        <v>1466</v>
      </c>
      <c r="AF424" t="s">
        <v>413</v>
      </c>
      <c r="AG424" t="s">
        <v>195</v>
      </c>
      <c r="AH424" s="3">
        <v>222379.61</v>
      </c>
      <c r="AI424" s="3">
        <v>222379.61</v>
      </c>
      <c r="AJ424" s="1">
        <v>46127</v>
      </c>
      <c r="AN424" t="s">
        <v>172</v>
      </c>
      <c r="AR424" s="7" t="s">
        <v>353</v>
      </c>
      <c r="AT424" t="s">
        <v>196</v>
      </c>
      <c r="AU424" t="s">
        <v>316</v>
      </c>
      <c r="AW424">
        <v>0</v>
      </c>
      <c r="AX424" s="1">
        <v>46073</v>
      </c>
      <c r="AY424" s="2">
        <v>0.37542824074074072</v>
      </c>
      <c r="AZ424">
        <v>105497</v>
      </c>
      <c r="BA424" s="1">
        <v>45316</v>
      </c>
      <c r="BC424" t="s">
        <v>0</v>
      </c>
      <c r="BD424" s="1">
        <v>46067</v>
      </c>
      <c r="BE424" t="s">
        <v>317</v>
      </c>
      <c r="BL424" s="4">
        <v>0</v>
      </c>
      <c r="BM424" s="1">
        <v>46808</v>
      </c>
      <c r="BN424" s="1">
        <v>46073</v>
      </c>
      <c r="BO424">
        <v>0</v>
      </c>
      <c r="BP424">
        <v>28551</v>
      </c>
      <c r="BQ424" t="s">
        <v>156</v>
      </c>
      <c r="BR424" s="3">
        <v>159948.53</v>
      </c>
      <c r="BS424" s="3">
        <v>8472</v>
      </c>
      <c r="BT424">
        <v>0</v>
      </c>
      <c r="BU424" s="3">
        <v>168420.53</v>
      </c>
      <c r="BV424" s="3">
        <v>222379.61</v>
      </c>
      <c r="BX424">
        <v>0</v>
      </c>
      <c r="BZ424">
        <v>0</v>
      </c>
      <c r="CA424">
        <v>0</v>
      </c>
      <c r="CB424">
        <v>0</v>
      </c>
      <c r="CC424" s="3">
        <v>222379.61</v>
      </c>
      <c r="CD424" s="5">
        <v>0</v>
      </c>
      <c r="CF424" s="6">
        <v>46054</v>
      </c>
      <c r="CH424">
        <v>0</v>
      </c>
      <c r="CI424">
        <v>0</v>
      </c>
      <c r="CJ424">
        <v>0</v>
      </c>
      <c r="CK424">
        <v>0</v>
      </c>
      <c r="CL424">
        <v>0</v>
      </c>
      <c r="CM424">
        <v>0</v>
      </c>
      <c r="CN424">
        <v>0</v>
      </c>
      <c r="CO424">
        <v>0</v>
      </c>
      <c r="CP424">
        <v>0</v>
      </c>
      <c r="CQ424">
        <v>0</v>
      </c>
      <c r="CR424">
        <v>0</v>
      </c>
      <c r="CS424" t="s">
        <v>360</v>
      </c>
      <c r="CT424" t="s">
        <v>214</v>
      </c>
      <c r="CU424" t="s">
        <v>2722</v>
      </c>
      <c r="CW424">
        <v>-53.980499999999999</v>
      </c>
      <c r="CZ424" s="1">
        <v>46067</v>
      </c>
      <c r="DA424" t="s">
        <v>172</v>
      </c>
      <c r="DB424" t="s">
        <v>172</v>
      </c>
      <c r="DC424" t="s">
        <v>172</v>
      </c>
      <c r="DD424" t="s">
        <v>172</v>
      </c>
      <c r="DG424" s="1">
        <v>46067</v>
      </c>
      <c r="DH424">
        <v>0</v>
      </c>
      <c r="DI424">
        <v>0</v>
      </c>
      <c r="DL424" t="s">
        <v>215</v>
      </c>
      <c r="DM424" t="s">
        <v>172</v>
      </c>
      <c r="DN424" t="s">
        <v>525</v>
      </c>
      <c r="DV424" s="3">
        <v>222379.61</v>
      </c>
      <c r="DW424">
        <v>0</v>
      </c>
      <c r="DX424" s="3">
        <v>222379.61</v>
      </c>
      <c r="DY424">
        <v>0</v>
      </c>
      <c r="EF424" s="1">
        <v>46076</v>
      </c>
      <c r="EG424" s="1">
        <v>46069</v>
      </c>
      <c r="EK424" s="1">
        <v>46076</v>
      </c>
      <c r="EP424" s="1">
        <v>46072</v>
      </c>
      <c r="ET424" t="s">
        <v>1074</v>
      </c>
      <c r="EU424" s="1">
        <v>46072</v>
      </c>
      <c r="EW424" s="1">
        <v>46067</v>
      </c>
    </row>
    <row r="425" spans="1:153" ht="246.5" x14ac:dyDescent="0.35">
      <c r="A425" t="str">
        <f>HYPERLINK("https://7lm.cvcrm.com.br/gestor/comercial/reservas/6695/administrar","6695")</f>
        <v>6695</v>
      </c>
      <c r="B425" t="s">
        <v>156</v>
      </c>
      <c r="C425" s="1">
        <v>46067</v>
      </c>
      <c r="D425" s="2">
        <v>0.50981481481481483</v>
      </c>
      <c r="E425" t="s">
        <v>294</v>
      </c>
      <c r="F425" t="s">
        <v>957</v>
      </c>
      <c r="G425" t="s">
        <v>159</v>
      </c>
      <c r="H425" t="s">
        <v>1371</v>
      </c>
      <c r="I425" t="s">
        <v>2726</v>
      </c>
      <c r="J425">
        <v>1</v>
      </c>
      <c r="L425">
        <v>30121</v>
      </c>
      <c r="M425" t="s">
        <v>2727</v>
      </c>
      <c r="N425" s="1">
        <v>46079</v>
      </c>
      <c r="O425" s="2">
        <v>0.5096180555555555</v>
      </c>
      <c r="R425" t="str">
        <f>HYPERLINK("https://7lm.cvcrm.com.br/gestor/relatorios/associado/html?q[1|r.idreserva]=6695","NICOLLY FLORENCIO DOS SANTOS")</f>
        <v>NICOLLY FLORENCIO DOS SANTOS</v>
      </c>
      <c r="S425">
        <v>71163335177</v>
      </c>
      <c r="T425">
        <v>5561996589620</v>
      </c>
      <c r="V425" t="s">
        <v>2728</v>
      </c>
      <c r="W425" t="s">
        <v>187</v>
      </c>
      <c r="X425" t="s">
        <v>2729</v>
      </c>
      <c r="Y425" t="s">
        <v>189</v>
      </c>
      <c r="Z425" t="s">
        <v>190</v>
      </c>
      <c r="AA425" t="s">
        <v>433</v>
      </c>
      <c r="AB425" t="s">
        <v>2730</v>
      </c>
      <c r="AC425" t="s">
        <v>1860</v>
      </c>
      <c r="AD425" t="s">
        <v>1861</v>
      </c>
      <c r="AF425" t="s">
        <v>250</v>
      </c>
      <c r="AG425" t="s">
        <v>251</v>
      </c>
      <c r="AH425" s="3">
        <v>245919.53</v>
      </c>
      <c r="AI425" s="3">
        <v>245919.53</v>
      </c>
      <c r="AJ425" s="1">
        <v>46095</v>
      </c>
      <c r="AN425" t="s">
        <v>172</v>
      </c>
      <c r="AR425" s="7" t="s">
        <v>353</v>
      </c>
      <c r="AT425" t="s">
        <v>173</v>
      </c>
      <c r="AU425" t="s">
        <v>175</v>
      </c>
      <c r="AW425">
        <v>0</v>
      </c>
      <c r="AX425" s="1">
        <v>46079</v>
      </c>
      <c r="AY425" s="2">
        <v>0.44817129629629632</v>
      </c>
      <c r="AZ425">
        <v>186642</v>
      </c>
      <c r="BA425" s="1">
        <v>46050</v>
      </c>
      <c r="BC425" t="s">
        <v>0</v>
      </c>
      <c r="BD425" s="1">
        <v>46067</v>
      </c>
      <c r="BE425" t="s">
        <v>175</v>
      </c>
      <c r="BL425" s="4">
        <v>0</v>
      </c>
      <c r="BM425" s="1">
        <v>47031</v>
      </c>
      <c r="BN425" s="1">
        <v>46079</v>
      </c>
      <c r="BO425">
        <v>0</v>
      </c>
      <c r="BP425">
        <v>28607</v>
      </c>
      <c r="BQ425" t="s">
        <v>156</v>
      </c>
      <c r="BR425">
        <v>0</v>
      </c>
      <c r="BS425">
        <v>0</v>
      </c>
      <c r="BT425">
        <v>0</v>
      </c>
      <c r="BU425">
        <v>0</v>
      </c>
      <c r="BV425" s="3">
        <v>245919.53</v>
      </c>
      <c r="BX425">
        <v>0</v>
      </c>
      <c r="BZ425">
        <v>0</v>
      </c>
      <c r="CA425">
        <v>0</v>
      </c>
      <c r="CB425">
        <v>0</v>
      </c>
      <c r="CC425" s="3">
        <v>245919.53</v>
      </c>
      <c r="CD425" s="5">
        <v>0</v>
      </c>
      <c r="CF425" s="6">
        <v>46054</v>
      </c>
      <c r="CH425">
        <v>0</v>
      </c>
      <c r="CI425">
        <v>0</v>
      </c>
      <c r="CJ425">
        <v>0</v>
      </c>
      <c r="CK425">
        <v>0</v>
      </c>
      <c r="CL425">
        <v>0</v>
      </c>
      <c r="CM425">
        <v>0</v>
      </c>
      <c r="CN425">
        <v>0</v>
      </c>
      <c r="CO425">
        <v>0</v>
      </c>
      <c r="CP425">
        <v>0</v>
      </c>
      <c r="CQ425">
        <v>0</v>
      </c>
      <c r="CR425">
        <v>0</v>
      </c>
      <c r="CS425" t="s">
        <v>360</v>
      </c>
      <c r="CT425" t="s">
        <v>190</v>
      </c>
      <c r="CU425" t="s">
        <v>2726</v>
      </c>
      <c r="CW425">
        <v>-47.555100000000003</v>
      </c>
      <c r="CZ425" s="1">
        <v>46067</v>
      </c>
      <c r="DA425" t="s">
        <v>172</v>
      </c>
      <c r="DB425" t="s">
        <v>172</v>
      </c>
      <c r="DC425" t="s">
        <v>172</v>
      </c>
      <c r="DD425" t="s">
        <v>172</v>
      </c>
      <c r="DG425" s="1">
        <v>46067</v>
      </c>
      <c r="DH425">
        <v>0</v>
      </c>
      <c r="DI425">
        <v>0</v>
      </c>
      <c r="DL425" t="s">
        <v>963</v>
      </c>
      <c r="DM425" t="s">
        <v>172</v>
      </c>
      <c r="DN425" t="s">
        <v>201</v>
      </c>
      <c r="DV425" s="3">
        <v>245919.53</v>
      </c>
      <c r="DW425">
        <v>0</v>
      </c>
      <c r="DX425" s="3">
        <v>245919.53</v>
      </c>
      <c r="DY425">
        <v>0</v>
      </c>
      <c r="EG425" s="1">
        <v>46077</v>
      </c>
      <c r="EN425" t="s">
        <v>172</v>
      </c>
      <c r="EP425" s="1">
        <v>46079</v>
      </c>
      <c r="ER425" s="1">
        <v>46073</v>
      </c>
      <c r="ES425" t="s">
        <v>2731</v>
      </c>
      <c r="EU425" s="1">
        <v>46077</v>
      </c>
      <c r="EW425" s="1">
        <v>46067</v>
      </c>
    </row>
    <row r="426" spans="1:153" x14ac:dyDescent="0.35">
      <c r="A426" t="str">
        <f>HYPERLINK("https://7lm.cvcrm.com.br/gestor/comercial/reservas/6694/administrar","6694")</f>
        <v>6694</v>
      </c>
      <c r="B426" t="s">
        <v>156</v>
      </c>
      <c r="C426" s="1">
        <v>46066</v>
      </c>
      <c r="D426" s="2">
        <v>0.8228240740740741</v>
      </c>
      <c r="E426" t="s">
        <v>294</v>
      </c>
      <c r="F426" t="s">
        <v>202</v>
      </c>
      <c r="G426" t="s">
        <v>203</v>
      </c>
      <c r="H426" t="s">
        <v>204</v>
      </c>
      <c r="I426" t="s">
        <v>2131</v>
      </c>
      <c r="J426">
        <v>1</v>
      </c>
      <c r="L426">
        <v>20031</v>
      </c>
      <c r="M426" t="s">
        <v>2732</v>
      </c>
      <c r="N426" s="1">
        <v>46078</v>
      </c>
      <c r="O426" s="2">
        <v>0.71188657407407407</v>
      </c>
      <c r="R426" t="str">
        <f>HYPERLINK("https://7lm.cvcrm.com.br/gestor/relatorios/associado/html?q[1|r.idreserva]=6694","ANDERSON ALVES PEREIRA")</f>
        <v>ANDERSON ALVES PEREIRA</v>
      </c>
      <c r="S426">
        <v>5400717306</v>
      </c>
      <c r="T426">
        <v>558695654288</v>
      </c>
      <c r="V426" t="s">
        <v>2733</v>
      </c>
      <c r="W426" t="s">
        <v>163</v>
      </c>
      <c r="X426" t="s">
        <v>2734</v>
      </c>
      <c r="Y426" t="s">
        <v>165</v>
      </c>
      <c r="Z426" t="s">
        <v>257</v>
      </c>
      <c r="AA426" t="s">
        <v>1845</v>
      </c>
      <c r="AB426" t="s">
        <v>2735</v>
      </c>
      <c r="AC426" t="s">
        <v>633</v>
      </c>
      <c r="AF426" t="s">
        <v>413</v>
      </c>
      <c r="AG426" t="s">
        <v>195</v>
      </c>
      <c r="AH426" s="3">
        <v>218032.4</v>
      </c>
      <c r="AI426" s="3">
        <v>218032.4</v>
      </c>
      <c r="AJ426" s="1">
        <v>46127</v>
      </c>
      <c r="AN426" t="s">
        <v>172</v>
      </c>
      <c r="AR426" t="s">
        <v>2736</v>
      </c>
      <c r="AT426" t="s">
        <v>196</v>
      </c>
      <c r="AU426" t="s">
        <v>262</v>
      </c>
      <c r="AW426">
        <v>0</v>
      </c>
      <c r="AX426" s="1">
        <v>46079</v>
      </c>
      <c r="AY426" s="2">
        <v>0.36008101851851854</v>
      </c>
      <c r="AZ426">
        <v>185853</v>
      </c>
      <c r="BA426" s="1">
        <v>46045</v>
      </c>
      <c r="BC426" t="s">
        <v>0</v>
      </c>
      <c r="BD426" s="1">
        <v>46066</v>
      </c>
      <c r="BE426" t="s">
        <v>198</v>
      </c>
      <c r="BL426" s="4">
        <v>0</v>
      </c>
      <c r="BM426" s="1">
        <v>46808</v>
      </c>
      <c r="BN426" s="1">
        <v>46079</v>
      </c>
      <c r="BO426">
        <v>0</v>
      </c>
      <c r="BP426">
        <v>28434</v>
      </c>
      <c r="BQ426" t="s">
        <v>156</v>
      </c>
      <c r="BR426" s="3">
        <v>113964.71</v>
      </c>
      <c r="BS426" s="3">
        <v>51341</v>
      </c>
      <c r="BT426">
        <v>0</v>
      </c>
      <c r="BU426" s="3">
        <v>165305.71</v>
      </c>
      <c r="BV426" s="3">
        <v>218032.4</v>
      </c>
      <c r="BX426">
        <v>0</v>
      </c>
      <c r="BZ426">
        <v>0</v>
      </c>
      <c r="CA426">
        <v>0</v>
      </c>
      <c r="CB426">
        <v>0</v>
      </c>
      <c r="CC426" s="3">
        <v>218032.4</v>
      </c>
      <c r="CD426" s="5">
        <v>0</v>
      </c>
      <c r="CF426" s="6">
        <v>46054</v>
      </c>
      <c r="CH426">
        <v>0</v>
      </c>
      <c r="CI426">
        <v>0</v>
      </c>
      <c r="CJ426">
        <v>0</v>
      </c>
      <c r="CK426">
        <v>0</v>
      </c>
      <c r="CL426">
        <v>0</v>
      </c>
      <c r="CM426">
        <v>0</v>
      </c>
      <c r="CN426">
        <v>0</v>
      </c>
      <c r="CO426">
        <v>0</v>
      </c>
      <c r="CP426">
        <v>0</v>
      </c>
      <c r="CQ426">
        <v>0</v>
      </c>
      <c r="CR426">
        <v>0</v>
      </c>
      <c r="CS426" t="s">
        <v>360</v>
      </c>
      <c r="CT426" t="s">
        <v>214</v>
      </c>
      <c r="CU426" t="s">
        <v>2131</v>
      </c>
      <c r="CW426">
        <v>-54.799700000000001</v>
      </c>
      <c r="CZ426" s="1">
        <v>46066</v>
      </c>
      <c r="DA426" t="s">
        <v>172</v>
      </c>
      <c r="DB426" t="s">
        <v>172</v>
      </c>
      <c r="DC426" t="s">
        <v>172</v>
      </c>
      <c r="DD426" t="s">
        <v>172</v>
      </c>
      <c r="DG426" s="1">
        <v>46066</v>
      </c>
      <c r="DH426">
        <v>0</v>
      </c>
      <c r="DI426">
        <v>0</v>
      </c>
      <c r="DL426" t="s">
        <v>215</v>
      </c>
      <c r="DM426" t="s">
        <v>172</v>
      </c>
      <c r="DN426" t="s">
        <v>225</v>
      </c>
      <c r="DV426" s="3">
        <v>218032.4</v>
      </c>
      <c r="DW426">
        <v>0</v>
      </c>
      <c r="DX426" s="3">
        <v>218032.4</v>
      </c>
      <c r="DY426">
        <v>0</v>
      </c>
      <c r="EF426" s="1">
        <v>46078</v>
      </c>
      <c r="EG426" s="1">
        <v>46076</v>
      </c>
      <c r="EK426" s="1">
        <v>46078</v>
      </c>
      <c r="EN426" t="s">
        <v>156</v>
      </c>
      <c r="EP426" s="1">
        <v>46077</v>
      </c>
      <c r="ET426" t="s">
        <v>699</v>
      </c>
      <c r="EU426" s="1">
        <v>46077</v>
      </c>
      <c r="EW426" s="1">
        <v>46066</v>
      </c>
    </row>
    <row r="427" spans="1:153" x14ac:dyDescent="0.35">
      <c r="A427" t="str">
        <f>HYPERLINK("https://7lm.cvcrm.com.br/gestor/comercial/reservas/6693/administrar","6693")</f>
        <v>6693</v>
      </c>
      <c r="B427" t="s">
        <v>156</v>
      </c>
      <c r="C427" s="1">
        <v>46066</v>
      </c>
      <c r="D427" s="2">
        <v>0.78650462962962964</v>
      </c>
      <c r="E427" t="s">
        <v>294</v>
      </c>
      <c r="F427" t="s">
        <v>957</v>
      </c>
      <c r="G427" t="s">
        <v>159</v>
      </c>
      <c r="H427" t="s">
        <v>1371</v>
      </c>
      <c r="I427" t="s">
        <v>1629</v>
      </c>
      <c r="J427">
        <v>1</v>
      </c>
      <c r="K427">
        <v>8144</v>
      </c>
      <c r="L427">
        <v>30121</v>
      </c>
      <c r="M427" t="s">
        <v>2737</v>
      </c>
      <c r="N427" s="1">
        <v>46126</v>
      </c>
      <c r="O427" s="2">
        <v>0.67423611111111115</v>
      </c>
      <c r="R427" t="str">
        <f>HYPERLINK("https://7lm.cvcrm.com.br/gestor/relatorios/associado/html?q[1|r.idreserva]=6693","DAMIANA AZEVEDO LIMA")</f>
        <v>DAMIANA AZEVEDO LIMA</v>
      </c>
      <c r="S427">
        <v>4760543112</v>
      </c>
      <c r="T427">
        <v>5561996230257</v>
      </c>
      <c r="V427" t="s">
        <v>2738</v>
      </c>
      <c r="W427" t="s">
        <v>187</v>
      </c>
      <c r="X427" t="s">
        <v>2739</v>
      </c>
      <c r="Y427" t="s">
        <v>189</v>
      </c>
      <c r="Z427" t="s">
        <v>190</v>
      </c>
      <c r="AA427" t="s">
        <v>300</v>
      </c>
      <c r="AB427" t="s">
        <v>2740</v>
      </c>
      <c r="AC427" t="s">
        <v>534</v>
      </c>
      <c r="AF427" t="s">
        <v>303</v>
      </c>
      <c r="AG427" t="s">
        <v>195</v>
      </c>
      <c r="AH427" s="3">
        <v>249932.1</v>
      </c>
      <c r="AI427" s="3">
        <v>249932.1</v>
      </c>
      <c r="AJ427" s="1">
        <v>46127</v>
      </c>
      <c r="AN427" t="s">
        <v>172</v>
      </c>
      <c r="AR427" t="s">
        <v>2741</v>
      </c>
      <c r="AT427" t="s">
        <v>196</v>
      </c>
      <c r="AU427" t="s">
        <v>292</v>
      </c>
      <c r="AW427">
        <v>0</v>
      </c>
      <c r="AX427" s="1">
        <v>46079</v>
      </c>
      <c r="AY427" s="2">
        <v>0.45309027777777777</v>
      </c>
      <c r="AZ427">
        <v>83621</v>
      </c>
      <c r="BA427" s="1">
        <v>44975</v>
      </c>
      <c r="BC427" t="s">
        <v>0</v>
      </c>
      <c r="BD427" s="1">
        <v>46066</v>
      </c>
      <c r="BE427" t="s">
        <v>317</v>
      </c>
      <c r="BL427" s="4">
        <v>0</v>
      </c>
      <c r="BM427" s="1">
        <v>47031</v>
      </c>
      <c r="BN427" s="1">
        <v>46079</v>
      </c>
      <c r="BO427">
        <v>0</v>
      </c>
      <c r="BP427">
        <v>28427</v>
      </c>
      <c r="BQ427" t="s">
        <v>156</v>
      </c>
      <c r="BR427" s="3">
        <v>149129.26</v>
      </c>
      <c r="BS427" s="3">
        <v>10857</v>
      </c>
      <c r="BT427">
        <v>0</v>
      </c>
      <c r="BU427" s="3">
        <v>159986.26</v>
      </c>
      <c r="BV427" s="3">
        <v>249932.1</v>
      </c>
      <c r="BX427">
        <v>0</v>
      </c>
      <c r="BZ427">
        <v>0</v>
      </c>
      <c r="CA427">
        <v>0</v>
      </c>
      <c r="CB427">
        <v>0</v>
      </c>
      <c r="CC427" s="3">
        <v>249932.1</v>
      </c>
      <c r="CD427" s="5">
        <v>0</v>
      </c>
      <c r="CF427" s="6">
        <v>46054</v>
      </c>
      <c r="CH427">
        <v>0</v>
      </c>
      <c r="CI427">
        <v>0</v>
      </c>
      <c r="CJ427">
        <v>0</v>
      </c>
      <c r="CK427">
        <v>0</v>
      </c>
      <c r="CL427">
        <v>0</v>
      </c>
      <c r="CM427">
        <v>0</v>
      </c>
      <c r="CN427">
        <v>0</v>
      </c>
      <c r="CO427">
        <v>0</v>
      </c>
      <c r="CP427">
        <v>0</v>
      </c>
      <c r="CQ427">
        <v>0</v>
      </c>
      <c r="CR427">
        <v>0</v>
      </c>
      <c r="CS427" t="s">
        <v>649</v>
      </c>
      <c r="CT427" t="s">
        <v>190</v>
      </c>
      <c r="CU427" t="s">
        <v>1629</v>
      </c>
      <c r="CW427">
        <v>-47.625399999999999</v>
      </c>
      <c r="CZ427" s="1">
        <v>46066</v>
      </c>
      <c r="DA427" t="s">
        <v>172</v>
      </c>
      <c r="DB427" t="s">
        <v>172</v>
      </c>
      <c r="DC427" t="s">
        <v>172</v>
      </c>
      <c r="DD427" t="s">
        <v>172</v>
      </c>
      <c r="DG427" s="1">
        <v>46066</v>
      </c>
      <c r="DH427">
        <v>0</v>
      </c>
      <c r="DI427">
        <v>0</v>
      </c>
      <c r="DJ427" s="1">
        <v>46077</v>
      </c>
      <c r="DL427" t="s">
        <v>963</v>
      </c>
      <c r="DM427" t="s">
        <v>172</v>
      </c>
      <c r="DN427" t="s">
        <v>201</v>
      </c>
      <c r="DP427" s="4">
        <v>1.2E-2</v>
      </c>
      <c r="DV427" s="3">
        <v>249932.1</v>
      </c>
      <c r="DW427">
        <v>0</v>
      </c>
      <c r="DX427" s="3">
        <v>249932.1</v>
      </c>
      <c r="DY427">
        <v>0</v>
      </c>
      <c r="EF427" s="1">
        <v>46066</v>
      </c>
      <c r="EG427" s="1">
        <v>46065</v>
      </c>
      <c r="EK427" s="1">
        <v>46071</v>
      </c>
      <c r="EL427" s="1">
        <v>46071</v>
      </c>
      <c r="EM427" s="1">
        <v>46066</v>
      </c>
      <c r="EN427" t="s">
        <v>156</v>
      </c>
      <c r="EW427" s="1">
        <v>46066</v>
      </c>
    </row>
    <row r="428" spans="1:153" ht="409.5" x14ac:dyDescent="0.35">
      <c r="A428" t="str">
        <f>HYPERLINK("https://7lm.cvcrm.com.br/gestor/comercial/reservas/6692/administrar","6692")</f>
        <v>6692</v>
      </c>
      <c r="B428" t="s">
        <v>172</v>
      </c>
      <c r="C428" s="1">
        <v>46066</v>
      </c>
      <c r="D428" s="2">
        <v>0.67865740740740743</v>
      </c>
      <c r="E428" t="s">
        <v>527</v>
      </c>
      <c r="F428" t="s">
        <v>735</v>
      </c>
      <c r="G428" t="s">
        <v>203</v>
      </c>
      <c r="H428" t="s">
        <v>1909</v>
      </c>
      <c r="I428" t="s">
        <v>1910</v>
      </c>
      <c r="J428">
        <v>52.56</v>
      </c>
      <c r="L428">
        <v>20450</v>
      </c>
      <c r="M428" t="s">
        <v>1911</v>
      </c>
      <c r="R428" t="str">
        <f>HYPERLINK("https://7lm.cvcrm.com.br/gestor/relatorios/associado/html?q[1|r.idreserva]=6692","PATRICIA LIMA DE AZEVEDO")</f>
        <v>PATRICIA LIMA DE AZEVEDO</v>
      </c>
      <c r="S428">
        <v>6051043365</v>
      </c>
      <c r="T428">
        <v>5561986613319</v>
      </c>
      <c r="V428" t="s">
        <v>2742</v>
      </c>
      <c r="W428" t="s">
        <v>187</v>
      </c>
      <c r="X428" t="s">
        <v>2743</v>
      </c>
      <c r="Y428" t="s">
        <v>165</v>
      </c>
      <c r="Z428" t="s">
        <v>238</v>
      </c>
      <c r="AA428" t="s">
        <v>812</v>
      </c>
      <c r="AB428" t="s">
        <v>2744</v>
      </c>
      <c r="AC428" t="s">
        <v>398</v>
      </c>
      <c r="AF428" t="s">
        <v>399</v>
      </c>
      <c r="AG428" t="s">
        <v>195</v>
      </c>
      <c r="AH428" s="3">
        <v>150000</v>
      </c>
      <c r="AI428" s="3">
        <v>150000</v>
      </c>
      <c r="AJ428" s="1">
        <v>46094</v>
      </c>
      <c r="AN428" t="s">
        <v>172</v>
      </c>
      <c r="AO428" t="s">
        <v>2109</v>
      </c>
      <c r="AR428" s="7" t="s">
        <v>2745</v>
      </c>
      <c r="AT428" t="s">
        <v>196</v>
      </c>
      <c r="AU428" t="s">
        <v>292</v>
      </c>
      <c r="AW428">
        <v>0</v>
      </c>
      <c r="AX428" s="1">
        <v>46093</v>
      </c>
      <c r="AY428" s="2">
        <v>0.6320486111111111</v>
      </c>
      <c r="AZ428">
        <v>161610</v>
      </c>
      <c r="BA428" s="1">
        <v>45826</v>
      </c>
      <c r="BC428" t="s">
        <v>0</v>
      </c>
      <c r="BD428" s="1">
        <v>46066</v>
      </c>
      <c r="BE428" t="s">
        <v>276</v>
      </c>
      <c r="BL428" s="4">
        <v>0</v>
      </c>
      <c r="BM428" s="1">
        <v>45743</v>
      </c>
      <c r="BO428">
        <v>0</v>
      </c>
      <c r="BP428">
        <v>28467</v>
      </c>
      <c r="BQ428" t="s">
        <v>156</v>
      </c>
      <c r="BR428" s="3">
        <v>184000</v>
      </c>
      <c r="BS428">
        <v>0</v>
      </c>
      <c r="BT428">
        <v>0</v>
      </c>
      <c r="BU428" s="3">
        <v>184000</v>
      </c>
      <c r="BV428" s="3">
        <v>150000</v>
      </c>
      <c r="BX428">
        <v>0</v>
      </c>
      <c r="BZ428">
        <v>0</v>
      </c>
      <c r="CA428">
        <v>0</v>
      </c>
      <c r="CB428">
        <v>0</v>
      </c>
      <c r="CC428" s="3">
        <v>150000</v>
      </c>
      <c r="CD428" s="5">
        <v>0</v>
      </c>
      <c r="CF428" s="6">
        <v>46082</v>
      </c>
      <c r="CH428">
        <v>0</v>
      </c>
      <c r="CI428">
        <v>0</v>
      </c>
      <c r="CJ428">
        <v>0</v>
      </c>
      <c r="CK428">
        <v>0</v>
      </c>
      <c r="CL428">
        <v>0</v>
      </c>
      <c r="CM428">
        <v>0</v>
      </c>
      <c r="CN428">
        <v>0</v>
      </c>
      <c r="CO428">
        <v>0</v>
      </c>
      <c r="CP428">
        <v>0</v>
      </c>
      <c r="CQ428">
        <v>0</v>
      </c>
      <c r="CR428">
        <v>0</v>
      </c>
      <c r="CT428" t="s">
        <v>190</v>
      </c>
      <c r="CU428" t="s">
        <v>1910</v>
      </c>
      <c r="CW428">
        <v>0</v>
      </c>
      <c r="CZ428" s="1">
        <v>46066</v>
      </c>
      <c r="DA428" t="s">
        <v>172</v>
      </c>
      <c r="DB428" t="s">
        <v>172</v>
      </c>
      <c r="DC428" t="s">
        <v>172</v>
      </c>
      <c r="DD428" t="s">
        <v>172</v>
      </c>
      <c r="DG428" s="1">
        <v>46066</v>
      </c>
      <c r="DH428">
        <v>0</v>
      </c>
      <c r="DI428">
        <v>0</v>
      </c>
      <c r="DK428" t="s">
        <v>179</v>
      </c>
      <c r="DL428" t="s">
        <v>743</v>
      </c>
      <c r="DM428" t="s">
        <v>172</v>
      </c>
      <c r="DN428" t="s">
        <v>553</v>
      </c>
      <c r="DV428" s="3">
        <v>150000</v>
      </c>
      <c r="DW428">
        <v>0</v>
      </c>
      <c r="DX428" s="3">
        <v>150000</v>
      </c>
      <c r="DY428">
        <v>0</v>
      </c>
      <c r="EN428" t="s">
        <v>537</v>
      </c>
      <c r="EU428" s="1">
        <v>46080</v>
      </c>
      <c r="EW428" s="1">
        <v>46067</v>
      </c>
    </row>
    <row r="429" spans="1:153" ht="246.5" x14ac:dyDescent="0.35">
      <c r="A429" t="str">
        <f>HYPERLINK("https://7lm.cvcrm.com.br/gestor/comercial/reservas/6691/administrar","6691")</f>
        <v>6691</v>
      </c>
      <c r="B429" t="s">
        <v>156</v>
      </c>
      <c r="C429" s="1">
        <v>46066</v>
      </c>
      <c r="D429" s="2">
        <v>0.63497685185185182</v>
      </c>
      <c r="E429" t="s">
        <v>294</v>
      </c>
      <c r="F429" t="s">
        <v>957</v>
      </c>
      <c r="G429" t="s">
        <v>159</v>
      </c>
      <c r="H429" t="s">
        <v>265</v>
      </c>
      <c r="I429" t="s">
        <v>392</v>
      </c>
      <c r="J429">
        <v>1</v>
      </c>
      <c r="L429">
        <v>30121</v>
      </c>
      <c r="M429" t="s">
        <v>2746</v>
      </c>
      <c r="N429" s="1">
        <v>46073</v>
      </c>
      <c r="O429" s="2">
        <v>0.43547453703703703</v>
      </c>
      <c r="R429" t="str">
        <f>HYPERLINK("https://7lm.cvcrm.com.br/gestor/relatorios/associado/html?q[1|r.idreserva]=6691","BRUNO LOPES DE MOURA")</f>
        <v>BRUNO LOPES DE MOURA</v>
      </c>
      <c r="S429">
        <v>5055189100</v>
      </c>
      <c r="T429">
        <v>5561996787647</v>
      </c>
      <c r="V429" t="s">
        <v>2747</v>
      </c>
      <c r="W429" t="s">
        <v>163</v>
      </c>
      <c r="Y429" t="s">
        <v>189</v>
      </c>
      <c r="Z429" t="s">
        <v>190</v>
      </c>
      <c r="AA429" t="s">
        <v>433</v>
      </c>
      <c r="AB429" t="s">
        <v>2748</v>
      </c>
      <c r="AC429" t="s">
        <v>1499</v>
      </c>
      <c r="AD429" t="s">
        <v>1499</v>
      </c>
      <c r="AF429" t="s">
        <v>303</v>
      </c>
      <c r="AG429" t="s">
        <v>195</v>
      </c>
      <c r="AH429" s="3">
        <v>244933.51</v>
      </c>
      <c r="AI429" s="3">
        <v>244933.51</v>
      </c>
      <c r="AJ429" s="1">
        <v>46127</v>
      </c>
      <c r="AN429" t="s">
        <v>172</v>
      </c>
      <c r="AR429" s="7" t="s">
        <v>353</v>
      </c>
      <c r="AT429" t="s">
        <v>196</v>
      </c>
      <c r="AU429" t="s">
        <v>292</v>
      </c>
      <c r="AW429">
        <v>0</v>
      </c>
      <c r="AX429" s="1">
        <v>46073</v>
      </c>
      <c r="AY429" s="2">
        <v>0.41618055555555555</v>
      </c>
      <c r="AZ429" t="s">
        <v>2749</v>
      </c>
      <c r="BA429" t="s">
        <v>2750</v>
      </c>
      <c r="BB429" t="s">
        <v>356</v>
      </c>
      <c r="BC429" t="s">
        <v>357</v>
      </c>
      <c r="BD429" t="s">
        <v>2751</v>
      </c>
      <c r="BE429" t="s">
        <v>850</v>
      </c>
      <c r="BL429" s="4">
        <v>0</v>
      </c>
      <c r="BM429" s="1">
        <v>47031</v>
      </c>
      <c r="BN429" s="1">
        <v>46073</v>
      </c>
      <c r="BO429">
        <v>0</v>
      </c>
      <c r="BP429">
        <v>28229</v>
      </c>
      <c r="BQ429" t="s">
        <v>156</v>
      </c>
      <c r="BR429" s="3">
        <v>135409.79</v>
      </c>
      <c r="BS429" s="3">
        <v>24961</v>
      </c>
      <c r="BT429">
        <v>0</v>
      </c>
      <c r="BU429" s="3">
        <v>160370.79</v>
      </c>
      <c r="BV429" s="3">
        <v>244933.51</v>
      </c>
      <c r="BX429">
        <v>0</v>
      </c>
      <c r="BZ429">
        <v>0</v>
      </c>
      <c r="CA429">
        <v>0</v>
      </c>
      <c r="CB429">
        <v>0</v>
      </c>
      <c r="CC429" s="3">
        <v>244933.51</v>
      </c>
      <c r="CD429" s="5">
        <v>0</v>
      </c>
      <c r="CF429" s="6">
        <v>46054</v>
      </c>
      <c r="CH429">
        <v>0</v>
      </c>
      <c r="CI429">
        <v>0</v>
      </c>
      <c r="CJ429">
        <v>0</v>
      </c>
      <c r="CK429">
        <v>0</v>
      </c>
      <c r="CL429">
        <v>0</v>
      </c>
      <c r="CM429">
        <v>0</v>
      </c>
      <c r="CN429">
        <v>0</v>
      </c>
      <c r="CO429">
        <v>0</v>
      </c>
      <c r="CP429">
        <v>0</v>
      </c>
      <c r="CQ429">
        <v>0</v>
      </c>
      <c r="CR429">
        <v>0</v>
      </c>
      <c r="CS429" t="s">
        <v>360</v>
      </c>
      <c r="CT429" t="s">
        <v>190</v>
      </c>
      <c r="CU429" t="s">
        <v>392</v>
      </c>
      <c r="CW429">
        <v>-48.264000000000003</v>
      </c>
      <c r="CZ429" s="1">
        <v>46066</v>
      </c>
      <c r="DA429" t="s">
        <v>172</v>
      </c>
      <c r="DB429" t="s">
        <v>172</v>
      </c>
      <c r="DC429" t="s">
        <v>172</v>
      </c>
      <c r="DD429" t="s">
        <v>172</v>
      </c>
      <c r="DG429" s="1">
        <v>46066</v>
      </c>
      <c r="DH429">
        <v>0</v>
      </c>
      <c r="DI429">
        <v>0</v>
      </c>
      <c r="DL429" t="s">
        <v>963</v>
      </c>
      <c r="DM429" t="s">
        <v>172</v>
      </c>
      <c r="DN429" t="s">
        <v>201</v>
      </c>
      <c r="DV429" s="3">
        <v>244933.51</v>
      </c>
      <c r="DW429">
        <v>0</v>
      </c>
      <c r="DX429" s="3">
        <v>244933.51</v>
      </c>
      <c r="DY429">
        <v>0</v>
      </c>
      <c r="EG429" s="1">
        <v>46071</v>
      </c>
      <c r="EH429" s="1">
        <v>46071</v>
      </c>
      <c r="EN429" t="s">
        <v>156</v>
      </c>
      <c r="EP429" s="1">
        <v>46071</v>
      </c>
      <c r="ER429" s="1">
        <v>46069</v>
      </c>
      <c r="ES429" t="s">
        <v>2752</v>
      </c>
      <c r="EU429" s="1">
        <v>46066</v>
      </c>
      <c r="EW429" s="1">
        <v>46066</v>
      </c>
    </row>
    <row r="430" spans="1:153" x14ac:dyDescent="0.35">
      <c r="A430" t="str">
        <f>HYPERLINK("https://7lm.cvcrm.com.br/gestor/comercial/reservas/6690/administrar","6690")</f>
        <v>6690</v>
      </c>
      <c r="B430" t="s">
        <v>156</v>
      </c>
      <c r="C430" s="1">
        <v>46066</v>
      </c>
      <c r="D430" s="2">
        <v>0.59518518518518515</v>
      </c>
      <c r="E430" t="s">
        <v>527</v>
      </c>
      <c r="F430" t="s">
        <v>957</v>
      </c>
      <c r="G430" t="s">
        <v>159</v>
      </c>
      <c r="H430" t="s">
        <v>418</v>
      </c>
      <c r="I430" t="s">
        <v>1311</v>
      </c>
      <c r="J430">
        <v>1</v>
      </c>
      <c r="L430">
        <v>30121</v>
      </c>
      <c r="M430" t="s">
        <v>1317</v>
      </c>
      <c r="N430" s="1">
        <v>46071</v>
      </c>
      <c r="O430" s="2">
        <v>0.69278935185185186</v>
      </c>
      <c r="R430" t="str">
        <f>HYPERLINK("https://7lm.cvcrm.com.br/gestor/relatorios/associado/html?q[1|r.idreserva]=6690","ANGELA MARIA BRITO CARNEIRO")</f>
        <v>ANGELA MARIA BRITO CARNEIRO</v>
      </c>
      <c r="S430">
        <v>4645733516</v>
      </c>
      <c r="T430">
        <v>557799869462</v>
      </c>
      <c r="V430" t="s">
        <v>2753</v>
      </c>
      <c r="W430" t="s">
        <v>187</v>
      </c>
      <c r="X430" t="s">
        <v>2754</v>
      </c>
      <c r="Y430" t="s">
        <v>189</v>
      </c>
      <c r="Z430" t="s">
        <v>190</v>
      </c>
      <c r="AA430" t="s">
        <v>377</v>
      </c>
      <c r="AB430" t="s">
        <v>2755</v>
      </c>
      <c r="AC430" t="s">
        <v>509</v>
      </c>
      <c r="AD430" t="s">
        <v>509</v>
      </c>
      <c r="AF430" t="s">
        <v>352</v>
      </c>
      <c r="AG430" t="s">
        <v>251</v>
      </c>
      <c r="AH430" s="3">
        <v>245000.33</v>
      </c>
      <c r="AI430" s="3">
        <v>245000.33</v>
      </c>
      <c r="AJ430" s="1">
        <v>46117</v>
      </c>
      <c r="AN430" t="s">
        <v>172</v>
      </c>
      <c r="AO430" t="s">
        <v>932</v>
      </c>
      <c r="AP430" t="s">
        <v>2756</v>
      </c>
      <c r="AR430" t="s">
        <v>2757</v>
      </c>
      <c r="AT430" t="s">
        <v>261</v>
      </c>
      <c r="AU430" t="s">
        <v>197</v>
      </c>
      <c r="AW430">
        <v>0</v>
      </c>
      <c r="AX430" s="1">
        <v>46079</v>
      </c>
      <c r="AY430" s="2">
        <v>0.52482638888888888</v>
      </c>
      <c r="AZ430" t="s">
        <v>2758</v>
      </c>
      <c r="BA430" t="s">
        <v>2759</v>
      </c>
      <c r="BB430" t="s">
        <v>356</v>
      </c>
      <c r="BC430" t="s">
        <v>357</v>
      </c>
      <c r="BD430" t="s">
        <v>2760</v>
      </c>
      <c r="BE430" t="s">
        <v>850</v>
      </c>
      <c r="BL430" s="4">
        <v>0</v>
      </c>
      <c r="BM430" s="1">
        <v>47031</v>
      </c>
      <c r="BO430">
        <v>0</v>
      </c>
      <c r="BP430">
        <v>28276</v>
      </c>
      <c r="BQ430" t="s">
        <v>156</v>
      </c>
      <c r="BR430" s="3">
        <v>129013.77</v>
      </c>
      <c r="BS430" s="3">
        <v>24961</v>
      </c>
      <c r="BT430">
        <v>0</v>
      </c>
      <c r="BU430" s="3">
        <v>153974.76999999999</v>
      </c>
      <c r="BV430" s="3">
        <v>245000.33</v>
      </c>
      <c r="BX430">
        <v>0</v>
      </c>
      <c r="BZ430">
        <v>0</v>
      </c>
      <c r="CA430">
        <v>0</v>
      </c>
      <c r="CB430">
        <v>0</v>
      </c>
      <c r="CC430" s="3">
        <v>245000.33</v>
      </c>
      <c r="CD430" s="5">
        <v>0</v>
      </c>
      <c r="CF430" s="6">
        <v>46054</v>
      </c>
      <c r="CH430">
        <v>0</v>
      </c>
      <c r="CI430">
        <v>0</v>
      </c>
      <c r="CJ430">
        <v>0</v>
      </c>
      <c r="CK430">
        <v>0</v>
      </c>
      <c r="CL430">
        <v>0</v>
      </c>
      <c r="CM430">
        <v>0</v>
      </c>
      <c r="CN430">
        <v>0</v>
      </c>
      <c r="CO430">
        <v>0</v>
      </c>
      <c r="CP430">
        <v>0</v>
      </c>
      <c r="CQ430">
        <v>0</v>
      </c>
      <c r="CR430">
        <v>0</v>
      </c>
      <c r="CS430" t="s">
        <v>199</v>
      </c>
      <c r="CT430" t="s">
        <v>190</v>
      </c>
      <c r="CU430" t="s">
        <v>1311</v>
      </c>
      <c r="CW430">
        <v>-51.714599999999997</v>
      </c>
      <c r="CZ430" s="1">
        <v>46066</v>
      </c>
      <c r="DA430" t="s">
        <v>172</v>
      </c>
      <c r="DB430" t="s">
        <v>172</v>
      </c>
      <c r="DC430" t="s">
        <v>172</v>
      </c>
      <c r="DD430" t="s">
        <v>172</v>
      </c>
      <c r="DG430" s="1">
        <v>46066</v>
      </c>
      <c r="DH430">
        <v>0</v>
      </c>
      <c r="DI430">
        <v>0</v>
      </c>
      <c r="DL430" t="s">
        <v>963</v>
      </c>
      <c r="DM430" t="s">
        <v>172</v>
      </c>
      <c r="DN430" t="s">
        <v>201</v>
      </c>
      <c r="DP430" s="8">
        <v>0.01</v>
      </c>
      <c r="DV430" s="3">
        <v>245000.33</v>
      </c>
      <c r="DW430">
        <v>0</v>
      </c>
      <c r="DX430" s="3">
        <v>245000.33</v>
      </c>
      <c r="DY430">
        <v>0</v>
      </c>
      <c r="EM430" s="1">
        <v>46073</v>
      </c>
      <c r="EN430" t="s">
        <v>172</v>
      </c>
      <c r="EP430" s="1">
        <v>46072</v>
      </c>
      <c r="ER430" s="1">
        <v>46071</v>
      </c>
      <c r="ES430" t="s">
        <v>2761</v>
      </c>
      <c r="EW430" s="1">
        <v>46066</v>
      </c>
    </row>
    <row r="431" spans="1:153" ht="246.5" x14ac:dyDescent="0.35">
      <c r="A431" t="str">
        <f>HYPERLINK("https://7lm.cvcrm.com.br/gestor/comercial/reservas/6689/administrar","6689")</f>
        <v>6689</v>
      </c>
      <c r="B431" t="s">
        <v>156</v>
      </c>
      <c r="C431" s="1">
        <v>46066</v>
      </c>
      <c r="D431" s="2">
        <v>0.50209490740740736</v>
      </c>
      <c r="E431" t="s">
        <v>294</v>
      </c>
      <c r="F431" t="s">
        <v>202</v>
      </c>
      <c r="G431" t="s">
        <v>203</v>
      </c>
      <c r="H431" t="s">
        <v>404</v>
      </c>
      <c r="I431" t="s">
        <v>601</v>
      </c>
      <c r="J431">
        <v>1</v>
      </c>
      <c r="L431">
        <v>20031</v>
      </c>
      <c r="M431" t="s">
        <v>2762</v>
      </c>
      <c r="N431" s="1">
        <v>46077</v>
      </c>
      <c r="O431" s="2">
        <v>0.69285879629629632</v>
      </c>
      <c r="R431" t="str">
        <f>HYPERLINK("https://7lm.cvcrm.com.br/gestor/relatorios/associado/html?q[1|r.idreserva]=6689","TATIANE BRITO DE SOUZA")</f>
        <v>TATIANE BRITO DE SOUZA</v>
      </c>
      <c r="S431">
        <v>580817121</v>
      </c>
      <c r="T431">
        <v>5561992707059</v>
      </c>
      <c r="V431" t="s">
        <v>2763</v>
      </c>
      <c r="W431" t="s">
        <v>163</v>
      </c>
      <c r="X431" t="s">
        <v>521</v>
      </c>
      <c r="Y431" t="s">
        <v>189</v>
      </c>
      <c r="Z431" t="s">
        <v>214</v>
      </c>
      <c r="AA431" t="s">
        <v>2764</v>
      </c>
      <c r="AB431" t="s">
        <v>2765</v>
      </c>
      <c r="AC431" t="s">
        <v>455</v>
      </c>
      <c r="AF431" t="s">
        <v>389</v>
      </c>
      <c r="AG431" t="s">
        <v>195</v>
      </c>
      <c r="AH431" s="3">
        <v>228000.96</v>
      </c>
      <c r="AI431" s="3">
        <v>228000.96</v>
      </c>
      <c r="AJ431" s="1">
        <v>46094</v>
      </c>
      <c r="AN431" t="s">
        <v>172</v>
      </c>
      <c r="AR431" s="7" t="s">
        <v>353</v>
      </c>
      <c r="AT431" t="s">
        <v>196</v>
      </c>
      <c r="AU431" t="s">
        <v>292</v>
      </c>
      <c r="AW431">
        <v>0</v>
      </c>
      <c r="AX431" s="1">
        <v>46079</v>
      </c>
      <c r="AY431" s="2">
        <v>0.36457175925925928</v>
      </c>
      <c r="AZ431">
        <v>187777</v>
      </c>
      <c r="BA431" s="1">
        <v>46058</v>
      </c>
      <c r="BC431" t="s">
        <v>0</v>
      </c>
      <c r="BD431" s="1">
        <v>46066</v>
      </c>
      <c r="BE431" t="s">
        <v>889</v>
      </c>
      <c r="BL431" s="4">
        <v>0</v>
      </c>
      <c r="BM431" s="1">
        <v>46808</v>
      </c>
      <c r="BN431" s="1">
        <v>46079</v>
      </c>
      <c r="BO431">
        <v>0</v>
      </c>
      <c r="BP431">
        <v>28464</v>
      </c>
      <c r="BQ431" t="s">
        <v>156</v>
      </c>
      <c r="BR431" s="3">
        <v>108487.67999999999</v>
      </c>
      <c r="BS431" s="3">
        <v>52098</v>
      </c>
      <c r="BT431">
        <v>0</v>
      </c>
      <c r="BU431" s="3">
        <v>160585.68</v>
      </c>
      <c r="BV431" s="3">
        <v>228000.96</v>
      </c>
      <c r="BX431">
        <v>0</v>
      </c>
      <c r="BZ431">
        <v>0</v>
      </c>
      <c r="CA431">
        <v>0</v>
      </c>
      <c r="CB431">
        <v>0</v>
      </c>
      <c r="CC431" s="3">
        <v>228000.96</v>
      </c>
      <c r="CD431" s="5">
        <v>0</v>
      </c>
      <c r="CF431" s="6">
        <v>46054</v>
      </c>
      <c r="CH431">
        <v>0</v>
      </c>
      <c r="CI431">
        <v>0</v>
      </c>
      <c r="CJ431">
        <v>0</v>
      </c>
      <c r="CK431">
        <v>0</v>
      </c>
      <c r="CL431">
        <v>0</v>
      </c>
      <c r="CM431">
        <v>0</v>
      </c>
      <c r="CN431">
        <v>0</v>
      </c>
      <c r="CO431">
        <v>0</v>
      </c>
      <c r="CP431">
        <v>0</v>
      </c>
      <c r="CQ431">
        <v>0</v>
      </c>
      <c r="CR431">
        <v>0</v>
      </c>
      <c r="CS431" t="s">
        <v>649</v>
      </c>
      <c r="CT431" t="s">
        <v>214</v>
      </c>
      <c r="CU431" t="s">
        <v>601</v>
      </c>
      <c r="CW431">
        <v>-50.929499999999997</v>
      </c>
      <c r="CZ431" s="1">
        <v>46066</v>
      </c>
      <c r="DA431" t="s">
        <v>172</v>
      </c>
      <c r="DB431" t="s">
        <v>172</v>
      </c>
      <c r="DC431" t="s">
        <v>172</v>
      </c>
      <c r="DD431" t="s">
        <v>172</v>
      </c>
      <c r="DG431" s="1">
        <v>46066</v>
      </c>
      <c r="DH431">
        <v>0</v>
      </c>
      <c r="DI431">
        <v>0</v>
      </c>
      <c r="DL431" t="s">
        <v>215</v>
      </c>
      <c r="DM431" t="s">
        <v>172</v>
      </c>
      <c r="DN431" t="s">
        <v>511</v>
      </c>
      <c r="DV431" s="3">
        <v>228000.96</v>
      </c>
      <c r="DW431">
        <v>0</v>
      </c>
      <c r="DX431" s="3">
        <v>228000.96</v>
      </c>
      <c r="DY431">
        <v>0</v>
      </c>
      <c r="EF431" s="1">
        <v>46076</v>
      </c>
      <c r="EG431" s="1">
        <v>46073</v>
      </c>
      <c r="EK431" s="1">
        <v>46076</v>
      </c>
      <c r="EL431" s="1">
        <v>46076</v>
      </c>
      <c r="EN431" t="s">
        <v>156</v>
      </c>
      <c r="EP431" s="1">
        <v>46077</v>
      </c>
      <c r="EU431" s="1">
        <v>46073</v>
      </c>
      <c r="EW431" s="1">
        <v>46066</v>
      </c>
    </row>
    <row r="432" spans="1:153" ht="409.5" x14ac:dyDescent="0.35">
      <c r="A432" t="str">
        <f>HYPERLINK("https://7lm.cvcrm.com.br/gestor/comercial/reservas/6688/administrar","6688")</f>
        <v>6688</v>
      </c>
      <c r="B432" t="s">
        <v>156</v>
      </c>
      <c r="C432" s="1">
        <v>46066</v>
      </c>
      <c r="D432" s="2">
        <v>0.45462962962962961</v>
      </c>
      <c r="E432" t="s">
        <v>527</v>
      </c>
      <c r="F432" t="s">
        <v>202</v>
      </c>
      <c r="G432" t="s">
        <v>203</v>
      </c>
      <c r="H432" t="s">
        <v>277</v>
      </c>
      <c r="I432" t="s">
        <v>583</v>
      </c>
      <c r="J432">
        <v>1</v>
      </c>
      <c r="L432">
        <v>20031</v>
      </c>
      <c r="M432" t="s">
        <v>1279</v>
      </c>
      <c r="N432" s="1">
        <v>46078</v>
      </c>
      <c r="O432" s="2">
        <v>0.70222222222222219</v>
      </c>
      <c r="R432" t="str">
        <f>HYPERLINK("https://7lm.cvcrm.com.br/gestor/relatorios/associado/html?q[1|r.idreserva]=6688","EDCARLOS SOUZA SOARES")</f>
        <v>EDCARLOS SOUZA SOARES</v>
      </c>
      <c r="S432">
        <v>4590787636</v>
      </c>
      <c r="T432">
        <v>5561999347183</v>
      </c>
      <c r="V432" t="s">
        <v>2766</v>
      </c>
      <c r="W432" t="s">
        <v>163</v>
      </c>
      <c r="X432" t="s">
        <v>2767</v>
      </c>
      <c r="Y432" t="s">
        <v>165</v>
      </c>
      <c r="Z432" t="s">
        <v>575</v>
      </c>
      <c r="AA432" t="s">
        <v>1845</v>
      </c>
      <c r="AB432" t="s">
        <v>2768</v>
      </c>
      <c r="AC432" t="s">
        <v>455</v>
      </c>
      <c r="AF432" t="s">
        <v>389</v>
      </c>
      <c r="AG432" t="s">
        <v>195</v>
      </c>
      <c r="AH432" s="3">
        <v>214974.74</v>
      </c>
      <c r="AI432" s="3">
        <v>214974.74</v>
      </c>
      <c r="AJ432" s="1">
        <v>46094</v>
      </c>
      <c r="AN432" t="s">
        <v>172</v>
      </c>
      <c r="AO432" t="s">
        <v>716</v>
      </c>
      <c r="AR432" s="7" t="s">
        <v>2769</v>
      </c>
      <c r="AT432" t="s">
        <v>196</v>
      </c>
      <c r="AU432" t="s">
        <v>292</v>
      </c>
      <c r="AW432">
        <v>0</v>
      </c>
      <c r="AX432" s="1">
        <v>46090</v>
      </c>
      <c r="AY432" s="2">
        <v>0.45090277777777776</v>
      </c>
      <c r="AZ432">
        <v>165599</v>
      </c>
      <c r="BA432" s="1">
        <v>45860</v>
      </c>
      <c r="BB432" s="1">
        <v>46064</v>
      </c>
      <c r="BC432" t="s">
        <v>0</v>
      </c>
      <c r="BD432" s="1">
        <v>46066</v>
      </c>
      <c r="BE432" t="s">
        <v>317</v>
      </c>
      <c r="BL432" s="4">
        <v>0</v>
      </c>
      <c r="BM432" s="1">
        <v>46808</v>
      </c>
      <c r="BO432">
        <v>0</v>
      </c>
      <c r="BP432">
        <v>28542</v>
      </c>
      <c r="BQ432" t="s">
        <v>156</v>
      </c>
      <c r="BR432" s="3">
        <v>130738.79</v>
      </c>
      <c r="BS432" s="3">
        <v>25347</v>
      </c>
      <c r="BT432">
        <v>0</v>
      </c>
      <c r="BU432" s="3">
        <v>156085.79</v>
      </c>
      <c r="BV432" s="3">
        <v>214974.74</v>
      </c>
      <c r="BX432">
        <v>0</v>
      </c>
      <c r="BZ432">
        <v>0</v>
      </c>
      <c r="CA432">
        <v>0</v>
      </c>
      <c r="CB432">
        <v>0</v>
      </c>
      <c r="CC432" s="3">
        <v>214974.74</v>
      </c>
      <c r="CD432" s="5">
        <v>0</v>
      </c>
      <c r="CF432" s="6">
        <v>46082</v>
      </c>
      <c r="CH432">
        <v>0</v>
      </c>
      <c r="CI432">
        <v>0</v>
      </c>
      <c r="CJ432">
        <v>0</v>
      </c>
      <c r="CK432">
        <v>0</v>
      </c>
      <c r="CL432">
        <v>0</v>
      </c>
      <c r="CM432">
        <v>0</v>
      </c>
      <c r="CN432">
        <v>0</v>
      </c>
      <c r="CO432">
        <v>0</v>
      </c>
      <c r="CP432">
        <v>0</v>
      </c>
      <c r="CQ432">
        <v>0</v>
      </c>
      <c r="CR432">
        <v>0</v>
      </c>
      <c r="CS432" t="s">
        <v>360</v>
      </c>
      <c r="CT432" t="s">
        <v>214</v>
      </c>
      <c r="CU432" t="s">
        <v>583</v>
      </c>
      <c r="CW432">
        <v>-53.477899999999998</v>
      </c>
      <c r="CZ432" s="1">
        <v>46066</v>
      </c>
      <c r="DA432" t="s">
        <v>172</v>
      </c>
      <c r="DB432" t="s">
        <v>172</v>
      </c>
      <c r="DC432" t="s">
        <v>172</v>
      </c>
      <c r="DD432" t="s">
        <v>172</v>
      </c>
      <c r="DG432" s="1">
        <v>46066</v>
      </c>
      <c r="DH432">
        <v>0</v>
      </c>
      <c r="DI432">
        <v>0</v>
      </c>
      <c r="DL432" t="s">
        <v>215</v>
      </c>
      <c r="DM432" t="s">
        <v>172</v>
      </c>
      <c r="DN432" t="s">
        <v>201</v>
      </c>
      <c r="DV432" s="3">
        <v>214974.74</v>
      </c>
      <c r="DW432">
        <v>0</v>
      </c>
      <c r="DX432" s="3">
        <v>214974.74</v>
      </c>
      <c r="DY432">
        <v>0</v>
      </c>
      <c r="EF432" s="1">
        <v>46078</v>
      </c>
      <c r="EG432" s="1">
        <v>46076</v>
      </c>
      <c r="EK432" s="1">
        <v>46078</v>
      </c>
      <c r="EL432" s="1">
        <v>46078</v>
      </c>
      <c r="EN432" t="s">
        <v>537</v>
      </c>
      <c r="EP432" s="1">
        <v>46073</v>
      </c>
      <c r="EU432" s="1">
        <v>46073</v>
      </c>
      <c r="EW432" s="1">
        <v>46066</v>
      </c>
    </row>
    <row r="433" spans="1:153" ht="246.5" x14ac:dyDescent="0.35">
      <c r="A433" t="str">
        <f>HYPERLINK("https://7lm.cvcrm.com.br/gestor/comercial/reservas/6687/administrar","6687")</f>
        <v>6687</v>
      </c>
      <c r="B433" t="s">
        <v>156</v>
      </c>
      <c r="C433" s="1">
        <v>46065</v>
      </c>
      <c r="D433" s="2">
        <v>0.8796180555555555</v>
      </c>
      <c r="E433" t="s">
        <v>294</v>
      </c>
      <c r="F433" t="s">
        <v>957</v>
      </c>
      <c r="G433" t="s">
        <v>159</v>
      </c>
      <c r="H433" t="s">
        <v>265</v>
      </c>
      <c r="I433" t="s">
        <v>430</v>
      </c>
      <c r="J433">
        <v>1</v>
      </c>
      <c r="L433">
        <v>30121</v>
      </c>
      <c r="M433" t="s">
        <v>2770</v>
      </c>
      <c r="N433" s="1">
        <v>46067</v>
      </c>
      <c r="O433" s="2">
        <v>0.5150231481481482</v>
      </c>
      <c r="R433" t="str">
        <f>HYPERLINK("https://7lm.cvcrm.com.br/gestor/relatorios/associado/html?q[1|r.idreserva]=6687","JEFERSON NUNES DE ALMEIDA")</f>
        <v>JEFERSON NUNES DE ALMEIDA</v>
      </c>
      <c r="S433">
        <v>45820120</v>
      </c>
      <c r="T433">
        <v>5561999297496</v>
      </c>
      <c r="V433" t="s">
        <v>2771</v>
      </c>
      <c r="W433" t="s">
        <v>163</v>
      </c>
      <c r="X433" t="s">
        <v>376</v>
      </c>
      <c r="Y433" t="s">
        <v>189</v>
      </c>
      <c r="Z433" t="s">
        <v>190</v>
      </c>
      <c r="AA433" t="s">
        <v>433</v>
      </c>
      <c r="AB433" t="s">
        <v>2772</v>
      </c>
      <c r="AC433" t="s">
        <v>917</v>
      </c>
      <c r="AF433" t="s">
        <v>194</v>
      </c>
      <c r="AG433" t="s">
        <v>195</v>
      </c>
      <c r="AH433" s="3">
        <v>245000.5</v>
      </c>
      <c r="AI433" s="3">
        <v>245000.5</v>
      </c>
      <c r="AJ433" s="1">
        <v>46124</v>
      </c>
      <c r="AN433" t="s">
        <v>172</v>
      </c>
      <c r="AR433" s="7" t="s">
        <v>353</v>
      </c>
      <c r="AT433" t="s">
        <v>196</v>
      </c>
      <c r="AU433" t="s">
        <v>276</v>
      </c>
      <c r="AW433">
        <v>0</v>
      </c>
      <c r="AX433" s="1">
        <v>46073</v>
      </c>
      <c r="AY433" s="2">
        <v>0.42268518518518516</v>
      </c>
      <c r="AZ433">
        <v>73633</v>
      </c>
      <c r="BA433" s="1">
        <v>44676</v>
      </c>
      <c r="BB433" s="1">
        <v>45540</v>
      </c>
      <c r="BC433" t="s">
        <v>0</v>
      </c>
      <c r="BD433" s="1">
        <v>46065</v>
      </c>
      <c r="BE433" t="s">
        <v>317</v>
      </c>
      <c r="BL433" s="4">
        <v>0</v>
      </c>
      <c r="BM433" s="1">
        <v>47031</v>
      </c>
      <c r="BN433" s="1">
        <v>46073</v>
      </c>
      <c r="BO433">
        <v>0</v>
      </c>
      <c r="BP433">
        <v>28408</v>
      </c>
      <c r="BQ433" t="s">
        <v>156</v>
      </c>
      <c r="BR433" s="3">
        <v>173258.71</v>
      </c>
      <c r="BS433" s="3">
        <v>2978</v>
      </c>
      <c r="BT433">
        <v>0</v>
      </c>
      <c r="BU433" s="3">
        <v>176236.71</v>
      </c>
      <c r="BV433" s="3">
        <v>245000.5</v>
      </c>
      <c r="BX433">
        <v>0</v>
      </c>
      <c r="BZ433">
        <v>0</v>
      </c>
      <c r="CA433">
        <v>0</v>
      </c>
      <c r="CB433">
        <v>0</v>
      </c>
      <c r="CC433" s="3">
        <v>245000.5</v>
      </c>
      <c r="CD433" s="5">
        <v>0</v>
      </c>
      <c r="CF433" s="6">
        <v>46054</v>
      </c>
      <c r="CH433">
        <v>0</v>
      </c>
      <c r="CI433">
        <v>0</v>
      </c>
      <c r="CJ433">
        <v>0</v>
      </c>
      <c r="CK433">
        <v>0</v>
      </c>
      <c r="CL433">
        <v>0</v>
      </c>
      <c r="CM433">
        <v>0</v>
      </c>
      <c r="CN433">
        <v>0</v>
      </c>
      <c r="CO433">
        <v>0</v>
      </c>
      <c r="CP433">
        <v>0</v>
      </c>
      <c r="CQ433">
        <v>0</v>
      </c>
      <c r="CR433">
        <v>0</v>
      </c>
      <c r="CS433" t="s">
        <v>2029</v>
      </c>
      <c r="CT433" t="s">
        <v>190</v>
      </c>
      <c r="CU433" t="s">
        <v>430</v>
      </c>
      <c r="CW433">
        <v>-52.647799999999997</v>
      </c>
      <c r="CZ433" s="1">
        <v>46065</v>
      </c>
      <c r="DA433" t="s">
        <v>172</v>
      </c>
      <c r="DB433" t="s">
        <v>172</v>
      </c>
      <c r="DC433" t="s">
        <v>172</v>
      </c>
      <c r="DD433" t="s">
        <v>172</v>
      </c>
      <c r="DG433" s="1">
        <v>46065</v>
      </c>
      <c r="DH433">
        <v>0</v>
      </c>
      <c r="DI433">
        <v>0</v>
      </c>
      <c r="DL433" t="s">
        <v>963</v>
      </c>
      <c r="DM433" t="s">
        <v>172</v>
      </c>
      <c r="DN433" t="s">
        <v>225</v>
      </c>
      <c r="DV433" s="3">
        <v>245000.5</v>
      </c>
      <c r="DW433">
        <v>0</v>
      </c>
      <c r="DX433" s="3">
        <v>245000.5</v>
      </c>
      <c r="DY433">
        <v>0</v>
      </c>
      <c r="EG433" s="1">
        <v>46072</v>
      </c>
      <c r="EN433" t="s">
        <v>156</v>
      </c>
      <c r="EP433" s="1">
        <v>46071</v>
      </c>
      <c r="ER433" s="1">
        <v>46069</v>
      </c>
      <c r="ES433" t="s">
        <v>2773</v>
      </c>
    </row>
    <row r="434" spans="1:153" ht="246.5" x14ac:dyDescent="0.35">
      <c r="A434" t="str">
        <f>HYPERLINK("https://7lm.cvcrm.com.br/gestor/comercial/reservas/6686/administrar","6686")</f>
        <v>6686</v>
      </c>
      <c r="B434" t="s">
        <v>156</v>
      </c>
      <c r="C434" s="1">
        <v>46065</v>
      </c>
      <c r="D434" s="2">
        <v>0.8324421296296296</v>
      </c>
      <c r="E434" t="s">
        <v>294</v>
      </c>
      <c r="F434" t="s">
        <v>957</v>
      </c>
      <c r="G434" t="s">
        <v>159</v>
      </c>
      <c r="H434" t="s">
        <v>1818</v>
      </c>
      <c r="I434" t="s">
        <v>2774</v>
      </c>
      <c r="J434">
        <v>1</v>
      </c>
      <c r="L434">
        <v>30121</v>
      </c>
      <c r="M434" t="s">
        <v>2775</v>
      </c>
      <c r="N434" s="1">
        <v>46136</v>
      </c>
      <c r="O434" s="2">
        <v>0.7271643518518518</v>
      </c>
      <c r="R434" t="str">
        <f>HYPERLINK("https://7lm.cvcrm.com.br/gestor/relatorios/associado/html?q[1|r.idreserva]=6686","ABNNER RENNAN FEITOSA LIMA")</f>
        <v>ABNNER RENNAN FEITOSA LIMA</v>
      </c>
      <c r="S434">
        <v>7999133167</v>
      </c>
      <c r="T434">
        <v>5561999188114</v>
      </c>
      <c r="V434" t="s">
        <v>2776</v>
      </c>
      <c r="W434" t="s">
        <v>163</v>
      </c>
      <c r="X434" t="s">
        <v>826</v>
      </c>
      <c r="Y434" t="s">
        <v>189</v>
      </c>
      <c r="Z434" t="s">
        <v>190</v>
      </c>
      <c r="AA434" t="s">
        <v>246</v>
      </c>
      <c r="AB434" t="s">
        <v>2777</v>
      </c>
      <c r="AC434" t="s">
        <v>1493</v>
      </c>
      <c r="AD434" t="s">
        <v>1493</v>
      </c>
      <c r="AF434" t="s">
        <v>250</v>
      </c>
      <c r="AG434" t="s">
        <v>251</v>
      </c>
      <c r="AH434" s="3">
        <v>245932.79</v>
      </c>
      <c r="AI434" s="3">
        <v>245932.79</v>
      </c>
      <c r="AJ434" s="1">
        <v>46081</v>
      </c>
      <c r="AN434" t="s">
        <v>172</v>
      </c>
      <c r="AR434" s="7" t="s">
        <v>353</v>
      </c>
      <c r="AT434" t="s">
        <v>173</v>
      </c>
      <c r="AU434" t="s">
        <v>175</v>
      </c>
      <c r="AW434">
        <v>0</v>
      </c>
      <c r="AX434" s="1">
        <v>46079</v>
      </c>
      <c r="AY434" s="2">
        <v>0.45739583333333333</v>
      </c>
      <c r="AZ434">
        <v>189077</v>
      </c>
      <c r="BA434" s="1">
        <v>46065</v>
      </c>
      <c r="BC434" t="s">
        <v>0</v>
      </c>
      <c r="BD434" s="1">
        <v>46065</v>
      </c>
      <c r="BE434" t="s">
        <v>213</v>
      </c>
      <c r="BL434" s="4">
        <v>0</v>
      </c>
      <c r="BM434" s="1">
        <v>47031</v>
      </c>
      <c r="BN434" s="1">
        <v>46079</v>
      </c>
      <c r="BO434">
        <v>0</v>
      </c>
      <c r="BP434">
        <v>28571</v>
      </c>
      <c r="BQ434" t="s">
        <v>156</v>
      </c>
      <c r="BR434">
        <v>0</v>
      </c>
      <c r="BS434">
        <v>0</v>
      </c>
      <c r="BT434">
        <v>0</v>
      </c>
      <c r="BU434">
        <v>0</v>
      </c>
      <c r="BV434" s="3">
        <v>245932.79</v>
      </c>
      <c r="BX434">
        <v>0</v>
      </c>
      <c r="BZ434">
        <v>0</v>
      </c>
      <c r="CA434">
        <v>0</v>
      </c>
      <c r="CB434">
        <v>0</v>
      </c>
      <c r="CC434" s="3">
        <v>245932.79</v>
      </c>
      <c r="CD434" s="5">
        <v>0</v>
      </c>
      <c r="CF434" s="6">
        <v>46054</v>
      </c>
      <c r="CH434">
        <v>0</v>
      </c>
      <c r="CI434">
        <v>0</v>
      </c>
      <c r="CJ434">
        <v>0</v>
      </c>
      <c r="CK434">
        <v>0</v>
      </c>
      <c r="CL434">
        <v>0</v>
      </c>
      <c r="CM434">
        <v>0</v>
      </c>
      <c r="CN434">
        <v>0</v>
      </c>
      <c r="CO434">
        <v>0</v>
      </c>
      <c r="CP434">
        <v>0</v>
      </c>
      <c r="CQ434">
        <v>0</v>
      </c>
      <c r="CR434">
        <v>0</v>
      </c>
      <c r="CS434" t="s">
        <v>649</v>
      </c>
      <c r="CT434" t="s">
        <v>190</v>
      </c>
      <c r="CU434" t="s">
        <v>2774</v>
      </c>
      <c r="CW434">
        <v>-47.939500000000002</v>
      </c>
      <c r="CZ434" s="1">
        <v>46065</v>
      </c>
      <c r="DA434" t="s">
        <v>172</v>
      </c>
      <c r="DB434" t="s">
        <v>172</v>
      </c>
      <c r="DC434" t="s">
        <v>172</v>
      </c>
      <c r="DD434" t="s">
        <v>172</v>
      </c>
      <c r="DG434" s="1">
        <v>46065</v>
      </c>
      <c r="DH434">
        <v>0</v>
      </c>
      <c r="DI434">
        <v>0</v>
      </c>
      <c r="DL434" t="s">
        <v>963</v>
      </c>
      <c r="DM434" t="s">
        <v>172</v>
      </c>
      <c r="DN434" t="s">
        <v>201</v>
      </c>
      <c r="DV434" s="3">
        <v>245932.79</v>
      </c>
      <c r="DW434">
        <v>0</v>
      </c>
      <c r="DX434" s="3">
        <v>245932.79</v>
      </c>
      <c r="DY434">
        <v>0</v>
      </c>
      <c r="EG434" s="1">
        <v>46076</v>
      </c>
      <c r="EM434" s="1">
        <v>46073</v>
      </c>
      <c r="EN434" t="s">
        <v>156</v>
      </c>
      <c r="EP434" s="1">
        <v>46072</v>
      </c>
      <c r="ER434" s="1">
        <v>46069</v>
      </c>
      <c r="ES434" t="s">
        <v>2778</v>
      </c>
      <c r="EU434" s="1">
        <v>46073</v>
      </c>
      <c r="EW434" s="1">
        <v>46065</v>
      </c>
    </row>
    <row r="435" spans="1:153" ht="246.5" x14ac:dyDescent="0.35">
      <c r="A435" t="str">
        <f>HYPERLINK("https://7lm.cvcrm.com.br/gestor/comercial/reservas/6685/administrar","6685")</f>
        <v>6685</v>
      </c>
      <c r="B435" t="s">
        <v>156</v>
      </c>
      <c r="C435" s="1">
        <v>46065</v>
      </c>
      <c r="D435" s="2">
        <v>0.75018518518518518</v>
      </c>
      <c r="E435" t="s">
        <v>294</v>
      </c>
      <c r="F435" t="s">
        <v>202</v>
      </c>
      <c r="G435" t="s">
        <v>203</v>
      </c>
      <c r="H435" t="s">
        <v>513</v>
      </c>
      <c r="I435" t="s">
        <v>1783</v>
      </c>
      <c r="J435">
        <v>1</v>
      </c>
      <c r="K435">
        <v>8202</v>
      </c>
      <c r="L435">
        <v>20031</v>
      </c>
      <c r="M435" t="s">
        <v>2779</v>
      </c>
      <c r="N435" s="1">
        <v>46126</v>
      </c>
      <c r="O435" s="2">
        <v>0.7253356481481481</v>
      </c>
      <c r="R435" t="str">
        <f>HYPERLINK("https://7lm.cvcrm.com.br/gestor/relatorios/associado/html?q[1|r.idreserva]=6685","RAIMUNDO NONATO DE LIMA DIAS")</f>
        <v>RAIMUNDO NONATO DE LIMA DIAS</v>
      </c>
      <c r="S435">
        <v>63641895120</v>
      </c>
      <c r="T435">
        <v>5561981257469</v>
      </c>
      <c r="V435" t="s">
        <v>2780</v>
      </c>
      <c r="W435" t="s">
        <v>163</v>
      </c>
      <c r="X435" t="s">
        <v>2781</v>
      </c>
      <c r="Y435" t="s">
        <v>189</v>
      </c>
      <c r="Z435" t="s">
        <v>2782</v>
      </c>
      <c r="AA435" t="s">
        <v>2783</v>
      </c>
      <c r="AB435" t="s">
        <v>2784</v>
      </c>
      <c r="AC435" t="s">
        <v>388</v>
      </c>
      <c r="AF435" t="s">
        <v>389</v>
      </c>
      <c r="AG435" t="s">
        <v>195</v>
      </c>
      <c r="AH435" s="3">
        <v>211146.3</v>
      </c>
      <c r="AI435" s="3">
        <v>211146.3</v>
      </c>
      <c r="AJ435" s="1">
        <v>46093</v>
      </c>
      <c r="AN435" t="s">
        <v>172</v>
      </c>
      <c r="AR435" s="7" t="s">
        <v>353</v>
      </c>
      <c r="AT435" t="s">
        <v>196</v>
      </c>
      <c r="AU435" t="s">
        <v>292</v>
      </c>
      <c r="AW435">
        <v>0</v>
      </c>
      <c r="AX435" s="1">
        <v>46086</v>
      </c>
      <c r="AY435" s="2">
        <v>0.40310185185185188</v>
      </c>
      <c r="AZ435">
        <v>185701</v>
      </c>
      <c r="BA435" s="1">
        <v>46044</v>
      </c>
      <c r="BC435" t="s">
        <v>0</v>
      </c>
      <c r="BD435" s="1">
        <v>46065</v>
      </c>
      <c r="BE435" t="s">
        <v>615</v>
      </c>
      <c r="BL435" s="4">
        <v>0</v>
      </c>
      <c r="BM435" s="1">
        <v>46808</v>
      </c>
      <c r="BN435" s="1">
        <v>46081</v>
      </c>
      <c r="BO435">
        <v>0</v>
      </c>
      <c r="BP435">
        <v>27839</v>
      </c>
      <c r="BQ435" t="s">
        <v>156</v>
      </c>
      <c r="BR435" s="3">
        <v>89803.93</v>
      </c>
      <c r="BS435" s="3">
        <v>55000</v>
      </c>
      <c r="BT435">
        <v>0</v>
      </c>
      <c r="BU435" s="3">
        <v>144803.93</v>
      </c>
      <c r="BV435" s="3">
        <v>211146.3</v>
      </c>
      <c r="BX435">
        <v>0</v>
      </c>
      <c r="BZ435">
        <v>0</v>
      </c>
      <c r="CA435">
        <v>0</v>
      </c>
      <c r="CB435">
        <v>0</v>
      </c>
      <c r="CC435" s="3">
        <v>211146.3</v>
      </c>
      <c r="CD435" s="5">
        <v>0</v>
      </c>
      <c r="CF435" s="6">
        <v>46054</v>
      </c>
      <c r="CH435">
        <v>0</v>
      </c>
      <c r="CI435">
        <v>0</v>
      </c>
      <c r="CJ435">
        <v>0</v>
      </c>
      <c r="CK435">
        <v>0</v>
      </c>
      <c r="CL435">
        <v>0</v>
      </c>
      <c r="CM435">
        <v>0</v>
      </c>
      <c r="CN435">
        <v>0</v>
      </c>
      <c r="CO435">
        <v>0</v>
      </c>
      <c r="CP435">
        <v>0</v>
      </c>
      <c r="CQ435">
        <v>0</v>
      </c>
      <c r="CR435">
        <v>0</v>
      </c>
      <c r="CS435" t="s">
        <v>649</v>
      </c>
      <c r="CT435" t="s">
        <v>214</v>
      </c>
      <c r="CU435" t="s">
        <v>1783</v>
      </c>
      <c r="CW435">
        <v>-54.024799999999999</v>
      </c>
      <c r="CZ435" s="1">
        <v>46065</v>
      </c>
      <c r="DA435" t="s">
        <v>172</v>
      </c>
      <c r="DB435" t="s">
        <v>172</v>
      </c>
      <c r="DC435" t="s">
        <v>172</v>
      </c>
      <c r="DD435" t="s">
        <v>172</v>
      </c>
      <c r="DG435" s="1">
        <v>46065</v>
      </c>
      <c r="DH435">
        <v>0</v>
      </c>
      <c r="DI435">
        <v>0</v>
      </c>
      <c r="DL435" t="s">
        <v>215</v>
      </c>
      <c r="DM435" t="s">
        <v>172</v>
      </c>
      <c r="DN435" t="s">
        <v>201</v>
      </c>
      <c r="DV435" s="3">
        <v>211146.3</v>
      </c>
      <c r="DW435">
        <v>0</v>
      </c>
      <c r="DX435" s="3">
        <v>211146.3</v>
      </c>
      <c r="DY435">
        <v>0</v>
      </c>
      <c r="EN435" t="s">
        <v>172</v>
      </c>
      <c r="EP435" s="1">
        <v>46083</v>
      </c>
      <c r="EU435" s="1">
        <v>46073</v>
      </c>
      <c r="EW435" s="1">
        <v>46066</v>
      </c>
    </row>
    <row r="436" spans="1:153" ht="406" x14ac:dyDescent="0.35">
      <c r="A436" t="str">
        <f>HYPERLINK("https://7lm.cvcrm.com.br/gestor/comercial/reservas/6684/administrar","6684")</f>
        <v>6684</v>
      </c>
      <c r="B436" t="s">
        <v>156</v>
      </c>
      <c r="C436" s="1">
        <v>46065</v>
      </c>
      <c r="D436" s="2">
        <v>0.73327546296296298</v>
      </c>
      <c r="E436" t="s">
        <v>1310</v>
      </c>
      <c r="F436" t="s">
        <v>458</v>
      </c>
      <c r="G436" t="s">
        <v>203</v>
      </c>
      <c r="H436" t="s">
        <v>1431</v>
      </c>
      <c r="I436" t="s">
        <v>1432</v>
      </c>
      <c r="J436">
        <v>1</v>
      </c>
      <c r="L436">
        <v>20001</v>
      </c>
      <c r="M436" t="s">
        <v>1433</v>
      </c>
      <c r="N436" s="1">
        <v>46065</v>
      </c>
      <c r="O436" s="2">
        <v>0.74318287037037034</v>
      </c>
      <c r="R436" t="str">
        <f>HYPERLINK("https://7lm.cvcrm.com.br/gestor/relatorios/associado/html?q[1|r.idreserva]=6684","MAURO VINICIUS SANTOS SOUTO")</f>
        <v>MAURO VINICIUS SANTOS SOUTO</v>
      </c>
      <c r="S436">
        <v>7741757105</v>
      </c>
      <c r="T436">
        <v>5561983159078</v>
      </c>
      <c r="V436" t="s">
        <v>2785</v>
      </c>
      <c r="W436" t="s">
        <v>163</v>
      </c>
      <c r="X436" t="s">
        <v>492</v>
      </c>
      <c r="Y436" t="s">
        <v>189</v>
      </c>
      <c r="Z436" t="s">
        <v>214</v>
      </c>
      <c r="AA436" t="s">
        <v>2764</v>
      </c>
      <c r="AB436" t="s">
        <v>2786</v>
      </c>
      <c r="AC436" t="s">
        <v>2559</v>
      </c>
      <c r="AF436" t="s">
        <v>399</v>
      </c>
      <c r="AG436" t="s">
        <v>195</v>
      </c>
      <c r="AH436" s="3">
        <v>249000.82</v>
      </c>
      <c r="AI436" s="3">
        <v>249000.82</v>
      </c>
      <c r="AJ436" s="1">
        <v>46093</v>
      </c>
      <c r="AN436" t="s">
        <v>172</v>
      </c>
      <c r="AR436" s="7" t="s">
        <v>2787</v>
      </c>
      <c r="AT436" t="s">
        <v>196</v>
      </c>
      <c r="AU436" t="s">
        <v>292</v>
      </c>
      <c r="AW436">
        <v>0</v>
      </c>
      <c r="AX436" s="1">
        <v>46092</v>
      </c>
      <c r="AY436" s="2">
        <v>0.63434027777777779</v>
      </c>
      <c r="AZ436">
        <v>189049</v>
      </c>
      <c r="BA436" s="1">
        <v>46065</v>
      </c>
      <c r="BC436" t="s">
        <v>0</v>
      </c>
      <c r="BD436" s="1">
        <v>46065</v>
      </c>
      <c r="BE436" t="s">
        <v>213</v>
      </c>
      <c r="BL436" s="4">
        <v>0</v>
      </c>
      <c r="BM436" s="1">
        <v>46572</v>
      </c>
      <c r="BN436" s="1">
        <v>46073</v>
      </c>
      <c r="BO436">
        <v>0</v>
      </c>
      <c r="BP436">
        <v>28102</v>
      </c>
      <c r="BQ436" t="s">
        <v>156</v>
      </c>
      <c r="BR436" s="3">
        <v>149998.89000000001</v>
      </c>
      <c r="BS436" s="3">
        <v>19077</v>
      </c>
      <c r="BT436">
        <v>0</v>
      </c>
      <c r="BU436" s="3">
        <v>169075.89</v>
      </c>
      <c r="BV436" s="3">
        <v>249000.82</v>
      </c>
      <c r="BX436">
        <v>0</v>
      </c>
      <c r="BZ436">
        <v>0</v>
      </c>
      <c r="CA436">
        <v>0</v>
      </c>
      <c r="CB436">
        <v>0</v>
      </c>
      <c r="CC436" s="3">
        <v>249000.82</v>
      </c>
      <c r="CD436" s="5">
        <v>0</v>
      </c>
      <c r="CE436" t="s">
        <v>467</v>
      </c>
      <c r="CF436" s="6">
        <v>46054</v>
      </c>
      <c r="CH436">
        <v>0</v>
      </c>
      <c r="CI436">
        <v>0</v>
      </c>
      <c r="CJ436">
        <v>0</v>
      </c>
      <c r="CK436">
        <v>0</v>
      </c>
      <c r="CL436">
        <v>0</v>
      </c>
      <c r="CM436">
        <v>0</v>
      </c>
      <c r="CN436">
        <v>0</v>
      </c>
      <c r="CO436">
        <v>0</v>
      </c>
      <c r="CP436">
        <v>0</v>
      </c>
      <c r="CQ436">
        <v>0</v>
      </c>
      <c r="CR436">
        <v>0</v>
      </c>
      <c r="CS436" t="s">
        <v>2497</v>
      </c>
      <c r="CT436" t="s">
        <v>214</v>
      </c>
      <c r="CU436" t="s">
        <v>1432</v>
      </c>
      <c r="CW436">
        <v>443.66989999999998</v>
      </c>
      <c r="CZ436" s="1">
        <v>46065</v>
      </c>
      <c r="DA436" t="s">
        <v>172</v>
      </c>
      <c r="DB436" t="s">
        <v>172</v>
      </c>
      <c r="DC436" t="s">
        <v>172</v>
      </c>
      <c r="DD436" t="s">
        <v>172</v>
      </c>
      <c r="DG436" s="1">
        <v>46065</v>
      </c>
      <c r="DH436">
        <v>0</v>
      </c>
      <c r="DI436">
        <v>0</v>
      </c>
      <c r="DL436" t="s">
        <v>200</v>
      </c>
      <c r="DM436" t="s">
        <v>172</v>
      </c>
      <c r="DN436" t="s">
        <v>511</v>
      </c>
      <c r="DV436" s="3">
        <v>249000.82</v>
      </c>
      <c r="DW436">
        <v>0</v>
      </c>
      <c r="DX436" s="3">
        <v>249000.82</v>
      </c>
      <c r="DY436">
        <v>0</v>
      </c>
      <c r="EF436" s="1">
        <v>46072</v>
      </c>
      <c r="EG436" s="1">
        <v>46069</v>
      </c>
      <c r="EK436" s="1">
        <v>46072</v>
      </c>
      <c r="EN436" t="s">
        <v>156</v>
      </c>
      <c r="EP436" s="1">
        <v>46071</v>
      </c>
      <c r="EU436" s="1">
        <v>46073</v>
      </c>
      <c r="EW436" s="1">
        <v>46065</v>
      </c>
    </row>
    <row r="437" spans="1:153" ht="145" x14ac:dyDescent="0.35">
      <c r="A437" t="str">
        <f>HYPERLINK("https://7lm.cvcrm.com.br/gestor/comercial/reservas/6683/administrar","6683")</f>
        <v>6683</v>
      </c>
      <c r="B437" t="s">
        <v>172</v>
      </c>
      <c r="C437" s="1">
        <v>46065</v>
      </c>
      <c r="D437" s="2">
        <v>0.69680555555555557</v>
      </c>
      <c r="E437" t="s">
        <v>527</v>
      </c>
      <c r="F437" t="s">
        <v>957</v>
      </c>
      <c r="G437" t="s">
        <v>159</v>
      </c>
      <c r="H437" t="s">
        <v>643</v>
      </c>
      <c r="I437" t="s">
        <v>2460</v>
      </c>
      <c r="J437">
        <v>1</v>
      </c>
      <c r="L437">
        <v>30121</v>
      </c>
      <c r="M437" t="s">
        <v>2461</v>
      </c>
      <c r="R437" t="str">
        <f>HYPERLINK("https://7lm.cvcrm.com.br/gestor/relatorios/associado/html?q[1|r.idreserva]=6683","MARCOS VINICIUS LIMA DA SILVA")</f>
        <v>MARCOS VINICIUS LIMA DA SILVA</v>
      </c>
      <c r="S437">
        <v>2837520179</v>
      </c>
      <c r="T437">
        <v>5561995684120</v>
      </c>
      <c r="V437" t="s">
        <v>2788</v>
      </c>
      <c r="W437" t="s">
        <v>163</v>
      </c>
      <c r="X437" t="s">
        <v>299</v>
      </c>
      <c r="Y437" t="s">
        <v>189</v>
      </c>
      <c r="Z437" t="s">
        <v>1088</v>
      </c>
      <c r="AA437" t="s">
        <v>2789</v>
      </c>
      <c r="AB437" t="s">
        <v>2790</v>
      </c>
      <c r="AC437" t="s">
        <v>193</v>
      </c>
      <c r="AF437" t="s">
        <v>194</v>
      </c>
      <c r="AG437" t="s">
        <v>251</v>
      </c>
      <c r="AH437" s="3">
        <v>248000.68</v>
      </c>
      <c r="AI437" s="3">
        <v>248000.68</v>
      </c>
      <c r="AJ437" s="1">
        <v>46065</v>
      </c>
      <c r="AN437" t="s">
        <v>172</v>
      </c>
      <c r="AO437" t="s">
        <v>1334</v>
      </c>
      <c r="AR437" s="7" t="s">
        <v>2791</v>
      </c>
      <c r="AT437" t="s">
        <v>261</v>
      </c>
      <c r="AU437" t="s">
        <v>316</v>
      </c>
      <c r="AW437">
        <v>0</v>
      </c>
      <c r="AX437" s="1">
        <v>46071</v>
      </c>
      <c r="AY437" s="2">
        <v>0.7281481481481481</v>
      </c>
      <c r="AZ437">
        <v>153840</v>
      </c>
      <c r="BA437" s="1">
        <v>45742</v>
      </c>
      <c r="BB437" s="1">
        <v>46038</v>
      </c>
      <c r="BC437" t="s">
        <v>0</v>
      </c>
      <c r="BD437" s="1">
        <v>46065</v>
      </c>
      <c r="BE437" t="s">
        <v>317</v>
      </c>
      <c r="BL437" s="4">
        <v>0</v>
      </c>
      <c r="BM437" s="1">
        <v>47031</v>
      </c>
      <c r="BO437">
        <v>0</v>
      </c>
      <c r="BP437">
        <v>28202</v>
      </c>
      <c r="BQ437" t="s">
        <v>156</v>
      </c>
      <c r="BR437" s="3">
        <v>144870.07999999999</v>
      </c>
      <c r="BS437" s="3">
        <v>19659</v>
      </c>
      <c r="BT437">
        <v>0</v>
      </c>
      <c r="BU437" s="3">
        <v>164529.07999999999</v>
      </c>
      <c r="BV437" s="3">
        <v>248000.68</v>
      </c>
      <c r="BX437">
        <v>0</v>
      </c>
      <c r="BZ437">
        <v>0</v>
      </c>
      <c r="CA437">
        <v>0</v>
      </c>
      <c r="CB437">
        <v>0</v>
      </c>
      <c r="CC437" s="3">
        <v>248000.68</v>
      </c>
      <c r="CD437" s="5">
        <v>0</v>
      </c>
      <c r="CF437" s="6">
        <v>46054</v>
      </c>
      <c r="CH437">
        <v>0</v>
      </c>
      <c r="CI437">
        <v>0</v>
      </c>
      <c r="CJ437">
        <v>0</v>
      </c>
      <c r="CK437">
        <v>0</v>
      </c>
      <c r="CL437">
        <v>0</v>
      </c>
      <c r="CM437">
        <v>0</v>
      </c>
      <c r="CN437">
        <v>0</v>
      </c>
      <c r="CO437">
        <v>0</v>
      </c>
      <c r="CP437">
        <v>0</v>
      </c>
      <c r="CQ437">
        <v>0</v>
      </c>
      <c r="CR437">
        <v>0</v>
      </c>
      <c r="CT437" t="s">
        <v>190</v>
      </c>
      <c r="CU437" t="s">
        <v>2460</v>
      </c>
      <c r="CW437">
        <v>0</v>
      </c>
      <c r="CZ437" s="1">
        <v>46065</v>
      </c>
      <c r="DA437" t="s">
        <v>172</v>
      </c>
      <c r="DB437" t="s">
        <v>172</v>
      </c>
      <c r="DC437" t="s">
        <v>172</v>
      </c>
      <c r="DD437" t="s">
        <v>172</v>
      </c>
      <c r="DG437" s="1">
        <v>46065</v>
      </c>
      <c r="DH437">
        <v>0</v>
      </c>
      <c r="DI437">
        <v>0</v>
      </c>
      <c r="DL437" t="s">
        <v>963</v>
      </c>
      <c r="DM437" t="s">
        <v>172</v>
      </c>
      <c r="DN437" t="s">
        <v>201</v>
      </c>
      <c r="DV437" s="3">
        <v>248000.68</v>
      </c>
      <c r="DW437">
        <v>0</v>
      </c>
      <c r="DX437" s="3">
        <v>248000.68</v>
      </c>
      <c r="DY437">
        <v>0</v>
      </c>
      <c r="EN437" t="s">
        <v>537</v>
      </c>
      <c r="ET437" t="s">
        <v>2792</v>
      </c>
      <c r="EU437" s="1">
        <v>46071</v>
      </c>
      <c r="EW437" s="1">
        <v>46065</v>
      </c>
    </row>
    <row r="438" spans="1:153" ht="275.5" x14ac:dyDescent="0.35">
      <c r="A438" t="str">
        <f>HYPERLINK("https://7lm.cvcrm.com.br/gestor/comercial/reservas/6682/administrar","6682")</f>
        <v>6682</v>
      </c>
      <c r="B438" t="s">
        <v>172</v>
      </c>
      <c r="C438" s="1">
        <v>46064</v>
      </c>
      <c r="D438" s="2">
        <v>0.78620370370370374</v>
      </c>
      <c r="E438" t="s">
        <v>157</v>
      </c>
      <c r="F438" t="s">
        <v>2451</v>
      </c>
      <c r="G438" t="s">
        <v>203</v>
      </c>
      <c r="H438" t="s">
        <v>391</v>
      </c>
      <c r="I438" t="s">
        <v>503</v>
      </c>
      <c r="J438">
        <v>1</v>
      </c>
      <c r="L438">
        <v>30061</v>
      </c>
      <c r="M438" t="s">
        <v>2793</v>
      </c>
      <c r="R438" t="str">
        <f>HYPERLINK("https://7lm.cvcrm.com.br/gestor/relatorios/associado/html?q[1|r.idreserva]=6682","PATRICIA BATISTA DA SILVA SANTOS")</f>
        <v>PATRICIA BATISTA DA SILVA SANTOS</v>
      </c>
      <c r="S438">
        <v>8912586122</v>
      </c>
      <c r="T438">
        <v>556296375137</v>
      </c>
      <c r="V438" t="s">
        <v>2794</v>
      </c>
      <c r="W438" t="s">
        <v>187</v>
      </c>
      <c r="X438" t="s">
        <v>2142</v>
      </c>
      <c r="Y438" t="s">
        <v>189</v>
      </c>
      <c r="Z438" t="s">
        <v>190</v>
      </c>
      <c r="AA438" t="s">
        <v>377</v>
      </c>
      <c r="AB438" t="s">
        <v>2795</v>
      </c>
      <c r="AC438" t="s">
        <v>845</v>
      </c>
      <c r="AD438" t="s">
        <v>845</v>
      </c>
      <c r="AF438" t="s">
        <v>352</v>
      </c>
      <c r="AG438" t="s">
        <v>251</v>
      </c>
      <c r="AH438" s="3">
        <v>265000.19</v>
      </c>
      <c r="AI438" s="3">
        <v>265000.19</v>
      </c>
      <c r="AJ438" s="1">
        <v>46092</v>
      </c>
      <c r="AN438" t="s">
        <v>172</v>
      </c>
      <c r="AR438" s="7" t="s">
        <v>2796</v>
      </c>
      <c r="AT438" t="s">
        <v>261</v>
      </c>
      <c r="AU438" t="s">
        <v>197</v>
      </c>
      <c r="AW438">
        <v>0</v>
      </c>
      <c r="AX438" s="1">
        <v>46064</v>
      </c>
      <c r="AY438" s="2">
        <v>0.78620370370370374</v>
      </c>
      <c r="AZ438">
        <v>185272</v>
      </c>
      <c r="BA438" s="1">
        <v>46042</v>
      </c>
      <c r="BC438" t="s">
        <v>0</v>
      </c>
      <c r="BD438" s="1">
        <v>46064</v>
      </c>
      <c r="BE438" t="s">
        <v>276</v>
      </c>
      <c r="BL438" s="4">
        <v>0</v>
      </c>
      <c r="BM438" s="1">
        <v>46788</v>
      </c>
      <c r="BO438">
        <v>0</v>
      </c>
      <c r="BP438">
        <v>27704</v>
      </c>
      <c r="BQ438" t="s">
        <v>156</v>
      </c>
      <c r="BR438">
        <v>0</v>
      </c>
      <c r="BS438">
        <v>0</v>
      </c>
      <c r="BT438">
        <v>0</v>
      </c>
      <c r="BU438">
        <v>0</v>
      </c>
      <c r="BV438" s="3">
        <v>265000.19</v>
      </c>
      <c r="BX438">
        <v>0</v>
      </c>
      <c r="BZ438">
        <v>0</v>
      </c>
      <c r="CA438">
        <v>0</v>
      </c>
      <c r="CB438">
        <v>0</v>
      </c>
      <c r="CC438" s="3">
        <v>265000.19</v>
      </c>
      <c r="CD438" s="5">
        <v>0</v>
      </c>
      <c r="CF438" s="6">
        <v>46143</v>
      </c>
      <c r="CH438">
        <v>0</v>
      </c>
      <c r="CI438">
        <v>0</v>
      </c>
      <c r="CJ438">
        <v>0</v>
      </c>
      <c r="CK438">
        <v>0</v>
      </c>
      <c r="CL438">
        <v>0</v>
      </c>
      <c r="CM438">
        <v>0</v>
      </c>
      <c r="CN438">
        <v>0</v>
      </c>
      <c r="CO438">
        <v>0</v>
      </c>
      <c r="CP438">
        <v>0</v>
      </c>
      <c r="CQ438">
        <v>0</v>
      </c>
      <c r="CR438">
        <v>0</v>
      </c>
      <c r="CT438" t="s">
        <v>190</v>
      </c>
      <c r="CU438" t="s">
        <v>503</v>
      </c>
      <c r="CW438">
        <v>0</v>
      </c>
      <c r="CZ438" s="1">
        <v>46064</v>
      </c>
      <c r="DA438" t="s">
        <v>172</v>
      </c>
      <c r="DB438" t="s">
        <v>172</v>
      </c>
      <c r="DC438" t="s">
        <v>172</v>
      </c>
      <c r="DD438" t="s">
        <v>172</v>
      </c>
      <c r="DG438" s="1">
        <v>46064</v>
      </c>
      <c r="DH438">
        <v>0</v>
      </c>
      <c r="DI438">
        <v>0</v>
      </c>
      <c r="DL438" t="s">
        <v>2473</v>
      </c>
      <c r="DM438" t="s">
        <v>172</v>
      </c>
      <c r="DN438" t="s">
        <v>511</v>
      </c>
      <c r="DV438" s="3">
        <v>265000.19</v>
      </c>
      <c r="DW438">
        <v>0</v>
      </c>
      <c r="DX438" s="3">
        <v>265000.19</v>
      </c>
      <c r="DY438">
        <v>0</v>
      </c>
      <c r="EN438" t="s">
        <v>156</v>
      </c>
      <c r="EP438" s="1">
        <v>46079</v>
      </c>
      <c r="ER438" s="1">
        <v>46073</v>
      </c>
      <c r="ES438" t="s">
        <v>2797</v>
      </c>
    </row>
    <row r="439" spans="1:153" ht="246.5" x14ac:dyDescent="0.35">
      <c r="A439" t="str">
        <f>HYPERLINK("https://7lm.cvcrm.com.br/gestor/comercial/reservas/6681/administrar","6681")</f>
        <v>6681</v>
      </c>
      <c r="B439" t="s">
        <v>156</v>
      </c>
      <c r="C439" s="1">
        <v>46064</v>
      </c>
      <c r="D439" s="2">
        <v>0.74753472222222217</v>
      </c>
      <c r="E439" t="s">
        <v>294</v>
      </c>
      <c r="F439" t="s">
        <v>957</v>
      </c>
      <c r="G439" t="s">
        <v>159</v>
      </c>
      <c r="H439" t="s">
        <v>183</v>
      </c>
      <c r="I439" t="s">
        <v>184</v>
      </c>
      <c r="J439">
        <v>1</v>
      </c>
      <c r="K439">
        <v>8153</v>
      </c>
      <c r="L439">
        <v>30121</v>
      </c>
      <c r="M439" t="s">
        <v>2798</v>
      </c>
      <c r="N439" s="1">
        <v>46136</v>
      </c>
      <c r="O439" s="2">
        <v>0.72592592592592597</v>
      </c>
      <c r="R439" t="str">
        <f>HYPERLINK("https://7lm.cvcrm.com.br/gestor/relatorios/associado/html?q[1|r.idreserva]=6681","LUANA FERNANDES DE CARVALHO")</f>
        <v>LUANA FERNANDES DE CARVALHO</v>
      </c>
      <c r="S439">
        <v>7397942130</v>
      </c>
      <c r="T439">
        <v>5561998166502</v>
      </c>
      <c r="V439" t="s">
        <v>2799</v>
      </c>
      <c r="W439" t="s">
        <v>187</v>
      </c>
      <c r="X439" t="s">
        <v>2800</v>
      </c>
      <c r="Y439" t="s">
        <v>189</v>
      </c>
      <c r="Z439" t="s">
        <v>190</v>
      </c>
      <c r="AA439" t="s">
        <v>799</v>
      </c>
      <c r="AB439" t="s">
        <v>2801</v>
      </c>
      <c r="AC439" t="s">
        <v>665</v>
      </c>
      <c r="AD439" t="s">
        <v>665</v>
      </c>
      <c r="AF439" t="s">
        <v>250</v>
      </c>
      <c r="AG439" t="s">
        <v>251</v>
      </c>
      <c r="AH439" s="3">
        <v>245932.9</v>
      </c>
      <c r="AI439" s="3">
        <v>245932.9</v>
      </c>
      <c r="AJ439" s="1">
        <v>46092</v>
      </c>
      <c r="AN439" t="s">
        <v>172</v>
      </c>
      <c r="AR439" s="7" t="s">
        <v>353</v>
      </c>
      <c r="AT439" t="s">
        <v>173</v>
      </c>
      <c r="AU439" t="s">
        <v>175</v>
      </c>
      <c r="AW439">
        <v>0</v>
      </c>
      <c r="AX439" s="1">
        <v>46073</v>
      </c>
      <c r="AY439" s="2">
        <v>0.45219907407407406</v>
      </c>
      <c r="AZ439">
        <v>121256</v>
      </c>
      <c r="BA439" s="1">
        <v>45461</v>
      </c>
      <c r="BB439" s="1">
        <v>45697</v>
      </c>
      <c r="BC439" t="s">
        <v>0</v>
      </c>
      <c r="BD439" s="1">
        <v>46064</v>
      </c>
      <c r="BE439" t="s">
        <v>317</v>
      </c>
      <c r="BL439" s="4">
        <v>0</v>
      </c>
      <c r="BM439" s="1">
        <v>47031</v>
      </c>
      <c r="BN439" s="1">
        <v>46073</v>
      </c>
      <c r="BO439">
        <v>0</v>
      </c>
      <c r="BP439">
        <v>28492</v>
      </c>
      <c r="BQ439" t="s">
        <v>156</v>
      </c>
      <c r="BR439">
        <v>0</v>
      </c>
      <c r="BS439">
        <v>0</v>
      </c>
      <c r="BT439">
        <v>0</v>
      </c>
      <c r="BU439">
        <v>0</v>
      </c>
      <c r="BV439" s="3">
        <v>245932.9</v>
      </c>
      <c r="BX439">
        <v>0</v>
      </c>
      <c r="BZ439">
        <v>0</v>
      </c>
      <c r="CA439">
        <v>0</v>
      </c>
      <c r="CB439">
        <v>0</v>
      </c>
      <c r="CC439" s="3">
        <v>245932.9</v>
      </c>
      <c r="CD439" s="5">
        <v>0</v>
      </c>
      <c r="CF439" s="6">
        <v>46054</v>
      </c>
      <c r="CH439">
        <v>0</v>
      </c>
      <c r="CI439">
        <v>0</v>
      </c>
      <c r="CJ439">
        <v>0</v>
      </c>
      <c r="CK439">
        <v>0</v>
      </c>
      <c r="CL439">
        <v>0</v>
      </c>
      <c r="CM439">
        <v>0</v>
      </c>
      <c r="CN439">
        <v>0</v>
      </c>
      <c r="CO439">
        <v>0</v>
      </c>
      <c r="CP439">
        <v>0</v>
      </c>
      <c r="CQ439">
        <v>0</v>
      </c>
      <c r="CR439">
        <v>0</v>
      </c>
      <c r="CS439" t="s">
        <v>649</v>
      </c>
      <c r="CT439" t="s">
        <v>190</v>
      </c>
      <c r="CU439" t="s">
        <v>184</v>
      </c>
      <c r="CW439">
        <v>-48.039700000000003</v>
      </c>
      <c r="CZ439" s="1">
        <v>46064</v>
      </c>
      <c r="DA439" t="s">
        <v>172</v>
      </c>
      <c r="DB439" t="s">
        <v>172</v>
      </c>
      <c r="DC439" t="s">
        <v>172</v>
      </c>
      <c r="DD439" t="s">
        <v>172</v>
      </c>
      <c r="DG439" s="1">
        <v>46064</v>
      </c>
      <c r="DH439">
        <v>0</v>
      </c>
      <c r="DI439">
        <v>0</v>
      </c>
      <c r="DL439" t="s">
        <v>963</v>
      </c>
      <c r="DM439" t="s">
        <v>172</v>
      </c>
      <c r="DN439" t="s">
        <v>201</v>
      </c>
      <c r="DV439" s="3">
        <v>245932.9</v>
      </c>
      <c r="DW439">
        <v>0</v>
      </c>
      <c r="DX439" s="3">
        <v>245932.9</v>
      </c>
      <c r="DY439">
        <v>0</v>
      </c>
      <c r="EG439" s="1">
        <v>46071</v>
      </c>
      <c r="EN439" t="s">
        <v>156</v>
      </c>
      <c r="EP439" s="1">
        <v>46071</v>
      </c>
      <c r="ER439" s="1">
        <v>46069</v>
      </c>
      <c r="ES439" t="s">
        <v>2802</v>
      </c>
      <c r="EU439" s="1">
        <v>46072</v>
      </c>
      <c r="EW439" s="1">
        <v>46064</v>
      </c>
    </row>
    <row r="440" spans="1:153" x14ac:dyDescent="0.35">
      <c r="A440" t="str">
        <f>HYPERLINK("https://7lm.cvcrm.com.br/gestor/comercial/reservas/6680/administrar","6680")</f>
        <v>6680</v>
      </c>
      <c r="B440" t="s">
        <v>172</v>
      </c>
      <c r="C440" s="1">
        <v>46064</v>
      </c>
      <c r="D440" s="2">
        <v>0.69260416666666669</v>
      </c>
      <c r="E440" t="s">
        <v>527</v>
      </c>
      <c r="F440" t="s">
        <v>458</v>
      </c>
      <c r="G440" t="s">
        <v>203</v>
      </c>
      <c r="H440" t="s">
        <v>204</v>
      </c>
      <c r="I440" t="s">
        <v>2222</v>
      </c>
      <c r="J440">
        <v>1</v>
      </c>
      <c r="L440">
        <v>20001</v>
      </c>
      <c r="M440" t="s">
        <v>2223</v>
      </c>
      <c r="R440" t="str">
        <f>HYPERLINK("https://7lm.cvcrm.com.br/gestor/relatorios/associado/html?q[1|r.idreserva]=6680","GABRIELLY MACIEL AULERIANO")</f>
        <v>GABRIELLY MACIEL AULERIANO</v>
      </c>
      <c r="S440">
        <v>6900136125</v>
      </c>
      <c r="T440">
        <v>5561995886953</v>
      </c>
      <c r="V440" t="s">
        <v>2803</v>
      </c>
      <c r="W440" t="s">
        <v>163</v>
      </c>
      <c r="X440" t="s">
        <v>521</v>
      </c>
      <c r="Y440" t="s">
        <v>189</v>
      </c>
      <c r="Z440" t="s">
        <v>214</v>
      </c>
      <c r="AA440" t="s">
        <v>2804</v>
      </c>
      <c r="AB440" t="s">
        <v>2805</v>
      </c>
      <c r="AC440" t="s">
        <v>2806</v>
      </c>
      <c r="AD440" t="s">
        <v>2806</v>
      </c>
      <c r="AF440" t="s">
        <v>634</v>
      </c>
      <c r="AG440" t="s">
        <v>195</v>
      </c>
      <c r="AH440" s="3">
        <v>230822.13</v>
      </c>
      <c r="AI440" s="3">
        <v>230822.13</v>
      </c>
      <c r="AJ440" s="1">
        <v>46076</v>
      </c>
      <c r="AN440" t="s">
        <v>172</v>
      </c>
      <c r="AO440" t="s">
        <v>1098</v>
      </c>
      <c r="AR440" t="s">
        <v>2807</v>
      </c>
      <c r="AT440" t="s">
        <v>196</v>
      </c>
      <c r="AU440" t="s">
        <v>1073</v>
      </c>
      <c r="AW440">
        <v>0</v>
      </c>
      <c r="AX440" s="1">
        <v>46077</v>
      </c>
      <c r="AY440" s="2">
        <v>0.6977430555555556</v>
      </c>
      <c r="AZ440">
        <v>188850</v>
      </c>
      <c r="BA440" s="1">
        <v>46064</v>
      </c>
      <c r="BC440" t="s">
        <v>0</v>
      </c>
      <c r="BD440" s="1">
        <v>46064</v>
      </c>
      <c r="BE440" t="s">
        <v>213</v>
      </c>
      <c r="BL440" s="4">
        <v>0</v>
      </c>
      <c r="BM440" s="1">
        <v>46572</v>
      </c>
      <c r="BO440">
        <v>0</v>
      </c>
      <c r="BP440">
        <v>27579</v>
      </c>
      <c r="BQ440" t="s">
        <v>156</v>
      </c>
      <c r="BR440" s="3">
        <v>108223.13</v>
      </c>
      <c r="BS440" s="3">
        <v>55000</v>
      </c>
      <c r="BT440">
        <v>0</v>
      </c>
      <c r="BU440" s="3">
        <v>163223.13</v>
      </c>
      <c r="BV440" s="3">
        <v>230822.13</v>
      </c>
      <c r="BX440">
        <v>0</v>
      </c>
      <c r="BZ440">
        <v>0</v>
      </c>
      <c r="CA440">
        <v>0</v>
      </c>
      <c r="CB440">
        <v>0</v>
      </c>
      <c r="CC440" s="3">
        <v>230822.13</v>
      </c>
      <c r="CD440" s="5">
        <v>0</v>
      </c>
      <c r="CE440" t="s">
        <v>467</v>
      </c>
      <c r="CF440" s="6">
        <v>46054</v>
      </c>
      <c r="CH440">
        <v>0</v>
      </c>
      <c r="CI440">
        <v>0</v>
      </c>
      <c r="CJ440">
        <v>0</v>
      </c>
      <c r="CK440">
        <v>0</v>
      </c>
      <c r="CL440">
        <v>0</v>
      </c>
      <c r="CM440">
        <v>0</v>
      </c>
      <c r="CN440">
        <v>0</v>
      </c>
      <c r="CO440">
        <v>0</v>
      </c>
      <c r="CP440">
        <v>0</v>
      </c>
      <c r="CQ440">
        <v>0</v>
      </c>
      <c r="CR440">
        <v>0</v>
      </c>
      <c r="CT440" t="s">
        <v>214</v>
      </c>
      <c r="CU440" t="s">
        <v>2222</v>
      </c>
      <c r="CW440">
        <v>0</v>
      </c>
      <c r="CZ440" s="1">
        <v>46064</v>
      </c>
      <c r="DA440" t="s">
        <v>172</v>
      </c>
      <c r="DB440" t="s">
        <v>172</v>
      </c>
      <c r="DC440" t="s">
        <v>172</v>
      </c>
      <c r="DD440" t="s">
        <v>172</v>
      </c>
      <c r="DG440" s="1">
        <v>46064</v>
      </c>
      <c r="DH440">
        <v>0</v>
      </c>
      <c r="DI440">
        <v>0</v>
      </c>
      <c r="DL440" t="s">
        <v>200</v>
      </c>
      <c r="DM440" t="s">
        <v>172</v>
      </c>
      <c r="DN440" t="s">
        <v>201</v>
      </c>
      <c r="DV440" s="3">
        <v>230822.13</v>
      </c>
      <c r="DW440">
        <v>0</v>
      </c>
      <c r="DX440" s="3">
        <v>230822.13</v>
      </c>
      <c r="DY440">
        <v>0</v>
      </c>
      <c r="EN440" t="s">
        <v>537</v>
      </c>
      <c r="ET440" t="s">
        <v>2674</v>
      </c>
      <c r="EW440" s="1">
        <v>46064</v>
      </c>
    </row>
    <row r="441" spans="1:153" ht="406" x14ac:dyDescent="0.35">
      <c r="A441" t="str">
        <f>HYPERLINK("https://7lm.cvcrm.com.br/gestor/comercial/reservas/6679/administrar","6679")</f>
        <v>6679</v>
      </c>
      <c r="B441" t="s">
        <v>156</v>
      </c>
      <c r="C441" s="1">
        <v>46064</v>
      </c>
      <c r="D441" s="2">
        <v>0.67972222222222223</v>
      </c>
      <c r="E441" t="s">
        <v>527</v>
      </c>
      <c r="F441" t="s">
        <v>202</v>
      </c>
      <c r="G441" t="s">
        <v>203</v>
      </c>
      <c r="H441" t="s">
        <v>513</v>
      </c>
      <c r="I441" t="s">
        <v>1577</v>
      </c>
      <c r="J441">
        <v>1</v>
      </c>
      <c r="L441">
        <v>20031</v>
      </c>
      <c r="M441" t="s">
        <v>1578</v>
      </c>
      <c r="N441" s="1">
        <v>46064</v>
      </c>
      <c r="O441" s="2">
        <v>0.6956134259259259</v>
      </c>
      <c r="R441" t="str">
        <f>HYPERLINK("https://7lm.cvcrm.com.br/gestor/relatorios/associado/html?q[1|r.idreserva]=6679","LEILA RODRIGUES DA COSTA")</f>
        <v>LEILA RODRIGUES DA COSTA</v>
      </c>
      <c r="S441">
        <v>61299678378</v>
      </c>
      <c r="T441">
        <v>5561981448971</v>
      </c>
      <c r="V441" t="s">
        <v>2808</v>
      </c>
      <c r="W441" t="s">
        <v>187</v>
      </c>
      <c r="X441" t="s">
        <v>2809</v>
      </c>
      <c r="Y441" t="s">
        <v>189</v>
      </c>
      <c r="Z441" t="s">
        <v>214</v>
      </c>
      <c r="AA441" t="s">
        <v>471</v>
      </c>
      <c r="AB441" t="s">
        <v>2810</v>
      </c>
      <c r="AC441" t="s">
        <v>425</v>
      </c>
      <c r="AF441" t="s">
        <v>389</v>
      </c>
      <c r="AG441" t="s">
        <v>195</v>
      </c>
      <c r="AH441" s="3">
        <v>222000.82</v>
      </c>
      <c r="AI441" s="3">
        <v>222000.82</v>
      </c>
      <c r="AJ441" s="1">
        <v>46092</v>
      </c>
      <c r="AN441" t="s">
        <v>172</v>
      </c>
      <c r="AO441" t="s">
        <v>716</v>
      </c>
      <c r="AR441" s="7" t="s">
        <v>2811</v>
      </c>
      <c r="AT441" t="s">
        <v>196</v>
      </c>
      <c r="AU441" t="s">
        <v>292</v>
      </c>
      <c r="AW441">
        <v>0</v>
      </c>
      <c r="AX441" s="1">
        <v>46086</v>
      </c>
      <c r="AY441" s="2">
        <v>0.41483796296296294</v>
      </c>
      <c r="AZ441">
        <v>162098</v>
      </c>
      <c r="BA441" s="1">
        <v>45831</v>
      </c>
      <c r="BB441" s="1">
        <v>45987</v>
      </c>
      <c r="BC441" t="s">
        <v>0</v>
      </c>
      <c r="BD441" s="1">
        <v>46064</v>
      </c>
      <c r="BE441" t="s">
        <v>317</v>
      </c>
      <c r="BL441" s="4">
        <v>0</v>
      </c>
      <c r="BM441" s="1">
        <v>46808</v>
      </c>
      <c r="BO441">
        <v>0</v>
      </c>
      <c r="BP441">
        <v>27284</v>
      </c>
      <c r="BQ441" t="s">
        <v>156</v>
      </c>
      <c r="BR441" s="3">
        <v>112044.62</v>
      </c>
      <c r="BS441" s="3">
        <v>52077</v>
      </c>
      <c r="BT441">
        <v>0</v>
      </c>
      <c r="BU441" s="3">
        <v>164121.62</v>
      </c>
      <c r="BV441" s="3">
        <v>222000.82</v>
      </c>
      <c r="BX441">
        <v>0</v>
      </c>
      <c r="BZ441">
        <v>0</v>
      </c>
      <c r="CA441">
        <v>0</v>
      </c>
      <c r="CB441">
        <v>0</v>
      </c>
      <c r="CC441" s="3">
        <v>222000.82</v>
      </c>
      <c r="CD441" s="5">
        <v>0</v>
      </c>
      <c r="CF441" s="6">
        <v>46082</v>
      </c>
      <c r="CH441">
        <v>0</v>
      </c>
      <c r="CI441">
        <v>0</v>
      </c>
      <c r="CJ441">
        <v>0</v>
      </c>
      <c r="CK441">
        <v>0</v>
      </c>
      <c r="CL441">
        <v>0</v>
      </c>
      <c r="CM441">
        <v>0</v>
      </c>
      <c r="CN441">
        <v>0</v>
      </c>
      <c r="CO441">
        <v>0</v>
      </c>
      <c r="CP441">
        <v>0</v>
      </c>
      <c r="CQ441">
        <v>0</v>
      </c>
      <c r="CR441">
        <v>0</v>
      </c>
      <c r="CS441" t="s">
        <v>2497</v>
      </c>
      <c r="CT441" t="s">
        <v>214</v>
      </c>
      <c r="CU441" t="s">
        <v>1577</v>
      </c>
      <c r="CW441">
        <v>368.3562</v>
      </c>
      <c r="CZ441" s="1">
        <v>46064</v>
      </c>
      <c r="DA441" t="s">
        <v>172</v>
      </c>
      <c r="DB441" t="s">
        <v>172</v>
      </c>
      <c r="DC441" t="s">
        <v>172</v>
      </c>
      <c r="DD441" t="s">
        <v>172</v>
      </c>
      <c r="DG441" s="1">
        <v>46064</v>
      </c>
      <c r="DH441">
        <v>0</v>
      </c>
      <c r="DI441">
        <v>0</v>
      </c>
      <c r="DL441" t="s">
        <v>215</v>
      </c>
      <c r="DM441" t="s">
        <v>172</v>
      </c>
      <c r="DN441" t="s">
        <v>511</v>
      </c>
      <c r="DV441" s="3">
        <v>222000.82</v>
      </c>
      <c r="DW441">
        <v>0</v>
      </c>
      <c r="DX441" s="3">
        <v>222000.82</v>
      </c>
      <c r="DY441">
        <v>0</v>
      </c>
      <c r="EM441" s="1">
        <v>46072</v>
      </c>
      <c r="EN441" t="s">
        <v>537</v>
      </c>
      <c r="EP441" s="1">
        <v>46071</v>
      </c>
      <c r="EU441" s="1">
        <v>46072</v>
      </c>
      <c r="EW441" s="1">
        <v>46065</v>
      </c>
    </row>
    <row r="442" spans="1:153" x14ac:dyDescent="0.35">
      <c r="A442" t="str">
        <f>HYPERLINK("https://7lm.cvcrm.com.br/gestor/comercial/reservas/6678/administrar","6678")</f>
        <v>6678</v>
      </c>
      <c r="B442" t="s">
        <v>156</v>
      </c>
      <c r="C442" s="1">
        <v>46064</v>
      </c>
      <c r="D442" s="2">
        <v>0.63592592592592589</v>
      </c>
      <c r="E442" t="s">
        <v>294</v>
      </c>
      <c r="F442" t="s">
        <v>226</v>
      </c>
      <c r="G442" t="s">
        <v>159</v>
      </c>
      <c r="H442" t="s">
        <v>252</v>
      </c>
      <c r="I442" t="s">
        <v>218</v>
      </c>
      <c r="J442">
        <v>1</v>
      </c>
      <c r="L442">
        <v>10031</v>
      </c>
      <c r="M442" t="s">
        <v>2812</v>
      </c>
      <c r="N442" s="1">
        <v>46136</v>
      </c>
      <c r="O442" s="2">
        <v>0.72248842592592588</v>
      </c>
      <c r="R442" t="str">
        <f>HYPERLINK("https://7lm.cvcrm.com.br/gestor/relatorios/associado/html?q[1|r.idreserva]=6678","ANA CAROLINE MEDEIROS COSTA")</f>
        <v>ANA CAROLINE MEDEIROS COSTA</v>
      </c>
      <c r="S442">
        <v>5260942140</v>
      </c>
      <c r="T442">
        <v>5561992298872</v>
      </c>
      <c r="U442">
        <v>5561992298872</v>
      </c>
      <c r="V442" t="s">
        <v>2813</v>
      </c>
      <c r="W442" t="s">
        <v>187</v>
      </c>
      <c r="X442" t="s">
        <v>2814</v>
      </c>
      <c r="Y442" t="s">
        <v>165</v>
      </c>
      <c r="Z442" t="s">
        <v>257</v>
      </c>
      <c r="AA442" t="s">
        <v>2815</v>
      </c>
      <c r="AB442" t="s">
        <v>2816</v>
      </c>
      <c r="AC442" t="s">
        <v>260</v>
      </c>
      <c r="AE442" t="s">
        <v>169</v>
      </c>
      <c r="AF442" t="s">
        <v>170</v>
      </c>
      <c r="AG442" t="s">
        <v>195</v>
      </c>
      <c r="AH442" s="3">
        <v>349999.99</v>
      </c>
      <c r="AI442" s="3">
        <v>349999.99</v>
      </c>
      <c r="AJ442" s="1">
        <v>46106</v>
      </c>
      <c r="AN442" t="s">
        <v>172</v>
      </c>
      <c r="AR442" t="s">
        <v>2817</v>
      </c>
      <c r="AT442" t="s">
        <v>196</v>
      </c>
      <c r="AU442" t="s">
        <v>1073</v>
      </c>
      <c r="AW442">
        <v>0</v>
      </c>
      <c r="AX442" s="1">
        <v>46087</v>
      </c>
      <c r="AY442" s="2">
        <v>0.45946759259259257</v>
      </c>
      <c r="AZ442">
        <v>188066</v>
      </c>
      <c r="BA442" s="1">
        <v>46060</v>
      </c>
      <c r="BC442" t="s">
        <v>0</v>
      </c>
      <c r="BD442" s="1">
        <v>46064</v>
      </c>
      <c r="BE442" t="s">
        <v>427</v>
      </c>
      <c r="BL442" s="4">
        <v>0</v>
      </c>
      <c r="BM442" s="1">
        <v>46698</v>
      </c>
      <c r="BN442" s="1">
        <v>46087</v>
      </c>
      <c r="BO442">
        <v>0</v>
      </c>
      <c r="BP442">
        <v>28362</v>
      </c>
      <c r="BQ442" t="s">
        <v>156</v>
      </c>
      <c r="BR442" s="3">
        <v>356252.06</v>
      </c>
      <c r="BS442">
        <v>0</v>
      </c>
      <c r="BT442" s="3">
        <v>20000</v>
      </c>
      <c r="BU442" s="3">
        <v>376252.06</v>
      </c>
      <c r="BV442" s="3">
        <v>349999.99</v>
      </c>
      <c r="BX442">
        <v>0</v>
      </c>
      <c r="BZ442">
        <v>0</v>
      </c>
      <c r="CA442">
        <v>0</v>
      </c>
      <c r="CB442">
        <v>0</v>
      </c>
      <c r="CC442" s="3">
        <v>349999.99</v>
      </c>
      <c r="CD442" s="5">
        <v>0</v>
      </c>
      <c r="CF442" s="6">
        <v>46082</v>
      </c>
      <c r="CH442">
        <v>0</v>
      </c>
      <c r="CI442">
        <v>0</v>
      </c>
      <c r="CJ442">
        <v>0</v>
      </c>
      <c r="CK442">
        <v>0</v>
      </c>
      <c r="CL442">
        <v>0</v>
      </c>
      <c r="CM442">
        <v>0</v>
      </c>
      <c r="CN442">
        <v>0</v>
      </c>
      <c r="CO442">
        <v>0</v>
      </c>
      <c r="CP442">
        <v>0</v>
      </c>
      <c r="CQ442">
        <v>0</v>
      </c>
      <c r="CR442">
        <v>0</v>
      </c>
      <c r="CS442" t="s">
        <v>649</v>
      </c>
      <c r="CT442" t="s">
        <v>238</v>
      </c>
      <c r="CU442" t="s">
        <v>218</v>
      </c>
      <c r="CW442">
        <v>-60.2273</v>
      </c>
      <c r="CX442" t="s">
        <v>170</v>
      </c>
      <c r="CZ442" s="1">
        <v>46064</v>
      </c>
      <c r="DA442" t="s">
        <v>172</v>
      </c>
      <c r="DB442" t="s">
        <v>172</v>
      </c>
      <c r="DC442" t="s">
        <v>172</v>
      </c>
      <c r="DD442" t="s">
        <v>172</v>
      </c>
      <c r="DG442" s="1">
        <v>46064</v>
      </c>
      <c r="DH442">
        <v>0</v>
      </c>
      <c r="DI442">
        <v>0</v>
      </c>
      <c r="DL442" t="s">
        <v>263</v>
      </c>
      <c r="DM442" t="s">
        <v>172</v>
      </c>
      <c r="DN442" t="s">
        <v>264</v>
      </c>
      <c r="DU442" t="s">
        <v>240</v>
      </c>
      <c r="DV442" s="3">
        <v>530000.01</v>
      </c>
      <c r="DW442">
        <v>-60.23</v>
      </c>
      <c r="DX442" s="3">
        <v>530000.01</v>
      </c>
      <c r="DY442">
        <v>-60.23</v>
      </c>
    </row>
    <row r="443" spans="1:153" ht="409.5" x14ac:dyDescent="0.35">
      <c r="A443" t="str">
        <f>HYPERLINK("https://7lm.cvcrm.com.br/gestor/comercial/reservas/6677/administrar","6677")</f>
        <v>6677</v>
      </c>
      <c r="B443" t="s">
        <v>156</v>
      </c>
      <c r="C443" s="1">
        <v>46064</v>
      </c>
      <c r="D443" s="2">
        <v>0.55349537037037033</v>
      </c>
      <c r="E443" t="s">
        <v>1310</v>
      </c>
      <c r="F443" t="s">
        <v>202</v>
      </c>
      <c r="G443" t="s">
        <v>203</v>
      </c>
      <c r="H443" t="s">
        <v>306</v>
      </c>
      <c r="I443" t="s">
        <v>2211</v>
      </c>
      <c r="J443">
        <v>1</v>
      </c>
      <c r="L443">
        <v>20031</v>
      </c>
      <c r="M443" t="s">
        <v>2212</v>
      </c>
      <c r="N443" s="1">
        <v>46072</v>
      </c>
      <c r="O443" s="2">
        <v>0.67307870370370371</v>
      </c>
      <c r="R443" t="str">
        <f>HYPERLINK("https://7lm.cvcrm.com.br/gestor/relatorios/associado/html?q[1|r.idreserva]=6677","FRANKLEYDE DE ORNELAS SILVA DIASSIS")</f>
        <v>FRANKLEYDE DE ORNELAS SILVA DIASSIS</v>
      </c>
      <c r="S443">
        <v>7471407158</v>
      </c>
      <c r="T443">
        <v>5561986097775</v>
      </c>
      <c r="V443" t="s">
        <v>2818</v>
      </c>
      <c r="W443" t="s">
        <v>187</v>
      </c>
      <c r="X443" t="s">
        <v>299</v>
      </c>
      <c r="Y443" t="s">
        <v>189</v>
      </c>
      <c r="Z443" t="s">
        <v>214</v>
      </c>
      <c r="AA443" t="s">
        <v>2486</v>
      </c>
      <c r="AB443" t="s">
        <v>2819</v>
      </c>
      <c r="AC443" t="s">
        <v>696</v>
      </c>
      <c r="AD443" t="s">
        <v>697</v>
      </c>
      <c r="AF443" t="s">
        <v>413</v>
      </c>
      <c r="AG443" t="s">
        <v>195</v>
      </c>
      <c r="AH443" s="3">
        <v>219760.74</v>
      </c>
      <c r="AI443" s="3">
        <v>219760.74</v>
      </c>
      <c r="AJ443" s="1">
        <v>46127</v>
      </c>
      <c r="AN443" t="s">
        <v>172</v>
      </c>
      <c r="AR443" s="7" t="s">
        <v>2820</v>
      </c>
      <c r="AT443" t="s">
        <v>196</v>
      </c>
      <c r="AU443" t="s">
        <v>316</v>
      </c>
      <c r="AW443">
        <v>0</v>
      </c>
      <c r="AX443" s="1">
        <v>46092</v>
      </c>
      <c r="AY443" s="2">
        <v>0.62285879629629626</v>
      </c>
      <c r="AZ443">
        <v>164444</v>
      </c>
      <c r="BA443" s="1">
        <v>45852</v>
      </c>
      <c r="BB443" s="1">
        <v>46043</v>
      </c>
      <c r="BC443" t="s">
        <v>0</v>
      </c>
      <c r="BD443" s="1">
        <v>46064</v>
      </c>
      <c r="BE443" t="s">
        <v>317</v>
      </c>
      <c r="BL443" s="4">
        <v>0</v>
      </c>
      <c r="BM443" s="1">
        <v>46808</v>
      </c>
      <c r="BN443" s="1">
        <v>46086</v>
      </c>
      <c r="BO443">
        <v>0</v>
      </c>
      <c r="BP443">
        <v>28226</v>
      </c>
      <c r="BQ443" t="s">
        <v>156</v>
      </c>
      <c r="BR443" s="3">
        <v>114597.05</v>
      </c>
      <c r="BS443" s="3">
        <v>51304</v>
      </c>
      <c r="BT443">
        <v>0</v>
      </c>
      <c r="BU443" s="3">
        <v>165901.04999999999</v>
      </c>
      <c r="BV443" s="3">
        <v>219760.74</v>
      </c>
      <c r="BX443">
        <v>0</v>
      </c>
      <c r="BZ443">
        <v>0</v>
      </c>
      <c r="CA443">
        <v>0</v>
      </c>
      <c r="CB443">
        <v>0</v>
      </c>
      <c r="CC443" s="3">
        <v>219760.74</v>
      </c>
      <c r="CD443" s="5">
        <v>0</v>
      </c>
      <c r="CF443" s="6">
        <v>46082</v>
      </c>
      <c r="CH443">
        <v>0</v>
      </c>
      <c r="CI443">
        <v>0</v>
      </c>
      <c r="CJ443">
        <v>0</v>
      </c>
      <c r="CK443">
        <v>0</v>
      </c>
      <c r="CL443">
        <v>0</v>
      </c>
      <c r="CM443">
        <v>0</v>
      </c>
      <c r="CN443">
        <v>0</v>
      </c>
      <c r="CO443">
        <v>0</v>
      </c>
      <c r="CP443">
        <v>0</v>
      </c>
      <c r="CQ443">
        <v>0</v>
      </c>
      <c r="CR443">
        <v>0</v>
      </c>
      <c r="CS443" t="s">
        <v>360</v>
      </c>
      <c r="CT443" t="s">
        <v>214</v>
      </c>
      <c r="CU443" t="s">
        <v>2211</v>
      </c>
      <c r="CW443">
        <v>-54.285800000000002</v>
      </c>
      <c r="CZ443" s="1">
        <v>46064</v>
      </c>
      <c r="DA443" t="s">
        <v>172</v>
      </c>
      <c r="DB443" t="s">
        <v>172</v>
      </c>
      <c r="DC443" t="s">
        <v>172</v>
      </c>
      <c r="DD443" t="s">
        <v>172</v>
      </c>
      <c r="DG443" s="1">
        <v>46064</v>
      </c>
      <c r="DH443">
        <v>0</v>
      </c>
      <c r="DI443">
        <v>0</v>
      </c>
      <c r="DL443" t="s">
        <v>224</v>
      </c>
      <c r="DM443" t="s">
        <v>172</v>
      </c>
      <c r="DN443" t="s">
        <v>225</v>
      </c>
      <c r="DV443" s="3">
        <v>219760.74</v>
      </c>
      <c r="DW443">
        <v>0</v>
      </c>
      <c r="DX443" s="3">
        <v>219760.74</v>
      </c>
      <c r="DY443">
        <v>0</v>
      </c>
      <c r="EF443" s="1">
        <v>46072</v>
      </c>
      <c r="EG443" s="1">
        <v>46069</v>
      </c>
      <c r="EK443" s="1">
        <v>46072</v>
      </c>
      <c r="EM443" s="1">
        <v>46069</v>
      </c>
      <c r="EN443" t="s">
        <v>156</v>
      </c>
      <c r="EP443" s="1">
        <v>46066</v>
      </c>
      <c r="ET443" t="s">
        <v>699</v>
      </c>
      <c r="EU443" s="1">
        <v>46083</v>
      </c>
      <c r="EW443" s="1">
        <v>46064</v>
      </c>
    </row>
    <row r="444" spans="1:153" ht="145" x14ac:dyDescent="0.35">
      <c r="A444" t="str">
        <f>HYPERLINK("https://7lm.cvcrm.com.br/gestor/comercial/reservas/6676/administrar","6676")</f>
        <v>6676</v>
      </c>
      <c r="B444" t="s">
        <v>156</v>
      </c>
      <c r="C444" s="1">
        <v>46064</v>
      </c>
      <c r="D444" s="2">
        <v>0.42881944444444442</v>
      </c>
      <c r="E444" t="s">
        <v>527</v>
      </c>
      <c r="F444" t="s">
        <v>957</v>
      </c>
      <c r="G444" t="s">
        <v>159</v>
      </c>
      <c r="H444" t="s">
        <v>704</v>
      </c>
      <c r="I444" t="s">
        <v>1404</v>
      </c>
      <c r="J444">
        <v>1</v>
      </c>
      <c r="K444">
        <v>8144</v>
      </c>
      <c r="L444">
        <v>30121</v>
      </c>
      <c r="M444" t="s">
        <v>2821</v>
      </c>
      <c r="N444" s="1">
        <v>46064</v>
      </c>
      <c r="O444" s="2">
        <v>0.77887731481481481</v>
      </c>
      <c r="R444" t="str">
        <f>HYPERLINK("https://7lm.cvcrm.com.br/gestor/relatorios/associado/html?q[1|r.idreserva]=6676","DAMIANA AZEVEDO LIMA")</f>
        <v>DAMIANA AZEVEDO LIMA</v>
      </c>
      <c r="S444">
        <v>4760543112</v>
      </c>
      <c r="T444">
        <v>5561996230257</v>
      </c>
      <c r="V444" t="s">
        <v>2738</v>
      </c>
      <c r="W444" t="s">
        <v>187</v>
      </c>
      <c r="X444" t="s">
        <v>2739</v>
      </c>
      <c r="Y444" t="s">
        <v>189</v>
      </c>
      <c r="Z444" t="s">
        <v>190</v>
      </c>
      <c r="AA444" t="s">
        <v>300</v>
      </c>
      <c r="AB444" t="s">
        <v>2740</v>
      </c>
      <c r="AC444" t="s">
        <v>534</v>
      </c>
      <c r="AF444" t="s">
        <v>303</v>
      </c>
      <c r="AG444" t="s">
        <v>195</v>
      </c>
      <c r="AH444" s="3">
        <v>255000.74</v>
      </c>
      <c r="AI444" s="3">
        <v>255000.74</v>
      </c>
      <c r="AJ444" s="1">
        <v>46127</v>
      </c>
      <c r="AN444" t="s">
        <v>172</v>
      </c>
      <c r="AO444" t="s">
        <v>725</v>
      </c>
      <c r="AP444" t="s">
        <v>2822</v>
      </c>
      <c r="AR444" s="7" t="s">
        <v>2823</v>
      </c>
      <c r="AT444" t="s">
        <v>196</v>
      </c>
      <c r="AU444" t="s">
        <v>292</v>
      </c>
      <c r="AW444">
        <v>0</v>
      </c>
      <c r="AX444" s="1">
        <v>46071</v>
      </c>
      <c r="AY444" s="2">
        <v>0.6683796296296296</v>
      </c>
      <c r="AZ444">
        <v>83621</v>
      </c>
      <c r="BA444" s="1">
        <v>44975</v>
      </c>
      <c r="BC444" t="s">
        <v>0</v>
      </c>
      <c r="BD444" s="1">
        <v>46066</v>
      </c>
      <c r="BE444" t="s">
        <v>317</v>
      </c>
      <c r="BL444" s="4">
        <v>0</v>
      </c>
      <c r="BM444" s="1">
        <v>47031</v>
      </c>
      <c r="BO444">
        <v>0</v>
      </c>
      <c r="BP444">
        <v>28427</v>
      </c>
      <c r="BQ444" t="s">
        <v>156</v>
      </c>
      <c r="BR444" s="3">
        <v>149129.26</v>
      </c>
      <c r="BS444" s="3">
        <v>10857</v>
      </c>
      <c r="BT444">
        <v>0</v>
      </c>
      <c r="BU444" s="3">
        <v>159986.26</v>
      </c>
      <c r="BV444" s="3">
        <v>255000.74</v>
      </c>
      <c r="BX444">
        <v>0</v>
      </c>
      <c r="BZ444">
        <v>0</v>
      </c>
      <c r="CA444">
        <v>0</v>
      </c>
      <c r="CB444">
        <v>0</v>
      </c>
      <c r="CC444" s="3">
        <v>255000.74</v>
      </c>
      <c r="CD444" s="5">
        <v>0</v>
      </c>
      <c r="CF444" s="6">
        <v>46054</v>
      </c>
      <c r="CH444">
        <v>0</v>
      </c>
      <c r="CI444">
        <v>0</v>
      </c>
      <c r="CJ444">
        <v>0</v>
      </c>
      <c r="CK444">
        <v>0</v>
      </c>
      <c r="CL444">
        <v>0</v>
      </c>
      <c r="CM444">
        <v>0</v>
      </c>
      <c r="CN444">
        <v>0</v>
      </c>
      <c r="CO444">
        <v>0</v>
      </c>
      <c r="CP444">
        <v>0</v>
      </c>
      <c r="CQ444">
        <v>0</v>
      </c>
      <c r="CR444">
        <v>0</v>
      </c>
      <c r="CS444" t="s">
        <v>199</v>
      </c>
      <c r="CT444" t="s">
        <v>190</v>
      </c>
      <c r="CU444" t="s">
        <v>1404</v>
      </c>
      <c r="CW444">
        <v>437.97620000000001</v>
      </c>
      <c r="CZ444" s="1">
        <v>46064</v>
      </c>
      <c r="DA444" t="s">
        <v>172</v>
      </c>
      <c r="DB444" t="s">
        <v>172</v>
      </c>
      <c r="DC444" t="s">
        <v>172</v>
      </c>
      <c r="DD444" t="s">
        <v>172</v>
      </c>
      <c r="DG444" s="1">
        <v>46064</v>
      </c>
      <c r="DH444">
        <v>0</v>
      </c>
      <c r="DI444">
        <v>0</v>
      </c>
      <c r="DL444" t="s">
        <v>963</v>
      </c>
      <c r="DM444" t="s">
        <v>172</v>
      </c>
      <c r="DN444" t="s">
        <v>225</v>
      </c>
      <c r="DP444" s="4">
        <v>1.2E-2</v>
      </c>
      <c r="DV444" s="3">
        <v>255000.74</v>
      </c>
      <c r="DW444">
        <v>0</v>
      </c>
      <c r="DX444" s="3">
        <v>255000.74</v>
      </c>
      <c r="DY444">
        <v>0</v>
      </c>
      <c r="EF444" s="1">
        <v>46066</v>
      </c>
      <c r="EG444" s="1">
        <v>46065</v>
      </c>
      <c r="EK444" s="1">
        <v>46066</v>
      </c>
      <c r="EL444" s="1">
        <v>46066</v>
      </c>
      <c r="EM444" s="1">
        <v>46066</v>
      </c>
      <c r="EN444" t="s">
        <v>537</v>
      </c>
      <c r="EP444" s="1">
        <v>46065</v>
      </c>
      <c r="ER444" s="1">
        <v>46065</v>
      </c>
      <c r="ES444" t="s">
        <v>2824</v>
      </c>
      <c r="EU444" s="1">
        <v>46069</v>
      </c>
      <c r="EW444" s="1">
        <v>46064</v>
      </c>
    </row>
    <row r="445" spans="1:153" x14ac:dyDescent="0.35">
      <c r="A445" t="str">
        <f>HYPERLINK("https://7lm.cvcrm.com.br/gestor/comercial/reservas/6675/administrar","6675")</f>
        <v>6675</v>
      </c>
      <c r="B445" t="s">
        <v>156</v>
      </c>
      <c r="C445" s="1">
        <v>46063</v>
      </c>
      <c r="D445" s="2">
        <v>0.40614583333333332</v>
      </c>
      <c r="E445" t="s">
        <v>527</v>
      </c>
      <c r="F445" t="s">
        <v>202</v>
      </c>
      <c r="G445" t="s">
        <v>203</v>
      </c>
      <c r="H445" t="s">
        <v>204</v>
      </c>
      <c r="I445" t="s">
        <v>2435</v>
      </c>
      <c r="J445">
        <v>1</v>
      </c>
      <c r="L445">
        <v>20031</v>
      </c>
      <c r="M445" t="s">
        <v>2436</v>
      </c>
      <c r="N445" s="1">
        <v>46064</v>
      </c>
      <c r="O445" s="2">
        <v>0.75365740740740739</v>
      </c>
      <c r="R445" t="str">
        <f>HYPERLINK("https://7lm.cvcrm.com.br/gestor/relatorios/associado/html?q[1|r.idreserva]=6675","ELIZABETH NASCIMENTO SILVA")</f>
        <v>ELIZABETH NASCIMENTO SILVA</v>
      </c>
      <c r="S445">
        <v>5808249180</v>
      </c>
      <c r="T445">
        <v>5561995099565</v>
      </c>
      <c r="V445" t="s">
        <v>2825</v>
      </c>
      <c r="W445" t="s">
        <v>187</v>
      </c>
      <c r="X445" t="s">
        <v>521</v>
      </c>
      <c r="AA445" t="s">
        <v>2826</v>
      </c>
      <c r="AB445" t="s">
        <v>2827</v>
      </c>
      <c r="AC445" t="s">
        <v>398</v>
      </c>
      <c r="AF445" t="s">
        <v>399</v>
      </c>
      <c r="AG445" t="s">
        <v>195</v>
      </c>
      <c r="AH445" s="3">
        <v>225001.01</v>
      </c>
      <c r="AI445" s="3">
        <v>225001.01</v>
      </c>
      <c r="AJ445" s="1">
        <v>46091</v>
      </c>
      <c r="AN445" t="s">
        <v>172</v>
      </c>
      <c r="AO445" t="s">
        <v>657</v>
      </c>
      <c r="AR445" t="s">
        <v>2828</v>
      </c>
      <c r="AT445" t="s">
        <v>196</v>
      </c>
      <c r="AU445" t="s">
        <v>292</v>
      </c>
      <c r="AW445">
        <v>0</v>
      </c>
      <c r="AX445" s="1">
        <v>46071</v>
      </c>
      <c r="AY445" s="2">
        <v>0.65611111111111109</v>
      </c>
      <c r="AZ445">
        <v>116869</v>
      </c>
      <c r="BA445" s="1">
        <v>45420</v>
      </c>
      <c r="BB445" s="1">
        <v>45944</v>
      </c>
      <c r="BC445" t="s">
        <v>0</v>
      </c>
      <c r="BD445" s="1">
        <v>46063</v>
      </c>
      <c r="BE445" t="s">
        <v>317</v>
      </c>
      <c r="BL445" s="4">
        <v>0</v>
      </c>
      <c r="BM445" s="1">
        <v>46808</v>
      </c>
      <c r="BO445">
        <v>0</v>
      </c>
      <c r="BP445">
        <v>28037</v>
      </c>
      <c r="BQ445" t="s">
        <v>156</v>
      </c>
      <c r="BR445" s="3">
        <v>109513.01</v>
      </c>
      <c r="BS445" s="3">
        <v>54620</v>
      </c>
      <c r="BT445">
        <v>0</v>
      </c>
      <c r="BU445" s="3">
        <v>164133.01</v>
      </c>
      <c r="BV445" s="3">
        <v>225001.01</v>
      </c>
      <c r="BX445">
        <v>0</v>
      </c>
      <c r="BZ445">
        <v>0</v>
      </c>
      <c r="CA445">
        <v>0</v>
      </c>
      <c r="CB445">
        <v>0</v>
      </c>
      <c r="CC445" s="3">
        <v>225001.01</v>
      </c>
      <c r="CD445" s="5">
        <v>0</v>
      </c>
      <c r="CF445" s="6">
        <v>46054</v>
      </c>
      <c r="CH445">
        <v>0</v>
      </c>
      <c r="CI445">
        <v>0</v>
      </c>
      <c r="CJ445">
        <v>0</v>
      </c>
      <c r="CK445">
        <v>0</v>
      </c>
      <c r="CL445">
        <v>0</v>
      </c>
      <c r="CM445">
        <v>0</v>
      </c>
      <c r="CN445">
        <v>0</v>
      </c>
      <c r="CO445">
        <v>0</v>
      </c>
      <c r="CP445">
        <v>0</v>
      </c>
      <c r="CQ445">
        <v>0</v>
      </c>
      <c r="CR445">
        <v>0</v>
      </c>
      <c r="CS445" t="s">
        <v>2497</v>
      </c>
      <c r="CT445" t="s">
        <v>214</v>
      </c>
      <c r="CU445" t="s">
        <v>2435</v>
      </c>
      <c r="CW445">
        <v>374.6857</v>
      </c>
      <c r="CZ445" s="1">
        <v>46063</v>
      </c>
      <c r="DA445" t="s">
        <v>172</v>
      </c>
      <c r="DB445" t="s">
        <v>172</v>
      </c>
      <c r="DC445" t="s">
        <v>172</v>
      </c>
      <c r="DD445" t="s">
        <v>172</v>
      </c>
      <c r="DG445" s="1">
        <v>46063</v>
      </c>
      <c r="DH445">
        <v>0</v>
      </c>
      <c r="DI445">
        <v>0</v>
      </c>
      <c r="DL445" t="s">
        <v>215</v>
      </c>
      <c r="DM445" t="s">
        <v>172</v>
      </c>
      <c r="DN445" t="s">
        <v>525</v>
      </c>
      <c r="DV445" s="3">
        <v>225001.01</v>
      </c>
      <c r="DW445">
        <v>0</v>
      </c>
      <c r="DX445" s="3">
        <v>225001.01</v>
      </c>
      <c r="DY445">
        <v>0</v>
      </c>
      <c r="EN445" t="s">
        <v>172</v>
      </c>
      <c r="EU445" s="1">
        <v>46071</v>
      </c>
    </row>
    <row r="446" spans="1:153" ht="261" x14ac:dyDescent="0.35">
      <c r="A446" t="str">
        <f>HYPERLINK("https://7lm.cvcrm.com.br/gestor/comercial/reservas/6674/administrar","6674")</f>
        <v>6674</v>
      </c>
      <c r="B446" t="s">
        <v>156</v>
      </c>
      <c r="C446" s="1">
        <v>46062</v>
      </c>
      <c r="D446" s="2">
        <v>0.78395833333333331</v>
      </c>
      <c r="E446" t="s">
        <v>294</v>
      </c>
      <c r="F446" t="s">
        <v>957</v>
      </c>
      <c r="G446" t="s">
        <v>159</v>
      </c>
      <c r="H446" t="s">
        <v>975</v>
      </c>
      <c r="I446" t="s">
        <v>1039</v>
      </c>
      <c r="J446">
        <v>1</v>
      </c>
      <c r="L446">
        <v>30121</v>
      </c>
      <c r="M446" t="s">
        <v>2829</v>
      </c>
      <c r="N446" s="1">
        <v>46066</v>
      </c>
      <c r="O446" s="2">
        <v>0.49100694444444443</v>
      </c>
      <c r="R446" t="str">
        <f>HYPERLINK("https://7lm.cvcrm.com.br/gestor/relatorios/associado/html?q[1|r.idreserva]=6674","AMANDA DA SILVA PASSOS")</f>
        <v>AMANDA DA SILVA PASSOS</v>
      </c>
      <c r="S446">
        <v>5579367139</v>
      </c>
      <c r="T446">
        <v>5561999214653</v>
      </c>
      <c r="V446" t="s">
        <v>2830</v>
      </c>
      <c r="W446" t="s">
        <v>187</v>
      </c>
      <c r="X446" t="s">
        <v>2831</v>
      </c>
      <c r="Y446" t="s">
        <v>189</v>
      </c>
      <c r="Z446" t="s">
        <v>190</v>
      </c>
      <c r="AA446" t="s">
        <v>707</v>
      </c>
      <c r="AB446" t="s">
        <v>2832</v>
      </c>
      <c r="AC446" t="s">
        <v>917</v>
      </c>
      <c r="AF446" t="s">
        <v>194</v>
      </c>
      <c r="AG446" t="s">
        <v>195</v>
      </c>
      <c r="AH446" s="3">
        <v>245000.05</v>
      </c>
      <c r="AI446" s="3">
        <v>245000.05</v>
      </c>
      <c r="AJ446" s="1">
        <v>46073</v>
      </c>
      <c r="AN446" t="s">
        <v>172</v>
      </c>
      <c r="AR446" s="7" t="s">
        <v>2833</v>
      </c>
      <c r="AT446" t="s">
        <v>196</v>
      </c>
      <c r="AU446" t="s">
        <v>197</v>
      </c>
      <c r="AW446">
        <v>0</v>
      </c>
      <c r="AX446" s="1">
        <v>46073</v>
      </c>
      <c r="AY446" s="2">
        <v>0.46883101851851849</v>
      </c>
      <c r="AZ446">
        <v>181301</v>
      </c>
      <c r="BA446" s="1">
        <v>46012</v>
      </c>
      <c r="BC446" t="s">
        <v>0</v>
      </c>
      <c r="BD446" s="1">
        <v>46062</v>
      </c>
      <c r="BE446" t="s">
        <v>198</v>
      </c>
      <c r="BL446" s="4">
        <v>0</v>
      </c>
      <c r="BM446" s="1">
        <v>47031</v>
      </c>
      <c r="BN446" s="1">
        <v>46073</v>
      </c>
      <c r="BO446">
        <v>0</v>
      </c>
      <c r="BP446">
        <v>28348</v>
      </c>
      <c r="BQ446" t="s">
        <v>156</v>
      </c>
      <c r="BR446" s="3">
        <v>163549.04999999999</v>
      </c>
      <c r="BS446" s="3">
        <v>10847</v>
      </c>
      <c r="BT446">
        <v>0</v>
      </c>
      <c r="BU446" s="3">
        <v>174396.05</v>
      </c>
      <c r="BV446" s="3">
        <v>245000.05</v>
      </c>
      <c r="BX446">
        <v>0</v>
      </c>
      <c r="BZ446">
        <v>0</v>
      </c>
      <c r="CA446">
        <v>0</v>
      </c>
      <c r="CB446">
        <v>0</v>
      </c>
      <c r="CC446" s="3">
        <v>245000.05</v>
      </c>
      <c r="CD446" s="5">
        <v>0</v>
      </c>
      <c r="CF446" s="6">
        <v>46054</v>
      </c>
      <c r="CH446">
        <v>0</v>
      </c>
      <c r="CI446">
        <v>0</v>
      </c>
      <c r="CJ446">
        <v>0</v>
      </c>
      <c r="CK446">
        <v>0</v>
      </c>
      <c r="CL446">
        <v>0</v>
      </c>
      <c r="CM446">
        <v>0</v>
      </c>
      <c r="CN446">
        <v>0</v>
      </c>
      <c r="CO446">
        <v>0</v>
      </c>
      <c r="CP446">
        <v>0</v>
      </c>
      <c r="CQ446">
        <v>0</v>
      </c>
      <c r="CR446">
        <v>0</v>
      </c>
      <c r="CS446" t="s">
        <v>2029</v>
      </c>
      <c r="CT446" t="s">
        <v>190</v>
      </c>
      <c r="CU446" t="s">
        <v>1039</v>
      </c>
      <c r="CW446">
        <v>-52.647799999999997</v>
      </c>
      <c r="CZ446" s="1">
        <v>46062</v>
      </c>
      <c r="DA446" t="s">
        <v>172</v>
      </c>
      <c r="DB446" t="s">
        <v>172</v>
      </c>
      <c r="DC446" t="s">
        <v>172</v>
      </c>
      <c r="DD446" t="s">
        <v>172</v>
      </c>
      <c r="DG446" s="1">
        <v>46062</v>
      </c>
      <c r="DH446">
        <v>0</v>
      </c>
      <c r="DI446">
        <v>0</v>
      </c>
      <c r="DL446" t="s">
        <v>963</v>
      </c>
      <c r="DM446" t="s">
        <v>172</v>
      </c>
      <c r="DN446" t="s">
        <v>225</v>
      </c>
      <c r="DV446" s="3">
        <v>245000.05</v>
      </c>
      <c r="DW446">
        <v>0</v>
      </c>
      <c r="DX446" s="3">
        <v>245000.05</v>
      </c>
      <c r="DY446">
        <v>0</v>
      </c>
      <c r="EG446" s="1">
        <v>46066</v>
      </c>
      <c r="EN446" t="s">
        <v>156</v>
      </c>
      <c r="EP446" s="1">
        <v>46071</v>
      </c>
      <c r="ET446" t="s">
        <v>2834</v>
      </c>
      <c r="EU446" s="1">
        <v>46071</v>
      </c>
      <c r="EW446" s="1">
        <v>46062</v>
      </c>
    </row>
    <row r="447" spans="1:153" ht="246.5" x14ac:dyDescent="0.35">
      <c r="A447" t="str">
        <f>HYPERLINK("https://7lm.cvcrm.com.br/gestor/comercial/reservas/6673/administrar","6673")</f>
        <v>6673</v>
      </c>
      <c r="B447" t="s">
        <v>156</v>
      </c>
      <c r="C447" s="1">
        <v>46062</v>
      </c>
      <c r="D447" s="2">
        <v>0.61575231481481485</v>
      </c>
      <c r="E447" t="s">
        <v>294</v>
      </c>
      <c r="F447" t="s">
        <v>957</v>
      </c>
      <c r="G447" t="s">
        <v>159</v>
      </c>
      <c r="H447" t="s">
        <v>759</v>
      </c>
      <c r="I447" t="s">
        <v>818</v>
      </c>
      <c r="J447">
        <v>1</v>
      </c>
      <c r="L447">
        <v>30121</v>
      </c>
      <c r="M447" t="s">
        <v>2835</v>
      </c>
      <c r="N447" s="1">
        <v>46078</v>
      </c>
      <c r="O447" s="2">
        <v>0.59351851851851856</v>
      </c>
      <c r="R447" t="str">
        <f>HYPERLINK("https://7lm.cvcrm.com.br/gestor/relatorios/associado/html?q[1|r.idreserva]=6673","DANIEL BUENO DE OLIVEIRA")</f>
        <v>DANIEL BUENO DE OLIVEIRA</v>
      </c>
      <c r="S447">
        <v>7923925151</v>
      </c>
      <c r="T447">
        <v>5561998464594</v>
      </c>
      <c r="V447" t="s">
        <v>2836</v>
      </c>
      <c r="W447" t="s">
        <v>163</v>
      </c>
      <c r="X447" t="s">
        <v>288</v>
      </c>
      <c r="Y447" t="s">
        <v>189</v>
      </c>
      <c r="Z447" t="s">
        <v>190</v>
      </c>
      <c r="AA447" t="s">
        <v>799</v>
      </c>
      <c r="AB447" t="s">
        <v>2837</v>
      </c>
      <c r="AC447" t="s">
        <v>641</v>
      </c>
      <c r="AF447" t="s">
        <v>194</v>
      </c>
      <c r="AG447" t="s">
        <v>251</v>
      </c>
      <c r="AH447" s="3">
        <v>239932.81</v>
      </c>
      <c r="AI447" s="3">
        <v>239932.81</v>
      </c>
      <c r="AJ447" s="1">
        <v>46090</v>
      </c>
      <c r="AN447" t="s">
        <v>172</v>
      </c>
      <c r="AR447" s="7" t="s">
        <v>353</v>
      </c>
      <c r="AT447" t="s">
        <v>261</v>
      </c>
      <c r="AU447" t="s">
        <v>292</v>
      </c>
      <c r="AW447">
        <v>0</v>
      </c>
      <c r="AX447" s="1">
        <v>46079</v>
      </c>
      <c r="AY447" s="2">
        <v>0.46024305555555556</v>
      </c>
      <c r="AZ447">
        <v>98217</v>
      </c>
      <c r="BA447" s="1">
        <v>45250</v>
      </c>
      <c r="BB447" s="1">
        <v>46053</v>
      </c>
      <c r="BC447" t="s">
        <v>0</v>
      </c>
      <c r="BD447" s="1">
        <v>46062</v>
      </c>
      <c r="BE447" t="s">
        <v>751</v>
      </c>
      <c r="BL447" s="4">
        <v>0</v>
      </c>
      <c r="BM447" s="1">
        <v>47031</v>
      </c>
      <c r="BN447" s="1">
        <v>46079</v>
      </c>
      <c r="BO447">
        <v>0</v>
      </c>
      <c r="BP447">
        <v>28292</v>
      </c>
      <c r="BQ447" t="s">
        <v>156</v>
      </c>
      <c r="BR447" s="3">
        <v>136096.22</v>
      </c>
      <c r="BS447" s="3">
        <v>24171</v>
      </c>
      <c r="BT447">
        <v>0</v>
      </c>
      <c r="BU447" s="3">
        <v>160267.22</v>
      </c>
      <c r="BV447" s="3">
        <v>239932.81</v>
      </c>
      <c r="BX447">
        <v>0</v>
      </c>
      <c r="BZ447">
        <v>0</v>
      </c>
      <c r="CA447">
        <v>0</v>
      </c>
      <c r="CB447">
        <v>0</v>
      </c>
      <c r="CC447" s="3">
        <v>239932.81</v>
      </c>
      <c r="CD447" s="5">
        <v>0</v>
      </c>
      <c r="CF447" s="6">
        <v>46054</v>
      </c>
      <c r="CH447">
        <v>0</v>
      </c>
      <c r="CI447">
        <v>0</v>
      </c>
      <c r="CJ447">
        <v>0</v>
      </c>
      <c r="CK447">
        <v>0</v>
      </c>
      <c r="CL447">
        <v>0</v>
      </c>
      <c r="CM447">
        <v>0</v>
      </c>
      <c r="CN447">
        <v>0</v>
      </c>
      <c r="CO447">
        <v>0</v>
      </c>
      <c r="CP447">
        <v>0</v>
      </c>
      <c r="CQ447">
        <v>0</v>
      </c>
      <c r="CR447">
        <v>0</v>
      </c>
      <c r="CS447" t="s">
        <v>360</v>
      </c>
      <c r="CT447" t="s">
        <v>190</v>
      </c>
      <c r="CU447" t="s">
        <v>818</v>
      </c>
      <c r="CW447">
        <v>-49.704999999999998</v>
      </c>
      <c r="CZ447" s="1">
        <v>46062</v>
      </c>
      <c r="DA447" t="s">
        <v>172</v>
      </c>
      <c r="DB447" t="s">
        <v>172</v>
      </c>
      <c r="DC447" t="s">
        <v>172</v>
      </c>
      <c r="DD447" t="s">
        <v>172</v>
      </c>
      <c r="DG447" s="1">
        <v>46062</v>
      </c>
      <c r="DH447">
        <v>0</v>
      </c>
      <c r="DI447">
        <v>0</v>
      </c>
      <c r="DL447" t="s">
        <v>963</v>
      </c>
      <c r="DM447" t="s">
        <v>172</v>
      </c>
      <c r="DN447" t="s">
        <v>201</v>
      </c>
      <c r="DV447" s="3">
        <v>239932.81</v>
      </c>
      <c r="DW447">
        <v>0</v>
      </c>
      <c r="DX447" s="3">
        <v>239932.81</v>
      </c>
      <c r="DY447">
        <v>0</v>
      </c>
      <c r="EG447" s="1">
        <v>46076</v>
      </c>
      <c r="EN447" t="s">
        <v>537</v>
      </c>
      <c r="EP447" s="1">
        <v>46076</v>
      </c>
      <c r="ER447" s="1">
        <v>46073</v>
      </c>
      <c r="ES447" t="s">
        <v>2838</v>
      </c>
      <c r="ET447" t="s">
        <v>2471</v>
      </c>
      <c r="EU447" s="1">
        <v>46071</v>
      </c>
      <c r="EW447" s="1">
        <v>46062</v>
      </c>
    </row>
    <row r="448" spans="1:153" ht="246.5" x14ac:dyDescent="0.35">
      <c r="A448" t="str">
        <f>HYPERLINK("https://7lm.cvcrm.com.br/gestor/comercial/reservas/6672/administrar","6672")</f>
        <v>6672</v>
      </c>
      <c r="B448" t="s">
        <v>156</v>
      </c>
      <c r="C448" s="1">
        <v>46062</v>
      </c>
      <c r="D448" s="2">
        <v>0.47413194444444445</v>
      </c>
      <c r="E448" t="s">
        <v>294</v>
      </c>
      <c r="F448" t="s">
        <v>957</v>
      </c>
      <c r="G448" t="s">
        <v>159</v>
      </c>
      <c r="H448" t="s">
        <v>1371</v>
      </c>
      <c r="I448" t="s">
        <v>2005</v>
      </c>
      <c r="J448">
        <v>1</v>
      </c>
      <c r="L448">
        <v>30121</v>
      </c>
      <c r="M448" t="s">
        <v>2839</v>
      </c>
      <c r="N448" s="1">
        <v>46071</v>
      </c>
      <c r="O448" s="2">
        <v>0.53608796296296302</v>
      </c>
      <c r="R448" t="str">
        <f>HYPERLINK("https://7lm.cvcrm.com.br/gestor/relatorios/associado/html?q[1|r.idreserva]=6672","IVANNA GABRIELA PEREIRA DA COSTA")</f>
        <v>IVANNA GABRIELA PEREIRA DA COSTA</v>
      </c>
      <c r="S448">
        <v>8086407128</v>
      </c>
      <c r="T448">
        <v>5561996744744</v>
      </c>
      <c r="V448" t="s">
        <v>2840</v>
      </c>
      <c r="W448" t="s">
        <v>187</v>
      </c>
      <c r="X448" t="s">
        <v>288</v>
      </c>
      <c r="Y448" t="s">
        <v>189</v>
      </c>
      <c r="Z448" t="s">
        <v>190</v>
      </c>
      <c r="AA448" t="s">
        <v>433</v>
      </c>
      <c r="AB448" t="s">
        <v>2841</v>
      </c>
      <c r="AC448" t="s">
        <v>509</v>
      </c>
      <c r="AD448" t="s">
        <v>509</v>
      </c>
      <c r="AF448" t="s">
        <v>352</v>
      </c>
      <c r="AG448" t="s">
        <v>251</v>
      </c>
      <c r="AH448" s="3">
        <v>244933.09</v>
      </c>
      <c r="AI448" s="3">
        <v>244933.09</v>
      </c>
      <c r="AJ448" s="1">
        <v>46117</v>
      </c>
      <c r="AN448" t="s">
        <v>172</v>
      </c>
      <c r="AR448" s="7" t="s">
        <v>353</v>
      </c>
      <c r="AT448" t="s">
        <v>261</v>
      </c>
      <c r="AU448" t="s">
        <v>197</v>
      </c>
      <c r="AW448">
        <v>0</v>
      </c>
      <c r="AX448" s="1">
        <v>46072</v>
      </c>
      <c r="AY448" s="2">
        <v>0.70054398148148145</v>
      </c>
      <c r="AZ448">
        <v>187751</v>
      </c>
      <c r="BA448" s="1">
        <v>46058</v>
      </c>
      <c r="BC448" t="s">
        <v>0</v>
      </c>
      <c r="BD448" s="1">
        <v>46062</v>
      </c>
      <c r="BE448" t="s">
        <v>176</v>
      </c>
      <c r="BL448" s="4">
        <v>0</v>
      </c>
      <c r="BM448" s="1">
        <v>47031</v>
      </c>
      <c r="BN448" s="1">
        <v>46072</v>
      </c>
      <c r="BO448">
        <v>0</v>
      </c>
      <c r="BP448">
        <v>28279</v>
      </c>
      <c r="BQ448" t="s">
        <v>156</v>
      </c>
      <c r="BR448" s="3">
        <v>136096.22</v>
      </c>
      <c r="BS448" s="3">
        <v>24961</v>
      </c>
      <c r="BT448">
        <v>0</v>
      </c>
      <c r="BU448" s="3">
        <v>161057.22</v>
      </c>
      <c r="BV448" s="3">
        <v>244933.09</v>
      </c>
      <c r="BX448">
        <v>0</v>
      </c>
      <c r="BZ448">
        <v>0</v>
      </c>
      <c r="CA448">
        <v>0</v>
      </c>
      <c r="CB448">
        <v>0</v>
      </c>
      <c r="CC448" s="3">
        <v>244933.09</v>
      </c>
      <c r="CD448" s="5">
        <v>0</v>
      </c>
      <c r="CF448" s="6">
        <v>46054</v>
      </c>
      <c r="CH448">
        <v>0</v>
      </c>
      <c r="CI448">
        <v>0</v>
      </c>
      <c r="CJ448">
        <v>0</v>
      </c>
      <c r="CK448">
        <v>0</v>
      </c>
      <c r="CL448">
        <v>0</v>
      </c>
      <c r="CM448">
        <v>0</v>
      </c>
      <c r="CN448">
        <v>0</v>
      </c>
      <c r="CO448">
        <v>0</v>
      </c>
      <c r="CP448">
        <v>0</v>
      </c>
      <c r="CQ448">
        <v>0</v>
      </c>
      <c r="CR448">
        <v>0</v>
      </c>
      <c r="CS448" t="s">
        <v>360</v>
      </c>
      <c r="CT448" t="s">
        <v>190</v>
      </c>
      <c r="CU448" t="s">
        <v>2005</v>
      </c>
      <c r="CW448">
        <v>-47.408000000000001</v>
      </c>
      <c r="CZ448" s="1">
        <v>46062</v>
      </c>
      <c r="DA448" t="s">
        <v>172</v>
      </c>
      <c r="DB448" t="s">
        <v>172</v>
      </c>
      <c r="DC448" t="s">
        <v>172</v>
      </c>
      <c r="DD448" t="s">
        <v>172</v>
      </c>
      <c r="DG448" s="1">
        <v>46062</v>
      </c>
      <c r="DH448">
        <v>0</v>
      </c>
      <c r="DI448">
        <v>0</v>
      </c>
      <c r="DJ448" s="1">
        <v>46066</v>
      </c>
      <c r="DK448" t="s">
        <v>179</v>
      </c>
      <c r="DL448" t="s">
        <v>963</v>
      </c>
      <c r="DM448" t="s">
        <v>172</v>
      </c>
      <c r="DN448" t="s">
        <v>201</v>
      </c>
      <c r="DP448" s="8">
        <v>0.01</v>
      </c>
      <c r="DV448" s="3">
        <v>244933.09</v>
      </c>
      <c r="DW448">
        <v>0</v>
      </c>
      <c r="DX448" s="3">
        <v>244933.09</v>
      </c>
      <c r="DY448">
        <v>0</v>
      </c>
      <c r="EG448" s="1">
        <v>46065</v>
      </c>
      <c r="EN448" t="s">
        <v>156</v>
      </c>
      <c r="EP448" s="1">
        <v>46066</v>
      </c>
      <c r="ER448" s="1">
        <v>46064</v>
      </c>
      <c r="ES448" t="s">
        <v>2842</v>
      </c>
      <c r="EW448" s="1">
        <v>46062</v>
      </c>
    </row>
    <row r="449" spans="1:153" ht="246.5" x14ac:dyDescent="0.35">
      <c r="A449" t="str">
        <f>HYPERLINK("https://7lm.cvcrm.com.br/gestor/comercial/reservas/6671/administrar","6671")</f>
        <v>6671</v>
      </c>
      <c r="B449" t="s">
        <v>156</v>
      </c>
      <c r="C449" s="1">
        <v>46060</v>
      </c>
      <c r="D449" s="2">
        <v>0.83827546296296296</v>
      </c>
      <c r="E449" t="s">
        <v>294</v>
      </c>
      <c r="F449" t="s">
        <v>458</v>
      </c>
      <c r="G449" t="s">
        <v>203</v>
      </c>
      <c r="H449" t="s">
        <v>513</v>
      </c>
      <c r="I449" t="s">
        <v>1721</v>
      </c>
      <c r="J449">
        <v>1</v>
      </c>
      <c r="L449">
        <v>20001</v>
      </c>
      <c r="M449" t="s">
        <v>2843</v>
      </c>
      <c r="N449" s="1">
        <v>46071</v>
      </c>
      <c r="O449" s="2">
        <v>0.54019675925925925</v>
      </c>
      <c r="R449" t="str">
        <f>HYPERLINK("https://7lm.cvcrm.com.br/gestor/relatorios/associado/html?q[1|r.idreserva]=6671","LAURA CRISTINA DE QUEIROZ COSTA")</f>
        <v>LAURA CRISTINA DE QUEIROZ COSTA</v>
      </c>
      <c r="S449">
        <v>622714155</v>
      </c>
      <c r="T449">
        <v>5561985702074</v>
      </c>
      <c r="V449" t="s">
        <v>2844</v>
      </c>
      <c r="W449" t="s">
        <v>187</v>
      </c>
      <c r="X449" t="s">
        <v>547</v>
      </c>
      <c r="Y449" t="s">
        <v>189</v>
      </c>
      <c r="Z449" t="s">
        <v>214</v>
      </c>
      <c r="AA449" t="s">
        <v>1049</v>
      </c>
      <c r="AB449" t="s">
        <v>2845</v>
      </c>
      <c r="AC449" t="s">
        <v>2846</v>
      </c>
      <c r="AD449" t="s">
        <v>2847</v>
      </c>
      <c r="AF449" t="s">
        <v>212</v>
      </c>
      <c r="AG449" t="s">
        <v>195</v>
      </c>
      <c r="AH449" s="3">
        <v>225161</v>
      </c>
      <c r="AI449" s="3">
        <v>225161</v>
      </c>
      <c r="AJ449" s="1">
        <v>46073</v>
      </c>
      <c r="AN449" t="s">
        <v>172</v>
      </c>
      <c r="AR449" s="7" t="s">
        <v>353</v>
      </c>
      <c r="AT449" t="s">
        <v>196</v>
      </c>
      <c r="AU449" t="s">
        <v>175</v>
      </c>
      <c r="AW449">
        <v>0</v>
      </c>
      <c r="AX449" s="1">
        <v>46072</v>
      </c>
      <c r="AY449" s="2">
        <v>0.71037037037037032</v>
      </c>
      <c r="AZ449">
        <v>188126</v>
      </c>
      <c r="BA449" s="1">
        <v>46060</v>
      </c>
      <c r="BC449" t="s">
        <v>275</v>
      </c>
      <c r="BD449" s="1">
        <v>46093</v>
      </c>
      <c r="BE449" t="s">
        <v>175</v>
      </c>
      <c r="BL449" s="4">
        <v>0</v>
      </c>
      <c r="BM449" s="1">
        <v>46572</v>
      </c>
      <c r="BN449" s="1">
        <v>46072</v>
      </c>
      <c r="BO449">
        <v>0</v>
      </c>
      <c r="BP449">
        <v>28372</v>
      </c>
      <c r="BQ449" t="s">
        <v>156</v>
      </c>
      <c r="BR449" s="3">
        <v>144513.54</v>
      </c>
      <c r="BS449" s="3">
        <v>22873</v>
      </c>
      <c r="BT449">
        <v>0</v>
      </c>
      <c r="BU449" s="3">
        <v>167386.54</v>
      </c>
      <c r="BV449" s="3">
        <v>225161</v>
      </c>
      <c r="BX449">
        <v>0</v>
      </c>
      <c r="BZ449">
        <v>0</v>
      </c>
      <c r="CA449">
        <v>0</v>
      </c>
      <c r="CB449">
        <v>0</v>
      </c>
      <c r="CC449" s="3">
        <v>225161</v>
      </c>
      <c r="CD449" s="5">
        <v>0</v>
      </c>
      <c r="CE449" t="s">
        <v>467</v>
      </c>
      <c r="CF449" s="6">
        <v>46054</v>
      </c>
      <c r="CH449">
        <v>0</v>
      </c>
      <c r="CI449">
        <v>0</v>
      </c>
      <c r="CJ449">
        <v>0</v>
      </c>
      <c r="CK449">
        <v>0</v>
      </c>
      <c r="CL449">
        <v>0</v>
      </c>
      <c r="CM449">
        <v>0</v>
      </c>
      <c r="CN449">
        <v>0</v>
      </c>
      <c r="CO449">
        <v>0</v>
      </c>
      <c r="CP449">
        <v>0</v>
      </c>
      <c r="CQ449">
        <v>0</v>
      </c>
      <c r="CR449">
        <v>0</v>
      </c>
      <c r="CS449" t="s">
        <v>360</v>
      </c>
      <c r="CT449" t="s">
        <v>214</v>
      </c>
      <c r="CU449" t="s">
        <v>1721</v>
      </c>
      <c r="CW449">
        <v>-59.517899999999997</v>
      </c>
      <c r="CZ449" s="1">
        <v>46060</v>
      </c>
      <c r="DA449" t="s">
        <v>172</v>
      </c>
      <c r="DB449" t="s">
        <v>172</v>
      </c>
      <c r="DC449" t="s">
        <v>172</v>
      </c>
      <c r="DD449" t="s">
        <v>172</v>
      </c>
      <c r="DG449" s="1">
        <v>46060</v>
      </c>
      <c r="DH449">
        <v>0</v>
      </c>
      <c r="DI449">
        <v>0</v>
      </c>
      <c r="DL449" t="s">
        <v>200</v>
      </c>
      <c r="DM449" t="s">
        <v>172</v>
      </c>
      <c r="DN449" t="s">
        <v>201</v>
      </c>
      <c r="DV449" s="3">
        <v>225161</v>
      </c>
      <c r="DW449">
        <v>0</v>
      </c>
      <c r="DX449" s="3">
        <v>225161</v>
      </c>
      <c r="DY449">
        <v>0</v>
      </c>
      <c r="EG449" s="1">
        <v>46065</v>
      </c>
      <c r="EN449" t="s">
        <v>156</v>
      </c>
      <c r="EP449" s="1">
        <v>46065</v>
      </c>
      <c r="EU449" s="1">
        <v>46066</v>
      </c>
      <c r="EW449" s="1">
        <v>46060</v>
      </c>
    </row>
    <row r="450" spans="1:153" ht="246.5" x14ac:dyDescent="0.35">
      <c r="A450" t="str">
        <f>HYPERLINK("https://7lm.cvcrm.com.br/gestor/comercial/reservas/6670/administrar","6670")</f>
        <v>6670</v>
      </c>
      <c r="B450" t="s">
        <v>156</v>
      </c>
      <c r="C450" s="1">
        <v>46060</v>
      </c>
      <c r="D450" s="2">
        <v>0.62251157407407409</v>
      </c>
      <c r="E450" t="s">
        <v>294</v>
      </c>
      <c r="F450" t="s">
        <v>458</v>
      </c>
      <c r="G450" t="s">
        <v>203</v>
      </c>
      <c r="H450" t="s">
        <v>391</v>
      </c>
      <c r="I450" t="s">
        <v>2077</v>
      </c>
      <c r="J450">
        <v>1</v>
      </c>
      <c r="L450">
        <v>20001</v>
      </c>
      <c r="M450" t="s">
        <v>2848</v>
      </c>
      <c r="N450" s="1">
        <v>46076</v>
      </c>
      <c r="O450" s="2">
        <v>0.67329861111111111</v>
      </c>
      <c r="R450" t="str">
        <f>HYPERLINK("https://7lm.cvcrm.com.br/gestor/relatorios/associado/html?q[1|r.idreserva]=6670","CARLOS DANIEL FERNANDES PEREIRA")</f>
        <v>CARLOS DANIEL FERNANDES PEREIRA</v>
      </c>
      <c r="S450">
        <v>9019320351</v>
      </c>
      <c r="T450">
        <v>5561992182289</v>
      </c>
      <c r="U450">
        <v>5561992182289</v>
      </c>
      <c r="V450" t="s">
        <v>2849</v>
      </c>
      <c r="W450" t="s">
        <v>163</v>
      </c>
      <c r="X450" t="s">
        <v>299</v>
      </c>
      <c r="Y450" t="s">
        <v>189</v>
      </c>
      <c r="Z450" t="s">
        <v>1532</v>
      </c>
      <c r="AA450" t="s">
        <v>2850</v>
      </c>
      <c r="AB450" t="s">
        <v>2851</v>
      </c>
      <c r="AC450" t="s">
        <v>1327</v>
      </c>
      <c r="AD450" t="s">
        <v>1328</v>
      </c>
      <c r="AF450" t="s">
        <v>634</v>
      </c>
      <c r="AG450" t="s">
        <v>195</v>
      </c>
      <c r="AH450" s="3">
        <v>229996.79</v>
      </c>
      <c r="AI450" s="3">
        <v>229996.79</v>
      </c>
      <c r="AJ450" s="1">
        <v>46127</v>
      </c>
      <c r="AN450" t="s">
        <v>172</v>
      </c>
      <c r="AR450" s="7" t="s">
        <v>353</v>
      </c>
      <c r="AT450" t="s">
        <v>196</v>
      </c>
      <c r="AU450" t="s">
        <v>276</v>
      </c>
      <c r="AW450">
        <v>0</v>
      </c>
      <c r="AX450" s="1">
        <v>46079</v>
      </c>
      <c r="AY450" s="2">
        <v>0.39141203703703703</v>
      </c>
      <c r="AZ450">
        <v>188097</v>
      </c>
      <c r="BA450" s="1">
        <v>46060</v>
      </c>
      <c r="BC450" t="s">
        <v>0</v>
      </c>
      <c r="BD450" s="1">
        <v>46060</v>
      </c>
      <c r="BE450" t="s">
        <v>213</v>
      </c>
      <c r="BL450" s="4">
        <v>0</v>
      </c>
      <c r="BM450" s="1">
        <v>46572</v>
      </c>
      <c r="BN450" s="1">
        <v>46079</v>
      </c>
      <c r="BO450">
        <v>0</v>
      </c>
      <c r="BP450">
        <v>28305</v>
      </c>
      <c r="BQ450" t="s">
        <v>156</v>
      </c>
      <c r="BR450" s="3">
        <v>114452.28</v>
      </c>
      <c r="BS450" s="3">
        <v>42534</v>
      </c>
      <c r="BT450">
        <v>0</v>
      </c>
      <c r="BU450" s="3">
        <v>156986.28</v>
      </c>
      <c r="BV450" s="3">
        <v>229996.79</v>
      </c>
      <c r="BX450">
        <v>0</v>
      </c>
      <c r="BZ450">
        <v>0</v>
      </c>
      <c r="CA450">
        <v>0</v>
      </c>
      <c r="CB450">
        <v>0</v>
      </c>
      <c r="CC450" s="3">
        <v>229996.79</v>
      </c>
      <c r="CD450" s="5">
        <v>0</v>
      </c>
      <c r="CE450" t="s">
        <v>467</v>
      </c>
      <c r="CF450" s="6">
        <v>46054</v>
      </c>
      <c r="CH450">
        <v>0</v>
      </c>
      <c r="CI450">
        <v>0</v>
      </c>
      <c r="CJ450">
        <v>0</v>
      </c>
      <c r="CK450">
        <v>0</v>
      </c>
      <c r="CL450">
        <v>0</v>
      </c>
      <c r="CM450">
        <v>0</v>
      </c>
      <c r="CN450">
        <v>0</v>
      </c>
      <c r="CO450">
        <v>0</v>
      </c>
      <c r="CP450">
        <v>0</v>
      </c>
      <c r="CQ450">
        <v>0</v>
      </c>
      <c r="CR450">
        <v>0</v>
      </c>
      <c r="CS450" t="s">
        <v>360</v>
      </c>
      <c r="CT450" t="s">
        <v>214</v>
      </c>
      <c r="CU450" t="s">
        <v>2077</v>
      </c>
      <c r="CW450">
        <v>-58.423999999999999</v>
      </c>
      <c r="CZ450" s="1">
        <v>46060</v>
      </c>
      <c r="DA450" t="s">
        <v>172</v>
      </c>
      <c r="DB450" t="s">
        <v>172</v>
      </c>
      <c r="DC450" t="s">
        <v>172</v>
      </c>
      <c r="DD450" t="s">
        <v>172</v>
      </c>
      <c r="DG450" s="1">
        <v>46060</v>
      </c>
      <c r="DH450">
        <v>0</v>
      </c>
      <c r="DI450">
        <v>0</v>
      </c>
      <c r="DL450" t="s">
        <v>200</v>
      </c>
      <c r="DM450" t="s">
        <v>172</v>
      </c>
      <c r="DN450" t="s">
        <v>201</v>
      </c>
      <c r="DV450" s="3">
        <v>229996.79</v>
      </c>
      <c r="DW450">
        <v>0</v>
      </c>
      <c r="DX450" s="3">
        <v>229996.79</v>
      </c>
      <c r="DY450">
        <v>0</v>
      </c>
      <c r="EF450" s="1">
        <v>46076</v>
      </c>
      <c r="EG450" s="1">
        <v>46073</v>
      </c>
      <c r="EL450" s="1">
        <v>46076</v>
      </c>
      <c r="EN450" t="s">
        <v>156</v>
      </c>
      <c r="EP450" s="1">
        <v>46065</v>
      </c>
      <c r="EU450" s="1">
        <v>46072</v>
      </c>
      <c r="EW450" s="1">
        <v>46060</v>
      </c>
    </row>
    <row r="451" spans="1:153" ht="246.5" x14ac:dyDescent="0.35">
      <c r="A451" t="str">
        <f>HYPERLINK("https://7lm.cvcrm.com.br/gestor/comercial/reservas/6669/administrar","6669")</f>
        <v>6669</v>
      </c>
      <c r="B451" t="s">
        <v>156</v>
      </c>
      <c r="C451" s="1">
        <v>46060</v>
      </c>
      <c r="D451" s="2">
        <v>0.54439814814814813</v>
      </c>
      <c r="E451" t="s">
        <v>294</v>
      </c>
      <c r="F451" t="s">
        <v>957</v>
      </c>
      <c r="G451" t="s">
        <v>159</v>
      </c>
      <c r="H451" t="s">
        <v>1376</v>
      </c>
      <c r="I451" t="s">
        <v>2852</v>
      </c>
      <c r="J451">
        <v>1</v>
      </c>
      <c r="L451">
        <v>30121</v>
      </c>
      <c r="M451" t="s">
        <v>2853</v>
      </c>
      <c r="N451" s="1">
        <v>46064</v>
      </c>
      <c r="O451" s="2">
        <v>0.61108796296296297</v>
      </c>
      <c r="R451" t="str">
        <f>HYPERLINK("https://7lm.cvcrm.com.br/gestor/relatorios/associado/html?q[1|r.idreserva]=6669","JOAO VICTOR DOS SANTOS OLIVEIRA")</f>
        <v>JOAO VICTOR DOS SANTOS OLIVEIRA</v>
      </c>
      <c r="S451">
        <v>8255001174</v>
      </c>
      <c r="T451">
        <v>5561998741805</v>
      </c>
      <c r="V451" t="s">
        <v>2854</v>
      </c>
      <c r="W451" t="s">
        <v>163</v>
      </c>
      <c r="X451" t="s">
        <v>376</v>
      </c>
      <c r="Y451" t="s">
        <v>189</v>
      </c>
      <c r="Z451" t="s">
        <v>190</v>
      </c>
      <c r="AA451" t="s">
        <v>596</v>
      </c>
      <c r="AB451" t="s">
        <v>2855</v>
      </c>
      <c r="AC451" t="s">
        <v>2088</v>
      </c>
      <c r="AD451" t="s">
        <v>2088</v>
      </c>
      <c r="AF451" t="s">
        <v>303</v>
      </c>
      <c r="AG451" t="s">
        <v>195</v>
      </c>
      <c r="AH451" s="3">
        <v>250229.65</v>
      </c>
      <c r="AI451" s="3">
        <v>250229.65</v>
      </c>
      <c r="AJ451" s="1">
        <v>46127</v>
      </c>
      <c r="AN451" t="s">
        <v>172</v>
      </c>
      <c r="AR451" s="7" t="s">
        <v>353</v>
      </c>
      <c r="AU451" t="s">
        <v>197</v>
      </c>
      <c r="AW451">
        <v>0</v>
      </c>
      <c r="AX451" s="1">
        <v>46064</v>
      </c>
      <c r="AY451" s="2">
        <v>0.49913194444444442</v>
      </c>
      <c r="AZ451">
        <v>187874</v>
      </c>
      <c r="BA451" s="1">
        <v>46059</v>
      </c>
      <c r="BC451" t="s">
        <v>0</v>
      </c>
      <c r="BD451" s="1">
        <v>46060</v>
      </c>
      <c r="BE451" t="s">
        <v>276</v>
      </c>
      <c r="BL451" s="4">
        <v>0</v>
      </c>
      <c r="BM451" s="1">
        <v>47031</v>
      </c>
      <c r="BN451" s="1">
        <v>46064</v>
      </c>
      <c r="BO451">
        <v>0</v>
      </c>
      <c r="BP451">
        <v>28294</v>
      </c>
      <c r="BQ451" t="s">
        <v>156</v>
      </c>
      <c r="BR451" s="3">
        <v>148189.85</v>
      </c>
      <c r="BS451" s="3">
        <v>22584</v>
      </c>
      <c r="BT451">
        <v>0</v>
      </c>
      <c r="BU451" s="3">
        <v>170773.85</v>
      </c>
      <c r="BV451" s="3">
        <v>250229.65</v>
      </c>
      <c r="BX451">
        <v>0</v>
      </c>
      <c r="BZ451">
        <v>0</v>
      </c>
      <c r="CA451">
        <v>0</v>
      </c>
      <c r="CB451">
        <v>0</v>
      </c>
      <c r="CC451" s="3">
        <v>250229.65</v>
      </c>
      <c r="CD451" s="5">
        <v>0</v>
      </c>
      <c r="CF451" s="6">
        <v>46054</v>
      </c>
      <c r="CH451">
        <v>0</v>
      </c>
      <c r="CI451">
        <v>0</v>
      </c>
      <c r="CJ451">
        <v>0</v>
      </c>
      <c r="CK451">
        <v>0</v>
      </c>
      <c r="CL451">
        <v>0</v>
      </c>
      <c r="CM451">
        <v>0</v>
      </c>
      <c r="CN451">
        <v>0</v>
      </c>
      <c r="CO451">
        <v>0</v>
      </c>
      <c r="CP451">
        <v>0</v>
      </c>
      <c r="CQ451">
        <v>0</v>
      </c>
      <c r="CR451">
        <v>0</v>
      </c>
      <c r="CS451" t="s">
        <v>360</v>
      </c>
      <c r="CT451" t="s">
        <v>190</v>
      </c>
      <c r="CU451" t="s">
        <v>2852</v>
      </c>
      <c r="CW451">
        <v>461.49509999999998</v>
      </c>
      <c r="CZ451" s="1">
        <v>46060</v>
      </c>
      <c r="DA451" t="s">
        <v>172</v>
      </c>
      <c r="DB451" t="s">
        <v>172</v>
      </c>
      <c r="DC451" t="s">
        <v>172</v>
      </c>
      <c r="DD451" t="s">
        <v>172</v>
      </c>
      <c r="DF451" t="s">
        <v>2856</v>
      </c>
      <c r="DG451" s="1">
        <v>46060</v>
      </c>
      <c r="DH451">
        <v>0</v>
      </c>
      <c r="DI451">
        <v>0</v>
      </c>
      <c r="DL451" t="s">
        <v>963</v>
      </c>
      <c r="DM451" t="s">
        <v>172</v>
      </c>
      <c r="DN451" t="s">
        <v>201</v>
      </c>
      <c r="DV451" s="3">
        <v>250229.65</v>
      </c>
      <c r="DW451">
        <v>0</v>
      </c>
      <c r="DX451" s="3">
        <v>250229.65</v>
      </c>
      <c r="DY451">
        <v>0</v>
      </c>
      <c r="EG451" s="1">
        <v>46063</v>
      </c>
      <c r="EH451" s="1">
        <v>46062</v>
      </c>
      <c r="EN451" t="s">
        <v>156</v>
      </c>
      <c r="EP451" s="1">
        <v>46063</v>
      </c>
      <c r="ER451" s="1">
        <v>46062</v>
      </c>
      <c r="ES451" t="s">
        <v>2857</v>
      </c>
      <c r="EU451" s="1">
        <v>46066</v>
      </c>
      <c r="EW451" s="1">
        <v>46060</v>
      </c>
    </row>
    <row r="452" spans="1:153" ht="362.5" x14ac:dyDescent="0.35">
      <c r="A452" t="str">
        <f>HYPERLINK("https://7lm.cvcrm.com.br/gestor/comercial/reservas/6668/administrar","6668")</f>
        <v>6668</v>
      </c>
      <c r="B452" t="s">
        <v>156</v>
      </c>
      <c r="C452" s="1">
        <v>46060</v>
      </c>
      <c r="D452" s="2">
        <v>0.54144675925925922</v>
      </c>
      <c r="E452" t="s">
        <v>1310</v>
      </c>
      <c r="F452" t="s">
        <v>202</v>
      </c>
      <c r="G452" t="s">
        <v>203</v>
      </c>
      <c r="H452" t="s">
        <v>217</v>
      </c>
      <c r="I452" t="s">
        <v>2001</v>
      </c>
      <c r="J452">
        <v>1</v>
      </c>
      <c r="L452">
        <v>20031</v>
      </c>
      <c r="M452" t="s">
        <v>2002</v>
      </c>
      <c r="N452" s="1">
        <v>46060</v>
      </c>
      <c r="O452" s="2">
        <v>0.55891203703703707</v>
      </c>
      <c r="R452" t="str">
        <f>HYPERLINK("https://7lm.cvcrm.com.br/gestor/relatorios/associado/html?q[1|r.idreserva]=6668","GIOVANNA KATHLEN SOUSA DE OLIVEIRA")</f>
        <v>GIOVANNA KATHLEN SOUSA DE OLIVEIRA</v>
      </c>
      <c r="S452">
        <v>63701631395</v>
      </c>
      <c r="T452">
        <v>5561981952359</v>
      </c>
      <c r="V452" t="s">
        <v>2858</v>
      </c>
      <c r="W452" t="s">
        <v>187</v>
      </c>
      <c r="X452" t="s">
        <v>521</v>
      </c>
      <c r="Y452" t="s">
        <v>165</v>
      </c>
      <c r="Z452" t="s">
        <v>257</v>
      </c>
      <c r="AA452" t="s">
        <v>2859</v>
      </c>
      <c r="AB452" t="s">
        <v>2860</v>
      </c>
      <c r="AC452" t="s">
        <v>455</v>
      </c>
      <c r="AF452" t="s">
        <v>389</v>
      </c>
      <c r="AG452" t="s">
        <v>195</v>
      </c>
      <c r="AH452" s="3">
        <v>227000.03</v>
      </c>
      <c r="AI452" s="3">
        <v>227000.03</v>
      </c>
      <c r="AJ452" s="1">
        <v>46088</v>
      </c>
      <c r="AN452" t="s">
        <v>172</v>
      </c>
      <c r="AR452" s="7" t="s">
        <v>2861</v>
      </c>
      <c r="AT452" t="s">
        <v>196</v>
      </c>
      <c r="AU452" t="s">
        <v>292</v>
      </c>
      <c r="AW452">
        <v>0</v>
      </c>
      <c r="AX452" s="1">
        <v>46092</v>
      </c>
      <c r="AY452" s="2">
        <v>0.64957175925925925</v>
      </c>
      <c r="AZ452">
        <v>187449</v>
      </c>
      <c r="BA452" s="1">
        <v>46056</v>
      </c>
      <c r="BC452" t="s">
        <v>0</v>
      </c>
      <c r="BD452" s="1">
        <v>46060</v>
      </c>
      <c r="BE452" t="s">
        <v>198</v>
      </c>
      <c r="BL452" s="4">
        <v>0</v>
      </c>
      <c r="BM452" s="1">
        <v>46808</v>
      </c>
      <c r="BN452" s="1">
        <v>46066</v>
      </c>
      <c r="BO452">
        <v>0</v>
      </c>
      <c r="BP452">
        <v>28251</v>
      </c>
      <c r="BQ452" t="s">
        <v>156</v>
      </c>
      <c r="BR452" s="3">
        <v>109226.03</v>
      </c>
      <c r="BS452" s="3">
        <v>54990</v>
      </c>
      <c r="BT452">
        <v>0</v>
      </c>
      <c r="BU452" s="3">
        <v>164216.03</v>
      </c>
      <c r="BV452" s="3">
        <v>227000.03</v>
      </c>
      <c r="BX452">
        <v>0</v>
      </c>
      <c r="BZ452">
        <v>0</v>
      </c>
      <c r="CA452">
        <v>0</v>
      </c>
      <c r="CB452">
        <v>0</v>
      </c>
      <c r="CC452" s="3">
        <v>227000.03</v>
      </c>
      <c r="CD452" s="5">
        <v>0</v>
      </c>
      <c r="CF452" s="6">
        <v>46054</v>
      </c>
      <c r="CH452">
        <v>0</v>
      </c>
      <c r="CI452">
        <v>0</v>
      </c>
      <c r="CJ452">
        <v>0</v>
      </c>
      <c r="CK452">
        <v>0</v>
      </c>
      <c r="CL452">
        <v>0</v>
      </c>
      <c r="CM452">
        <v>0</v>
      </c>
      <c r="CN452">
        <v>0</v>
      </c>
      <c r="CO452">
        <v>0</v>
      </c>
      <c r="CP452">
        <v>0</v>
      </c>
      <c r="CQ452">
        <v>0</v>
      </c>
      <c r="CR452">
        <v>0</v>
      </c>
      <c r="CS452" t="s">
        <v>2497</v>
      </c>
      <c r="CT452" t="s">
        <v>214</v>
      </c>
      <c r="CU452" t="s">
        <v>2001</v>
      </c>
      <c r="CW452">
        <v>378.90300000000002</v>
      </c>
      <c r="CZ452" s="1">
        <v>46060</v>
      </c>
      <c r="DA452" t="s">
        <v>172</v>
      </c>
      <c r="DB452" t="s">
        <v>172</v>
      </c>
      <c r="DC452" t="s">
        <v>172</v>
      </c>
      <c r="DD452" t="s">
        <v>172</v>
      </c>
      <c r="DG452" s="1">
        <v>46060</v>
      </c>
      <c r="DH452">
        <v>0</v>
      </c>
      <c r="DI452">
        <v>0</v>
      </c>
      <c r="DL452" t="s">
        <v>224</v>
      </c>
      <c r="DM452" t="s">
        <v>172</v>
      </c>
      <c r="DN452" t="s">
        <v>525</v>
      </c>
      <c r="DV452" s="3">
        <v>227000.03</v>
      </c>
      <c r="DW452">
        <v>0</v>
      </c>
      <c r="DX452" s="3">
        <v>227000.03</v>
      </c>
      <c r="DY452">
        <v>0</v>
      </c>
      <c r="EF452" s="1">
        <v>46066</v>
      </c>
      <c r="EG452" s="1">
        <v>46065</v>
      </c>
      <c r="EK452" s="1">
        <v>46066</v>
      </c>
      <c r="EN452" t="s">
        <v>156</v>
      </c>
      <c r="EP452" s="1">
        <v>46065</v>
      </c>
      <c r="EU452" s="1">
        <v>46066</v>
      </c>
      <c r="EW452" s="1">
        <v>46060</v>
      </c>
    </row>
    <row r="453" spans="1:153" ht="246.5" x14ac:dyDescent="0.35">
      <c r="A453" t="str">
        <f>HYPERLINK("https://7lm.cvcrm.com.br/gestor/comercial/reservas/6667/administrar","6667")</f>
        <v>6667</v>
      </c>
      <c r="B453" t="s">
        <v>156</v>
      </c>
      <c r="C453" s="1">
        <v>46059</v>
      </c>
      <c r="D453" s="2">
        <v>0.74539351851851854</v>
      </c>
      <c r="E453" t="s">
        <v>294</v>
      </c>
      <c r="F453" t="s">
        <v>957</v>
      </c>
      <c r="G453" t="s">
        <v>159</v>
      </c>
      <c r="H453" t="s">
        <v>759</v>
      </c>
      <c r="I453" t="s">
        <v>803</v>
      </c>
      <c r="J453">
        <v>1</v>
      </c>
      <c r="K453">
        <v>8158</v>
      </c>
      <c r="L453">
        <v>30121</v>
      </c>
      <c r="M453" t="s">
        <v>2862</v>
      </c>
      <c r="N453" s="1">
        <v>46077</v>
      </c>
      <c r="O453" s="2">
        <v>0.65364583333333337</v>
      </c>
      <c r="R453" t="str">
        <f>HYPERLINK("https://7lm.cvcrm.com.br/gestor/relatorios/associado/html?q[1|r.idreserva]=6667","NILTON DA SILVA BORGES")</f>
        <v>NILTON DA SILVA BORGES</v>
      </c>
      <c r="S453">
        <v>385415133</v>
      </c>
      <c r="T453">
        <v>5561999272266</v>
      </c>
      <c r="V453" t="s">
        <v>2863</v>
      </c>
      <c r="W453" t="s">
        <v>163</v>
      </c>
      <c r="X453" t="s">
        <v>376</v>
      </c>
      <c r="Y453" t="s">
        <v>189</v>
      </c>
      <c r="Z453" t="s">
        <v>190</v>
      </c>
      <c r="AA453" t="s">
        <v>1361</v>
      </c>
      <c r="AB453" t="s">
        <v>2864</v>
      </c>
      <c r="AC453" t="s">
        <v>1741</v>
      </c>
      <c r="AF453" t="s">
        <v>194</v>
      </c>
      <c r="AG453" t="s">
        <v>195</v>
      </c>
      <c r="AH453" s="3">
        <v>247999.27</v>
      </c>
      <c r="AI453" s="3">
        <v>247999.27</v>
      </c>
      <c r="AJ453" s="1">
        <v>46087</v>
      </c>
      <c r="AN453" t="s">
        <v>172</v>
      </c>
      <c r="AR453" s="7" t="s">
        <v>353</v>
      </c>
      <c r="AT453" t="s">
        <v>196</v>
      </c>
      <c r="AU453" t="s">
        <v>292</v>
      </c>
      <c r="AW453">
        <v>0</v>
      </c>
      <c r="AX453" s="1">
        <v>46079</v>
      </c>
      <c r="AY453" s="2">
        <v>0.46390046296296295</v>
      </c>
      <c r="AZ453">
        <v>187348</v>
      </c>
      <c r="BA453" s="1">
        <v>46056</v>
      </c>
      <c r="BC453" t="s">
        <v>0</v>
      </c>
      <c r="BD453" s="1">
        <v>46059</v>
      </c>
      <c r="BE453" t="s">
        <v>198</v>
      </c>
      <c r="BL453" s="4">
        <v>0</v>
      </c>
      <c r="BM453" s="1">
        <v>47031</v>
      </c>
      <c r="BN453" s="1">
        <v>46079</v>
      </c>
      <c r="BO453">
        <v>0</v>
      </c>
      <c r="BP453">
        <v>28262</v>
      </c>
      <c r="BQ453" t="s">
        <v>156</v>
      </c>
      <c r="BR453" s="3">
        <v>151429.07</v>
      </c>
      <c r="BS453" s="3">
        <v>9743</v>
      </c>
      <c r="BT453">
        <v>0</v>
      </c>
      <c r="BU453" s="3">
        <v>161172.07</v>
      </c>
      <c r="BV453" s="3">
        <v>247999.27</v>
      </c>
      <c r="BX453">
        <v>0</v>
      </c>
      <c r="BZ453">
        <v>0</v>
      </c>
      <c r="CA453">
        <v>0</v>
      </c>
      <c r="CB453">
        <v>0</v>
      </c>
      <c r="CC453" s="3">
        <v>247999.27</v>
      </c>
      <c r="CD453" s="5">
        <v>0</v>
      </c>
      <c r="CF453" s="6">
        <v>46054</v>
      </c>
      <c r="CH453">
        <v>0</v>
      </c>
      <c r="CI453">
        <v>0</v>
      </c>
      <c r="CJ453">
        <v>0</v>
      </c>
      <c r="CK453">
        <v>0</v>
      </c>
      <c r="CL453">
        <v>0</v>
      </c>
      <c r="CM453">
        <v>0</v>
      </c>
      <c r="CN453">
        <v>0</v>
      </c>
      <c r="CO453">
        <v>0</v>
      </c>
      <c r="CP453">
        <v>0</v>
      </c>
      <c r="CQ453">
        <v>0</v>
      </c>
      <c r="CR453">
        <v>0</v>
      </c>
      <c r="CS453" t="s">
        <v>649</v>
      </c>
      <c r="CT453" t="s">
        <v>190</v>
      </c>
      <c r="CU453" t="s">
        <v>803</v>
      </c>
      <c r="CW453">
        <v>-47.455199999999998</v>
      </c>
      <c r="CZ453" s="1">
        <v>46059</v>
      </c>
      <c r="DA453" t="s">
        <v>172</v>
      </c>
      <c r="DB453" t="s">
        <v>172</v>
      </c>
      <c r="DC453" t="s">
        <v>172</v>
      </c>
      <c r="DD453" t="s">
        <v>172</v>
      </c>
      <c r="DG453" s="1">
        <v>46059</v>
      </c>
      <c r="DH453">
        <v>0</v>
      </c>
      <c r="DI453">
        <v>0</v>
      </c>
      <c r="DJ453" s="1">
        <v>46077</v>
      </c>
      <c r="DL453" t="s">
        <v>963</v>
      </c>
      <c r="DM453" t="s">
        <v>172</v>
      </c>
      <c r="DN453" t="s">
        <v>201</v>
      </c>
      <c r="DV453" s="3">
        <v>247999.27</v>
      </c>
      <c r="DW453">
        <v>0</v>
      </c>
      <c r="DX453" s="3">
        <v>247999.27</v>
      </c>
      <c r="DY453">
        <v>0</v>
      </c>
      <c r="EG453" s="1">
        <v>46071</v>
      </c>
      <c r="EN453" t="s">
        <v>156</v>
      </c>
      <c r="EP453" s="1">
        <v>46071</v>
      </c>
      <c r="ER453" s="1">
        <v>46069</v>
      </c>
      <c r="ES453" t="s">
        <v>2865</v>
      </c>
      <c r="ET453" t="s">
        <v>2866</v>
      </c>
      <c r="EU453" s="1">
        <v>46071</v>
      </c>
      <c r="EW453" s="1">
        <v>46059</v>
      </c>
    </row>
    <row r="454" spans="1:153" x14ac:dyDescent="0.35">
      <c r="A454" t="str">
        <f>HYPERLINK("https://7lm.cvcrm.com.br/gestor/comercial/reservas/6666/administrar","6666")</f>
        <v>6666</v>
      </c>
      <c r="B454" t="s">
        <v>172</v>
      </c>
      <c r="C454" s="1">
        <v>46059</v>
      </c>
      <c r="D454" s="2">
        <v>0.71459490740740739</v>
      </c>
      <c r="E454" t="s">
        <v>527</v>
      </c>
      <c r="F454" t="s">
        <v>216</v>
      </c>
      <c r="G454" t="s">
        <v>159</v>
      </c>
      <c r="H454" t="s">
        <v>204</v>
      </c>
      <c r="I454" t="s">
        <v>617</v>
      </c>
      <c r="J454">
        <v>1</v>
      </c>
      <c r="L454">
        <v>20061</v>
      </c>
      <c r="M454" t="s">
        <v>618</v>
      </c>
      <c r="R454" t="str">
        <f>HYPERLINK("https://7lm.cvcrm.com.br/gestor/relatorios/associado/html?q[1|r.idreserva]=6666","GABRIEL DE SOUZA ASSIS DOS SANTOS")</f>
        <v>GABRIEL DE SOUZA ASSIS DOS SANTOS</v>
      </c>
      <c r="S454">
        <v>6830183103</v>
      </c>
      <c r="T454">
        <v>5561933005531</v>
      </c>
      <c r="U454">
        <v>5561998257571</v>
      </c>
      <c r="V454" t="s">
        <v>2867</v>
      </c>
      <c r="W454" t="s">
        <v>163</v>
      </c>
      <c r="X454" t="s">
        <v>2547</v>
      </c>
      <c r="Y454" t="s">
        <v>189</v>
      </c>
      <c r="Z454" t="s">
        <v>214</v>
      </c>
      <c r="AA454" t="s">
        <v>2868</v>
      </c>
      <c r="AB454" t="s">
        <v>2499</v>
      </c>
      <c r="AC454" t="s">
        <v>785</v>
      </c>
      <c r="AD454" t="s">
        <v>785</v>
      </c>
      <c r="AF454" t="s">
        <v>634</v>
      </c>
      <c r="AG454" t="s">
        <v>195</v>
      </c>
      <c r="AH454" s="3">
        <v>221569.53</v>
      </c>
      <c r="AI454">
        <v>0</v>
      </c>
      <c r="AJ454" s="1">
        <v>47401</v>
      </c>
      <c r="AN454" t="s">
        <v>172</v>
      </c>
      <c r="AO454" t="s">
        <v>816</v>
      </c>
      <c r="AR454" t="s">
        <v>2869</v>
      </c>
      <c r="AT454" t="s">
        <v>196</v>
      </c>
      <c r="AU454" t="s">
        <v>316</v>
      </c>
      <c r="AW454">
        <v>0</v>
      </c>
      <c r="AX454" s="1">
        <v>46113</v>
      </c>
      <c r="AY454" s="2">
        <v>0.49060185185185184</v>
      </c>
      <c r="AZ454">
        <v>186823</v>
      </c>
      <c r="BA454" s="1">
        <v>46052</v>
      </c>
      <c r="BC454" t="s">
        <v>0</v>
      </c>
      <c r="BD454" s="1">
        <v>46059</v>
      </c>
      <c r="BE454" t="s">
        <v>2870</v>
      </c>
      <c r="BL454" s="4">
        <v>0</v>
      </c>
      <c r="BM454" s="1">
        <v>46995</v>
      </c>
      <c r="BO454">
        <v>0</v>
      </c>
      <c r="BP454">
        <v>28112</v>
      </c>
      <c r="BQ454" t="s">
        <v>156</v>
      </c>
      <c r="BR454" s="3">
        <v>168597.95</v>
      </c>
      <c r="BS454" s="3">
        <v>5553</v>
      </c>
      <c r="BT454">
        <v>0</v>
      </c>
      <c r="BU454" s="3">
        <v>174150.95</v>
      </c>
      <c r="BV454" s="3">
        <v>221569.53</v>
      </c>
      <c r="BX454">
        <v>0</v>
      </c>
      <c r="BZ454">
        <v>0</v>
      </c>
      <c r="CA454">
        <v>0</v>
      </c>
      <c r="CB454">
        <v>0</v>
      </c>
      <c r="CC454">
        <v>0</v>
      </c>
      <c r="CD454" s="5">
        <v>0</v>
      </c>
      <c r="CF454" s="6">
        <v>46113</v>
      </c>
      <c r="CH454">
        <v>0</v>
      </c>
      <c r="CI454">
        <v>0</v>
      </c>
      <c r="CJ454">
        <v>0</v>
      </c>
      <c r="CK454">
        <v>0</v>
      </c>
      <c r="CL454">
        <v>0</v>
      </c>
      <c r="CM454">
        <v>0</v>
      </c>
      <c r="CN454">
        <v>0</v>
      </c>
      <c r="CO454">
        <v>0</v>
      </c>
      <c r="CP454">
        <v>0</v>
      </c>
      <c r="CQ454">
        <v>0</v>
      </c>
      <c r="CR454">
        <v>0</v>
      </c>
      <c r="CT454" t="s">
        <v>214</v>
      </c>
      <c r="CU454" t="s">
        <v>617</v>
      </c>
      <c r="CW454">
        <v>0</v>
      </c>
      <c r="CZ454" s="1">
        <v>46059</v>
      </c>
      <c r="DA454" t="s">
        <v>172</v>
      </c>
      <c r="DB454" t="s">
        <v>172</v>
      </c>
      <c r="DC454" t="s">
        <v>172</v>
      </c>
      <c r="DD454" t="s">
        <v>172</v>
      </c>
      <c r="DG454" s="1">
        <v>46059</v>
      </c>
      <c r="DH454">
        <v>0</v>
      </c>
      <c r="DI454">
        <v>0</v>
      </c>
      <c r="DL454" t="s">
        <v>224</v>
      </c>
      <c r="DM454" t="s">
        <v>172</v>
      </c>
      <c r="DN454" t="s">
        <v>225</v>
      </c>
      <c r="DV454" s="3">
        <v>221569.53</v>
      </c>
      <c r="DW454">
        <v>0</v>
      </c>
      <c r="DX454" s="3">
        <v>221569.53</v>
      </c>
      <c r="DY454">
        <v>0</v>
      </c>
      <c r="EN454" t="s">
        <v>537</v>
      </c>
      <c r="ET454" t="s">
        <v>2674</v>
      </c>
      <c r="EW454" s="1">
        <v>46059</v>
      </c>
    </row>
    <row r="455" spans="1:153" ht="246.5" x14ac:dyDescent="0.35">
      <c r="A455" t="str">
        <f>HYPERLINK("https://7lm.cvcrm.com.br/gestor/comercial/reservas/6665/administrar","6665")</f>
        <v>6665</v>
      </c>
      <c r="B455" t="s">
        <v>156</v>
      </c>
      <c r="C455" s="1">
        <v>46059</v>
      </c>
      <c r="D455" s="2">
        <v>0.64578703703703699</v>
      </c>
      <c r="E455" t="s">
        <v>294</v>
      </c>
      <c r="F455" t="s">
        <v>2451</v>
      </c>
      <c r="G455" t="s">
        <v>203</v>
      </c>
      <c r="H455" t="s">
        <v>528</v>
      </c>
      <c r="I455" t="s">
        <v>1410</v>
      </c>
      <c r="J455">
        <v>1</v>
      </c>
      <c r="L455">
        <v>30061</v>
      </c>
      <c r="M455" t="s">
        <v>2871</v>
      </c>
      <c r="N455" s="1">
        <v>46073</v>
      </c>
      <c r="O455" s="2">
        <v>0.47434027777777776</v>
      </c>
      <c r="R455" t="str">
        <f>HYPERLINK("https://7lm.cvcrm.com.br/gestor/relatorios/associado/html?q[1|r.idreserva]=6665","MARCOS VINICIUS PEREIRA DOS SANTOS")</f>
        <v>MARCOS VINICIUS PEREIRA DOS SANTOS</v>
      </c>
      <c r="S455">
        <v>71063517176</v>
      </c>
      <c r="T455">
        <v>5562998470316</v>
      </c>
      <c r="V455" t="s">
        <v>2872</v>
      </c>
      <c r="W455" t="s">
        <v>163</v>
      </c>
      <c r="X455" t="s">
        <v>2873</v>
      </c>
      <c r="Y455" t="s">
        <v>189</v>
      </c>
      <c r="Z455" t="s">
        <v>842</v>
      </c>
      <c r="AA455" t="s">
        <v>289</v>
      </c>
      <c r="AB455" t="s">
        <v>2874</v>
      </c>
      <c r="AC455" t="s">
        <v>193</v>
      </c>
      <c r="AF455" t="s">
        <v>194</v>
      </c>
      <c r="AG455" t="s">
        <v>195</v>
      </c>
      <c r="AH455" s="3">
        <v>239740.79999999999</v>
      </c>
      <c r="AI455" s="3">
        <v>239740.79999999999</v>
      </c>
      <c r="AJ455" s="1">
        <v>46118</v>
      </c>
      <c r="AN455" t="s">
        <v>172</v>
      </c>
      <c r="AR455" s="7" t="s">
        <v>353</v>
      </c>
      <c r="AT455" t="s">
        <v>196</v>
      </c>
      <c r="AU455" t="s">
        <v>316</v>
      </c>
      <c r="AW455">
        <v>0</v>
      </c>
      <c r="AX455" s="1">
        <v>46073</v>
      </c>
      <c r="AY455" s="2">
        <v>0.47570601851851851</v>
      </c>
      <c r="AZ455">
        <v>185730</v>
      </c>
      <c r="BA455" s="1">
        <v>46044</v>
      </c>
      <c r="BC455" t="s">
        <v>0</v>
      </c>
      <c r="BD455" s="1">
        <v>46059</v>
      </c>
      <c r="BE455" t="s">
        <v>198</v>
      </c>
      <c r="BL455" s="4">
        <v>0</v>
      </c>
      <c r="BM455" s="1">
        <v>46788</v>
      </c>
      <c r="BN455" s="1">
        <v>46073</v>
      </c>
      <c r="BO455">
        <v>0</v>
      </c>
      <c r="BP455">
        <v>27992</v>
      </c>
      <c r="BQ455" t="s">
        <v>156</v>
      </c>
      <c r="BR455" s="3">
        <v>117568.68</v>
      </c>
      <c r="BS455" s="3">
        <v>47598</v>
      </c>
      <c r="BT455">
        <v>0</v>
      </c>
      <c r="BU455" s="3">
        <v>165166.68</v>
      </c>
      <c r="BV455" s="3">
        <v>239740.79999999999</v>
      </c>
      <c r="BX455">
        <v>0</v>
      </c>
      <c r="BZ455">
        <v>0</v>
      </c>
      <c r="CA455">
        <v>0</v>
      </c>
      <c r="CB455">
        <v>0</v>
      </c>
      <c r="CC455" s="3">
        <v>239740.79999999999</v>
      </c>
      <c r="CD455" s="5">
        <v>0</v>
      </c>
      <c r="CF455" s="6">
        <v>46054</v>
      </c>
      <c r="CH455">
        <v>0</v>
      </c>
      <c r="CI455">
        <v>0</v>
      </c>
      <c r="CJ455">
        <v>0</v>
      </c>
      <c r="CK455">
        <v>0</v>
      </c>
      <c r="CL455">
        <v>0</v>
      </c>
      <c r="CM455">
        <v>0</v>
      </c>
      <c r="CN455">
        <v>0</v>
      </c>
      <c r="CO455">
        <v>0</v>
      </c>
      <c r="CP455">
        <v>0</v>
      </c>
      <c r="CQ455">
        <v>0</v>
      </c>
      <c r="CR455">
        <v>0</v>
      </c>
      <c r="CS455" t="s">
        <v>649</v>
      </c>
      <c r="CT455" t="s">
        <v>190</v>
      </c>
      <c r="CU455" t="s">
        <v>1410</v>
      </c>
      <c r="CW455">
        <v>-50.530099999999997</v>
      </c>
      <c r="CZ455" s="1">
        <v>46059</v>
      </c>
      <c r="DA455" t="s">
        <v>172</v>
      </c>
      <c r="DB455" t="s">
        <v>172</v>
      </c>
      <c r="DC455" t="s">
        <v>172</v>
      </c>
      <c r="DD455" t="s">
        <v>172</v>
      </c>
      <c r="DG455" s="1">
        <v>46059</v>
      </c>
      <c r="DH455">
        <v>0</v>
      </c>
      <c r="DI455">
        <v>0</v>
      </c>
      <c r="DL455" t="s">
        <v>2473</v>
      </c>
      <c r="DM455" t="s">
        <v>172</v>
      </c>
      <c r="DN455" t="s">
        <v>201</v>
      </c>
      <c r="DV455" s="3">
        <v>239740.79999999999</v>
      </c>
      <c r="DW455">
        <v>0</v>
      </c>
      <c r="DX455" s="3">
        <v>239740.79999999999</v>
      </c>
      <c r="DY455">
        <v>0</v>
      </c>
      <c r="EG455" s="1">
        <v>46071</v>
      </c>
      <c r="EN455" t="s">
        <v>156</v>
      </c>
      <c r="EP455" s="1">
        <v>46071</v>
      </c>
      <c r="ER455" s="1">
        <v>46064</v>
      </c>
      <c r="ES455" t="s">
        <v>2875</v>
      </c>
      <c r="EW455" s="1">
        <v>46059</v>
      </c>
    </row>
    <row r="456" spans="1:153" x14ac:dyDescent="0.35">
      <c r="A456" t="str">
        <f>HYPERLINK("https://7lm.cvcrm.com.br/gestor/comercial/reservas/6664/administrar","6664")</f>
        <v>6664</v>
      </c>
      <c r="B456" t="s">
        <v>156</v>
      </c>
      <c r="C456" s="1">
        <v>46059</v>
      </c>
      <c r="D456" s="2">
        <v>0.63733796296296297</v>
      </c>
      <c r="E456" t="s">
        <v>527</v>
      </c>
      <c r="F456" t="s">
        <v>458</v>
      </c>
      <c r="G456" t="s">
        <v>203</v>
      </c>
      <c r="H456" t="s">
        <v>336</v>
      </c>
      <c r="I456" t="s">
        <v>780</v>
      </c>
      <c r="J456">
        <v>1</v>
      </c>
      <c r="L456">
        <v>20001</v>
      </c>
      <c r="M456" t="s">
        <v>1594</v>
      </c>
      <c r="N456" s="1">
        <v>46059</v>
      </c>
      <c r="O456" s="2">
        <v>0.65431712962962962</v>
      </c>
      <c r="R456" t="str">
        <f>HYPERLINK("https://7lm.cvcrm.com.br/gestor/relatorios/associado/html?q[1|r.idreserva]=6664","CARLOS EDUARDO LIMA GONÇALVES")</f>
        <v>CARLOS EDUARDO LIMA GONÇALVES</v>
      </c>
      <c r="S456">
        <v>9376563301</v>
      </c>
      <c r="T456">
        <v>5561992037504</v>
      </c>
      <c r="V456" t="s">
        <v>2876</v>
      </c>
      <c r="W456" t="s">
        <v>187</v>
      </c>
      <c r="X456" t="s">
        <v>2877</v>
      </c>
      <c r="AA456" t="s">
        <v>2878</v>
      </c>
      <c r="AB456" t="s">
        <v>2879</v>
      </c>
      <c r="AC456" t="s">
        <v>388</v>
      </c>
      <c r="AF456" t="s">
        <v>389</v>
      </c>
      <c r="AG456" t="s">
        <v>195</v>
      </c>
      <c r="AH456" s="3">
        <v>233015.57</v>
      </c>
      <c r="AI456" s="3">
        <v>233015.57</v>
      </c>
      <c r="AJ456" s="1">
        <v>46087</v>
      </c>
      <c r="AN456" t="s">
        <v>172</v>
      </c>
      <c r="AO456" t="s">
        <v>2880</v>
      </c>
      <c r="AR456" t="s">
        <v>2881</v>
      </c>
      <c r="AT456" t="s">
        <v>196</v>
      </c>
      <c r="AU456" t="s">
        <v>292</v>
      </c>
      <c r="AW456">
        <v>0</v>
      </c>
      <c r="AX456" s="1">
        <v>46065</v>
      </c>
      <c r="AY456" s="2">
        <v>0.41094907407407405</v>
      </c>
      <c r="AZ456">
        <v>182594</v>
      </c>
      <c r="BA456" s="1">
        <v>46028</v>
      </c>
      <c r="BC456" t="s">
        <v>0</v>
      </c>
      <c r="BD456" s="1">
        <v>46059</v>
      </c>
      <c r="BE456" t="s">
        <v>198</v>
      </c>
      <c r="BL456" s="4">
        <v>0</v>
      </c>
      <c r="BM456" s="1">
        <v>46572</v>
      </c>
      <c r="BO456">
        <v>0</v>
      </c>
      <c r="BP456">
        <v>27756</v>
      </c>
      <c r="BQ456" t="s">
        <v>156</v>
      </c>
      <c r="BR456" s="3">
        <v>164496.82</v>
      </c>
      <c r="BS456" s="3">
        <v>6660</v>
      </c>
      <c r="BT456">
        <v>0</v>
      </c>
      <c r="BU456" s="3">
        <v>171156.82</v>
      </c>
      <c r="BV456" s="3">
        <v>233015.57</v>
      </c>
      <c r="BX456">
        <v>0</v>
      </c>
      <c r="BZ456">
        <v>0</v>
      </c>
      <c r="CA456">
        <v>0</v>
      </c>
      <c r="CB456">
        <v>0</v>
      </c>
      <c r="CC456" s="3">
        <v>233015.57</v>
      </c>
      <c r="CD456" s="5">
        <v>0</v>
      </c>
      <c r="CE456" t="s">
        <v>467</v>
      </c>
      <c r="CF456" s="6">
        <v>46054</v>
      </c>
      <c r="CH456">
        <v>0</v>
      </c>
      <c r="CI456">
        <v>0</v>
      </c>
      <c r="CJ456">
        <v>0</v>
      </c>
      <c r="CK456">
        <v>0</v>
      </c>
      <c r="CL456">
        <v>0</v>
      </c>
      <c r="CM456">
        <v>0</v>
      </c>
      <c r="CN456">
        <v>0</v>
      </c>
      <c r="CO456">
        <v>0</v>
      </c>
      <c r="CP456">
        <v>0</v>
      </c>
      <c r="CQ456">
        <v>0</v>
      </c>
      <c r="CR456">
        <v>0</v>
      </c>
      <c r="CS456" t="s">
        <v>2497</v>
      </c>
      <c r="CT456" t="s">
        <v>214</v>
      </c>
      <c r="CU456" t="s">
        <v>780</v>
      </c>
      <c r="CW456">
        <v>408.76760000000002</v>
      </c>
      <c r="CZ456" s="1">
        <v>46059</v>
      </c>
      <c r="DA456" t="s">
        <v>172</v>
      </c>
      <c r="DB456" t="s">
        <v>172</v>
      </c>
      <c r="DC456" t="s">
        <v>172</v>
      </c>
      <c r="DD456" t="s">
        <v>172</v>
      </c>
      <c r="DG456" s="1">
        <v>46059</v>
      </c>
      <c r="DH456">
        <v>0</v>
      </c>
      <c r="DI456">
        <v>0</v>
      </c>
      <c r="DL456" t="s">
        <v>200</v>
      </c>
      <c r="DM456" t="s">
        <v>172</v>
      </c>
      <c r="DN456" t="s">
        <v>525</v>
      </c>
      <c r="DV456" s="3">
        <v>233015.57</v>
      </c>
      <c r="DW456">
        <v>0</v>
      </c>
      <c r="DX456" s="3">
        <v>233015.57</v>
      </c>
      <c r="DY456">
        <v>0</v>
      </c>
      <c r="EN456" t="s">
        <v>537</v>
      </c>
      <c r="EU456" s="1">
        <v>46065</v>
      </c>
      <c r="EW456" s="1">
        <v>46060</v>
      </c>
    </row>
    <row r="457" spans="1:153" ht="246.5" x14ac:dyDescent="0.35">
      <c r="A457" t="str">
        <f>HYPERLINK("https://7lm.cvcrm.com.br/gestor/comercial/reservas/6663/administrar","6663")</f>
        <v>6663</v>
      </c>
      <c r="B457" t="s">
        <v>156</v>
      </c>
      <c r="C457" s="1">
        <v>46059</v>
      </c>
      <c r="D457" s="2">
        <v>0.62219907407407404</v>
      </c>
      <c r="E457" t="s">
        <v>294</v>
      </c>
      <c r="F457" t="s">
        <v>957</v>
      </c>
      <c r="G457" t="s">
        <v>159</v>
      </c>
      <c r="H457" t="s">
        <v>183</v>
      </c>
      <c r="I457" t="s">
        <v>2882</v>
      </c>
      <c r="J457">
        <v>1</v>
      </c>
      <c r="L457">
        <v>30121</v>
      </c>
      <c r="M457" t="s">
        <v>2883</v>
      </c>
      <c r="N457" s="1">
        <v>46136</v>
      </c>
      <c r="O457" s="2">
        <v>0.72206018518518522</v>
      </c>
      <c r="R457" t="str">
        <f>HYPERLINK("https://7lm.cvcrm.com.br/gestor/relatorios/associado/html?q[1|r.idreserva]=6663","ELIARDO ARTHUR MULLER")</f>
        <v>ELIARDO ARTHUR MULLER</v>
      </c>
      <c r="S457">
        <v>6356368160</v>
      </c>
      <c r="T457">
        <v>5561999946306</v>
      </c>
      <c r="V457" t="s">
        <v>2884</v>
      </c>
      <c r="W457" t="s">
        <v>163</v>
      </c>
      <c r="X457" t="s">
        <v>366</v>
      </c>
      <c r="Y457" t="s">
        <v>189</v>
      </c>
      <c r="Z457" t="s">
        <v>190</v>
      </c>
      <c r="AA457" t="s">
        <v>377</v>
      </c>
      <c r="AB457" t="s">
        <v>822</v>
      </c>
      <c r="AC457" t="s">
        <v>845</v>
      </c>
      <c r="AD457" t="s">
        <v>845</v>
      </c>
      <c r="AF457" t="s">
        <v>303</v>
      </c>
      <c r="AG457" t="s">
        <v>251</v>
      </c>
      <c r="AH457" s="3">
        <v>244999.92</v>
      </c>
      <c r="AI457" s="3">
        <v>244999.92</v>
      </c>
      <c r="AJ457" s="1">
        <v>46117</v>
      </c>
      <c r="AN457" t="s">
        <v>172</v>
      </c>
      <c r="AR457" s="7" t="s">
        <v>353</v>
      </c>
      <c r="AT457" t="s">
        <v>261</v>
      </c>
      <c r="AV457" t="s">
        <v>625</v>
      </c>
      <c r="AW457">
        <v>0</v>
      </c>
      <c r="AX457" s="1">
        <v>46073</v>
      </c>
      <c r="AY457" s="2">
        <v>0.48130787037037037</v>
      </c>
      <c r="AZ457">
        <v>146080</v>
      </c>
      <c r="BA457" s="1">
        <v>45678</v>
      </c>
      <c r="BB457" s="1">
        <v>45975</v>
      </c>
      <c r="BC457" t="s">
        <v>0</v>
      </c>
      <c r="BD457" s="1">
        <v>46059</v>
      </c>
      <c r="BE457" t="s">
        <v>276</v>
      </c>
      <c r="BL457" s="4">
        <v>0</v>
      </c>
      <c r="BM457" s="1">
        <v>47031</v>
      </c>
      <c r="BN457" s="1">
        <v>46073</v>
      </c>
      <c r="BO457">
        <v>0</v>
      </c>
      <c r="BP457">
        <v>28319</v>
      </c>
      <c r="BQ457" t="s">
        <v>156</v>
      </c>
      <c r="BR457">
        <v>0</v>
      </c>
      <c r="BS457">
        <v>0</v>
      </c>
      <c r="BT457">
        <v>0</v>
      </c>
      <c r="BU457">
        <v>0</v>
      </c>
      <c r="BV457" s="3">
        <v>244999.92</v>
      </c>
      <c r="BX457">
        <v>0</v>
      </c>
      <c r="BZ457">
        <v>0</v>
      </c>
      <c r="CA457">
        <v>0</v>
      </c>
      <c r="CB457">
        <v>0</v>
      </c>
      <c r="CC457" s="3">
        <v>244999.92</v>
      </c>
      <c r="CD457" s="5">
        <v>0</v>
      </c>
      <c r="CF457" s="6">
        <v>46054</v>
      </c>
      <c r="CH457">
        <v>0</v>
      </c>
      <c r="CI457">
        <v>0</v>
      </c>
      <c r="CJ457">
        <v>0</v>
      </c>
      <c r="CK457">
        <v>0</v>
      </c>
      <c r="CL457">
        <v>0</v>
      </c>
      <c r="CM457">
        <v>0</v>
      </c>
      <c r="CN457">
        <v>0</v>
      </c>
      <c r="CO457">
        <v>0</v>
      </c>
      <c r="CP457">
        <v>0</v>
      </c>
      <c r="CQ457">
        <v>0</v>
      </c>
      <c r="CR457">
        <v>0</v>
      </c>
      <c r="CS457" t="s">
        <v>649</v>
      </c>
      <c r="CT457" t="s">
        <v>190</v>
      </c>
      <c r="CU457" t="s">
        <v>2882</v>
      </c>
      <c r="CW457">
        <v>-47.547899999999998</v>
      </c>
      <c r="CZ457" s="1">
        <v>46059</v>
      </c>
      <c r="DA457" t="s">
        <v>172</v>
      </c>
      <c r="DB457" t="s">
        <v>172</v>
      </c>
      <c r="DC457" t="s">
        <v>172</v>
      </c>
      <c r="DD457" t="s">
        <v>172</v>
      </c>
      <c r="DG457" s="1">
        <v>46059</v>
      </c>
      <c r="DH457">
        <v>0</v>
      </c>
      <c r="DI457">
        <v>0</v>
      </c>
      <c r="DL457" t="s">
        <v>963</v>
      </c>
      <c r="DM457" t="s">
        <v>172</v>
      </c>
      <c r="DN457" t="s">
        <v>201</v>
      </c>
      <c r="DV457" s="3">
        <v>244999.92</v>
      </c>
      <c r="DW457">
        <v>0</v>
      </c>
      <c r="DX457" s="3">
        <v>244999.92</v>
      </c>
      <c r="DY457">
        <v>0</v>
      </c>
      <c r="EF457" s="1">
        <v>46066</v>
      </c>
      <c r="EN457" t="s">
        <v>156</v>
      </c>
      <c r="EP457" s="1">
        <v>46064</v>
      </c>
      <c r="ER457" s="1">
        <v>46064</v>
      </c>
      <c r="ES457" t="s">
        <v>2885</v>
      </c>
    </row>
    <row r="458" spans="1:153" ht="246.5" x14ac:dyDescent="0.35">
      <c r="A458" t="str">
        <f>HYPERLINK("https://7lm.cvcrm.com.br/gestor/comercial/reservas/6662/administrar","6662")</f>
        <v>6662</v>
      </c>
      <c r="B458" t="s">
        <v>156</v>
      </c>
      <c r="C458" s="1">
        <v>46059</v>
      </c>
      <c r="D458" s="2">
        <v>0.5985300925925926</v>
      </c>
      <c r="E458" t="s">
        <v>294</v>
      </c>
      <c r="F458" t="s">
        <v>957</v>
      </c>
      <c r="G458" t="s">
        <v>159</v>
      </c>
      <c r="H458" t="s">
        <v>265</v>
      </c>
      <c r="I458" t="s">
        <v>2886</v>
      </c>
      <c r="J458">
        <v>1</v>
      </c>
      <c r="K458">
        <v>8113</v>
      </c>
      <c r="L458">
        <v>30121</v>
      </c>
      <c r="M458" t="s">
        <v>2887</v>
      </c>
      <c r="N458" s="1">
        <v>46065</v>
      </c>
      <c r="O458" s="2">
        <v>0.58386574074074071</v>
      </c>
      <c r="R458" t="str">
        <f>HYPERLINK("https://7lm.cvcrm.com.br/gestor/relatorios/associado/html?q[1|r.idreserva]=6662","BIANCA DE FREITAS BARBOSA")</f>
        <v>BIANCA DE FREITAS BARBOSA</v>
      </c>
      <c r="S458">
        <v>10963262130</v>
      </c>
      <c r="T458">
        <v>5561998267978</v>
      </c>
      <c r="V458" t="s">
        <v>2888</v>
      </c>
      <c r="W458" t="s">
        <v>187</v>
      </c>
      <c r="X458" t="s">
        <v>376</v>
      </c>
      <c r="Y458" t="s">
        <v>189</v>
      </c>
      <c r="Z458" t="s">
        <v>190</v>
      </c>
      <c r="AA458" t="s">
        <v>902</v>
      </c>
      <c r="AB458" t="s">
        <v>2889</v>
      </c>
      <c r="AC458" t="s">
        <v>1815</v>
      </c>
      <c r="AD458" t="s">
        <v>1815</v>
      </c>
      <c r="AF458" t="s">
        <v>352</v>
      </c>
      <c r="AG458" t="s">
        <v>251</v>
      </c>
      <c r="AH458" s="3">
        <v>244934.37</v>
      </c>
      <c r="AI458" s="3">
        <v>244934.37</v>
      </c>
      <c r="AJ458" s="1">
        <v>46117</v>
      </c>
      <c r="AN458" t="s">
        <v>172</v>
      </c>
      <c r="AR458" s="7" t="s">
        <v>353</v>
      </c>
      <c r="AT458" t="s">
        <v>196</v>
      </c>
      <c r="AU458" t="s">
        <v>292</v>
      </c>
      <c r="AW458">
        <v>0</v>
      </c>
      <c r="AX458" s="1">
        <v>46066</v>
      </c>
      <c r="AY458" s="2">
        <v>0.65901620370370373</v>
      </c>
      <c r="AZ458">
        <v>158298</v>
      </c>
      <c r="BA458" s="1">
        <v>45791</v>
      </c>
      <c r="BC458" t="s">
        <v>0</v>
      </c>
      <c r="BD458" s="1">
        <v>46059</v>
      </c>
      <c r="BE458" t="s">
        <v>590</v>
      </c>
      <c r="BL458" s="4">
        <v>0</v>
      </c>
      <c r="BM458" s="1">
        <v>47031</v>
      </c>
      <c r="BN458" s="1">
        <v>46066</v>
      </c>
      <c r="BO458">
        <v>0</v>
      </c>
      <c r="BP458">
        <v>25918</v>
      </c>
      <c r="BQ458" t="s">
        <v>156</v>
      </c>
      <c r="BR458" s="3">
        <v>136304.85</v>
      </c>
      <c r="BS458" s="3">
        <v>20440</v>
      </c>
      <c r="BT458">
        <v>0</v>
      </c>
      <c r="BU458" s="3">
        <v>156744.85</v>
      </c>
      <c r="BV458" s="3">
        <v>244934.37</v>
      </c>
      <c r="BX458">
        <v>0</v>
      </c>
      <c r="BZ458">
        <v>0</v>
      </c>
      <c r="CA458">
        <v>0</v>
      </c>
      <c r="CB458">
        <v>0</v>
      </c>
      <c r="CC458" s="3">
        <v>244934.37</v>
      </c>
      <c r="CD458" s="5">
        <v>0</v>
      </c>
      <c r="CF458" s="6">
        <v>46054</v>
      </c>
      <c r="CH458">
        <v>0</v>
      </c>
      <c r="CI458">
        <v>0</v>
      </c>
      <c r="CJ458">
        <v>0</v>
      </c>
      <c r="CK458">
        <v>0</v>
      </c>
      <c r="CL458">
        <v>0</v>
      </c>
      <c r="CM458">
        <v>0</v>
      </c>
      <c r="CN458">
        <v>0</v>
      </c>
      <c r="CO458">
        <v>0</v>
      </c>
      <c r="CP458">
        <v>0</v>
      </c>
      <c r="CQ458">
        <v>0</v>
      </c>
      <c r="CR458">
        <v>0</v>
      </c>
      <c r="CS458" t="s">
        <v>360</v>
      </c>
      <c r="CT458" t="s">
        <v>190</v>
      </c>
      <c r="CU458" t="s">
        <v>2886</v>
      </c>
      <c r="CW458">
        <v>461.40309999999999</v>
      </c>
      <c r="CZ458" s="1">
        <v>46059</v>
      </c>
      <c r="DA458" t="s">
        <v>172</v>
      </c>
      <c r="DB458" t="s">
        <v>172</v>
      </c>
      <c r="DC458" t="s">
        <v>172</v>
      </c>
      <c r="DD458" t="s">
        <v>172</v>
      </c>
      <c r="DG458" s="1">
        <v>46059</v>
      </c>
      <c r="DH458">
        <v>0</v>
      </c>
      <c r="DI458">
        <v>0</v>
      </c>
      <c r="DL458" t="s">
        <v>963</v>
      </c>
      <c r="DM458" t="s">
        <v>172</v>
      </c>
      <c r="DN458" t="s">
        <v>201</v>
      </c>
      <c r="DV458" s="3">
        <v>244934.37</v>
      </c>
      <c r="DW458">
        <v>0</v>
      </c>
      <c r="DX458" s="3">
        <v>244934.37</v>
      </c>
      <c r="DY458">
        <v>0</v>
      </c>
      <c r="EF458" s="1">
        <v>46065</v>
      </c>
      <c r="EG458" s="1">
        <v>46063</v>
      </c>
      <c r="EK458" s="1">
        <v>46065</v>
      </c>
      <c r="EN458" t="s">
        <v>156</v>
      </c>
      <c r="EP458" s="1">
        <v>46064</v>
      </c>
      <c r="ER458" s="1">
        <v>46063</v>
      </c>
      <c r="ES458" t="s">
        <v>2890</v>
      </c>
      <c r="EW458" s="1">
        <v>46059</v>
      </c>
    </row>
    <row r="459" spans="1:153" ht="116" x14ac:dyDescent="0.35">
      <c r="A459" t="str">
        <f>HYPERLINK("https://7lm.cvcrm.com.br/gestor/comercial/reservas/6661/administrar","6661")</f>
        <v>6661</v>
      </c>
      <c r="B459" t="s">
        <v>172</v>
      </c>
      <c r="C459" s="1">
        <v>46059</v>
      </c>
      <c r="D459" s="2">
        <v>0.46395833333333331</v>
      </c>
      <c r="E459" t="s">
        <v>527</v>
      </c>
      <c r="F459" t="s">
        <v>1164</v>
      </c>
      <c r="G459" t="s">
        <v>203</v>
      </c>
      <c r="H459" t="s">
        <v>277</v>
      </c>
      <c r="I459" t="s">
        <v>682</v>
      </c>
      <c r="J459">
        <v>1</v>
      </c>
      <c r="L459">
        <v>30001</v>
      </c>
      <c r="M459" t="s">
        <v>1619</v>
      </c>
      <c r="R459" t="str">
        <f>HYPERLINK("https://7lm.cvcrm.com.br/gestor/relatorios/associado/html?q[1|r.idreserva]=6661","ELIZANGELA PEREIRA DA SILVA")</f>
        <v>ELIZANGELA PEREIRA DA SILVA</v>
      </c>
      <c r="S459">
        <v>1092906150</v>
      </c>
      <c r="T459">
        <v>5561996792538</v>
      </c>
      <c r="V459" t="s">
        <v>2891</v>
      </c>
      <c r="W459" t="s">
        <v>187</v>
      </c>
      <c r="X459" t="s">
        <v>826</v>
      </c>
      <c r="Y459" t="s">
        <v>189</v>
      </c>
      <c r="Z459" t="s">
        <v>190</v>
      </c>
      <c r="AA459" t="s">
        <v>2892</v>
      </c>
      <c r="AB459" t="s">
        <v>2893</v>
      </c>
      <c r="AC459" t="s">
        <v>1741</v>
      </c>
      <c r="AF459" t="s">
        <v>194</v>
      </c>
      <c r="AG459" t="s">
        <v>251</v>
      </c>
      <c r="AH459" s="3">
        <v>260000.24</v>
      </c>
      <c r="AI459" s="3">
        <v>260000.24</v>
      </c>
      <c r="AJ459" s="1">
        <v>46118</v>
      </c>
      <c r="AN459" t="s">
        <v>172</v>
      </c>
      <c r="AO459" t="s">
        <v>1368</v>
      </c>
      <c r="AR459" s="7" t="s">
        <v>2894</v>
      </c>
      <c r="AT459" t="s">
        <v>196</v>
      </c>
      <c r="AU459" t="s">
        <v>262</v>
      </c>
      <c r="AW459">
        <v>0</v>
      </c>
      <c r="AX459" s="1">
        <v>46066</v>
      </c>
      <c r="AY459" s="2">
        <v>0.70300925925925928</v>
      </c>
      <c r="AZ459">
        <v>148906</v>
      </c>
      <c r="BA459" s="1">
        <v>45700</v>
      </c>
      <c r="BC459" t="s">
        <v>275</v>
      </c>
      <c r="BD459" s="1">
        <v>45728</v>
      </c>
      <c r="BE459" t="s">
        <v>276</v>
      </c>
      <c r="BL459" s="4">
        <v>0</v>
      </c>
      <c r="BM459" s="1">
        <v>46416</v>
      </c>
      <c r="BO459">
        <v>0</v>
      </c>
      <c r="BP459">
        <v>27055</v>
      </c>
      <c r="BQ459" t="s">
        <v>156</v>
      </c>
      <c r="BR459" s="3">
        <v>180000</v>
      </c>
      <c r="BS459" s="3">
        <v>4652</v>
      </c>
      <c r="BT459">
        <v>0</v>
      </c>
      <c r="BU459" s="3">
        <v>184652</v>
      </c>
      <c r="BV459" s="3">
        <v>260000.24</v>
      </c>
      <c r="BX459">
        <v>0</v>
      </c>
      <c r="BZ459">
        <v>0</v>
      </c>
      <c r="CA459">
        <v>0</v>
      </c>
      <c r="CB459">
        <v>0</v>
      </c>
      <c r="CC459" s="3">
        <v>260000.24</v>
      </c>
      <c r="CD459" s="5">
        <v>0</v>
      </c>
      <c r="CE459" t="s">
        <v>1170</v>
      </c>
      <c r="CF459" s="6">
        <v>46054</v>
      </c>
      <c r="CH459">
        <v>0</v>
      </c>
      <c r="CI459">
        <v>0</v>
      </c>
      <c r="CJ459">
        <v>0</v>
      </c>
      <c r="CK459">
        <v>0</v>
      </c>
      <c r="CL459">
        <v>0</v>
      </c>
      <c r="CM459">
        <v>0</v>
      </c>
      <c r="CN459">
        <v>0</v>
      </c>
      <c r="CO459">
        <v>0</v>
      </c>
      <c r="CP459">
        <v>0</v>
      </c>
      <c r="CQ459">
        <v>0</v>
      </c>
      <c r="CR459">
        <v>0</v>
      </c>
      <c r="CT459" t="s">
        <v>190</v>
      </c>
      <c r="CU459" t="s">
        <v>682</v>
      </c>
      <c r="CW459">
        <v>0</v>
      </c>
      <c r="CX459" t="s">
        <v>194</v>
      </c>
      <c r="CZ459" s="1">
        <v>46059</v>
      </c>
      <c r="DA459" t="s">
        <v>172</v>
      </c>
      <c r="DB459" t="s">
        <v>172</v>
      </c>
      <c r="DC459" t="s">
        <v>172</v>
      </c>
      <c r="DD459" t="s">
        <v>172</v>
      </c>
      <c r="DG459" s="1">
        <v>46059</v>
      </c>
      <c r="DH459">
        <v>0</v>
      </c>
      <c r="DI459">
        <v>0</v>
      </c>
      <c r="DL459" t="s">
        <v>1171</v>
      </c>
      <c r="DM459" t="s">
        <v>172</v>
      </c>
      <c r="DN459" t="s">
        <v>511</v>
      </c>
      <c r="DV459" s="3">
        <v>260000.24</v>
      </c>
      <c r="DW459">
        <v>0</v>
      </c>
      <c r="DX459" s="3">
        <v>260000.24</v>
      </c>
      <c r="DY459">
        <v>0</v>
      </c>
      <c r="EN459" t="s">
        <v>537</v>
      </c>
      <c r="ET459" t="s">
        <v>2895</v>
      </c>
    </row>
    <row r="460" spans="1:153" ht="261" x14ac:dyDescent="0.35">
      <c r="A460" t="str">
        <f>HYPERLINK("https://7lm.cvcrm.com.br/gestor/comercial/reservas/6660/administrar","6660")</f>
        <v>6660</v>
      </c>
      <c r="B460" t="s">
        <v>156</v>
      </c>
      <c r="C460" s="1">
        <v>46058</v>
      </c>
      <c r="D460" s="2">
        <v>0.8175810185185185</v>
      </c>
      <c r="E460" t="s">
        <v>294</v>
      </c>
      <c r="F460" t="s">
        <v>202</v>
      </c>
      <c r="G460" t="s">
        <v>203</v>
      </c>
      <c r="H460" t="s">
        <v>528</v>
      </c>
      <c r="I460" t="s">
        <v>1267</v>
      </c>
      <c r="J460">
        <v>1</v>
      </c>
      <c r="L460">
        <v>20031</v>
      </c>
      <c r="M460" t="s">
        <v>2896</v>
      </c>
      <c r="N460" s="1">
        <v>46078</v>
      </c>
      <c r="O460" s="2">
        <v>0.66409722222222223</v>
      </c>
      <c r="R460" t="str">
        <f>HYPERLINK("https://7lm.cvcrm.com.br/gestor/relatorios/associado/html?q[1|r.idreserva]=6660","MARIA NELSA ALEXANDRE DE SOUZA")</f>
        <v>MARIA NELSA ALEXANDRE DE SOUZA</v>
      </c>
      <c r="S460">
        <v>1027486169</v>
      </c>
      <c r="T460">
        <v>5561996458207</v>
      </c>
      <c r="V460" t="s">
        <v>2897</v>
      </c>
      <c r="W460" t="s">
        <v>187</v>
      </c>
      <c r="Y460" t="s">
        <v>189</v>
      </c>
      <c r="Z460" t="s">
        <v>2670</v>
      </c>
      <c r="AA460" t="s">
        <v>2898</v>
      </c>
      <c r="AB460" t="s">
        <v>2899</v>
      </c>
      <c r="AC460" t="s">
        <v>398</v>
      </c>
      <c r="AF460" t="s">
        <v>399</v>
      </c>
      <c r="AG460" t="s">
        <v>195</v>
      </c>
      <c r="AH460" s="3">
        <v>212550.45</v>
      </c>
      <c r="AI460" s="3">
        <v>212550.45</v>
      </c>
      <c r="AJ460" s="1">
        <v>46127</v>
      </c>
      <c r="AN460" t="s">
        <v>172</v>
      </c>
      <c r="AR460" s="7" t="s">
        <v>2833</v>
      </c>
      <c r="AT460" t="s">
        <v>196</v>
      </c>
      <c r="AU460" t="s">
        <v>316</v>
      </c>
      <c r="AW460">
        <v>0</v>
      </c>
      <c r="AX460" s="1">
        <v>46083</v>
      </c>
      <c r="AY460" s="2">
        <v>0.34650462962962963</v>
      </c>
      <c r="AZ460">
        <v>187477</v>
      </c>
      <c r="BA460" s="1">
        <v>46056</v>
      </c>
      <c r="BC460" t="s">
        <v>0</v>
      </c>
      <c r="BD460" s="1">
        <v>46058</v>
      </c>
      <c r="BE460" t="s">
        <v>317</v>
      </c>
      <c r="BL460" s="4">
        <v>0</v>
      </c>
      <c r="BM460" s="1">
        <v>46808</v>
      </c>
      <c r="BN460" s="1">
        <v>46081</v>
      </c>
      <c r="BO460">
        <v>0</v>
      </c>
      <c r="BP460">
        <v>28245</v>
      </c>
      <c r="BQ460" t="s">
        <v>156</v>
      </c>
      <c r="BR460" s="3">
        <v>96092.95</v>
      </c>
      <c r="BS460" s="3">
        <v>54171</v>
      </c>
      <c r="BT460">
        <v>0</v>
      </c>
      <c r="BU460" s="3">
        <v>150263.95000000001</v>
      </c>
      <c r="BV460" s="3">
        <v>212550.45</v>
      </c>
      <c r="BX460">
        <v>0</v>
      </c>
      <c r="BZ460">
        <v>0</v>
      </c>
      <c r="CA460">
        <v>0</v>
      </c>
      <c r="CB460">
        <v>0</v>
      </c>
      <c r="CC460" s="3">
        <v>212550.45</v>
      </c>
      <c r="CD460" s="5">
        <v>0</v>
      </c>
      <c r="CF460" s="6">
        <v>46054</v>
      </c>
      <c r="CH460">
        <v>0</v>
      </c>
      <c r="CI460">
        <v>0</v>
      </c>
      <c r="CJ460">
        <v>0</v>
      </c>
      <c r="CK460">
        <v>0</v>
      </c>
      <c r="CL460">
        <v>0</v>
      </c>
      <c r="CM460">
        <v>0</v>
      </c>
      <c r="CN460">
        <v>0</v>
      </c>
      <c r="CO460">
        <v>0</v>
      </c>
      <c r="CP460">
        <v>0</v>
      </c>
      <c r="CQ460">
        <v>0</v>
      </c>
      <c r="CR460">
        <v>0</v>
      </c>
      <c r="CS460" t="s">
        <v>360</v>
      </c>
      <c r="CT460" t="s">
        <v>214</v>
      </c>
      <c r="CU460" t="s">
        <v>1267</v>
      </c>
      <c r="CW460">
        <v>-53.618499999999997</v>
      </c>
      <c r="CZ460" s="1">
        <v>46058</v>
      </c>
      <c r="DA460" t="s">
        <v>172</v>
      </c>
      <c r="DB460" t="s">
        <v>172</v>
      </c>
      <c r="DC460" t="s">
        <v>172</v>
      </c>
      <c r="DD460" t="s">
        <v>172</v>
      </c>
      <c r="DG460" s="1">
        <v>46058</v>
      </c>
      <c r="DH460">
        <v>0</v>
      </c>
      <c r="DI460">
        <v>0</v>
      </c>
      <c r="DL460" t="s">
        <v>224</v>
      </c>
      <c r="DM460" t="s">
        <v>172</v>
      </c>
      <c r="DN460" t="s">
        <v>201</v>
      </c>
      <c r="DV460" s="3">
        <v>212550.45</v>
      </c>
      <c r="DW460">
        <v>0</v>
      </c>
      <c r="DX460" s="3">
        <v>212550.45</v>
      </c>
      <c r="DY460">
        <v>0</v>
      </c>
      <c r="EF460" s="1">
        <v>46078</v>
      </c>
      <c r="EG460" s="1">
        <v>46076</v>
      </c>
      <c r="EK460" s="1">
        <v>46078</v>
      </c>
      <c r="EL460" s="1">
        <v>46078</v>
      </c>
      <c r="EM460" s="1">
        <v>46067</v>
      </c>
      <c r="EN460" t="s">
        <v>156</v>
      </c>
      <c r="EP460" s="1">
        <v>46066</v>
      </c>
      <c r="EU460" s="1">
        <v>46073</v>
      </c>
      <c r="EW460" s="1">
        <v>46058</v>
      </c>
    </row>
    <row r="461" spans="1:153" x14ac:dyDescent="0.35">
      <c r="A461" t="str">
        <f>HYPERLINK("https://7lm.cvcrm.com.br/gestor/comercial/reservas/6659/administrar","6659")</f>
        <v>6659</v>
      </c>
      <c r="B461" t="s">
        <v>172</v>
      </c>
      <c r="C461" s="1">
        <v>46058</v>
      </c>
      <c r="D461" s="2">
        <v>0.79849537037037033</v>
      </c>
      <c r="E461" t="s">
        <v>527</v>
      </c>
      <c r="F461" t="s">
        <v>458</v>
      </c>
      <c r="G461" t="s">
        <v>203</v>
      </c>
      <c r="H461" t="s">
        <v>404</v>
      </c>
      <c r="I461" t="s">
        <v>1345</v>
      </c>
      <c r="J461">
        <v>1</v>
      </c>
      <c r="L461">
        <v>20001</v>
      </c>
      <c r="M461" t="s">
        <v>1346</v>
      </c>
      <c r="R461" t="str">
        <f>HYPERLINK("https://7lm.cvcrm.com.br/gestor/relatorios/associado/html?q[1|r.idreserva]=6659","WISLEY DA SILVA SILVEIRA")</f>
        <v>WISLEY DA SILVA SILVEIRA</v>
      </c>
      <c r="S461">
        <v>6722240118</v>
      </c>
      <c r="T461">
        <v>556198490931</v>
      </c>
      <c r="V461" t="s">
        <v>2900</v>
      </c>
      <c r="W461" t="s">
        <v>163</v>
      </c>
      <c r="X461" t="s">
        <v>2901</v>
      </c>
      <c r="Y461" t="s">
        <v>165</v>
      </c>
      <c r="Z461" t="s">
        <v>1030</v>
      </c>
      <c r="AA461" t="s">
        <v>1110</v>
      </c>
      <c r="AB461" t="s">
        <v>2667</v>
      </c>
      <c r="AC461" t="s">
        <v>1488</v>
      </c>
      <c r="AF461" t="s">
        <v>399</v>
      </c>
      <c r="AG461" t="s">
        <v>195</v>
      </c>
      <c r="AH461" s="3">
        <v>45800</v>
      </c>
      <c r="AI461" s="3">
        <v>45800</v>
      </c>
      <c r="AJ461" s="1">
        <v>46670</v>
      </c>
      <c r="AN461" t="s">
        <v>172</v>
      </c>
      <c r="AO461" t="s">
        <v>1334</v>
      </c>
      <c r="AR461" t="s">
        <v>2902</v>
      </c>
      <c r="AT461" t="s">
        <v>196</v>
      </c>
      <c r="AU461" t="s">
        <v>316</v>
      </c>
      <c r="AW461">
        <v>0</v>
      </c>
      <c r="AX461" s="1">
        <v>46062</v>
      </c>
      <c r="AY461" s="2">
        <v>0.59035879629629628</v>
      </c>
      <c r="AZ461">
        <v>180365</v>
      </c>
      <c r="BA461" s="1">
        <v>46005</v>
      </c>
      <c r="BC461" t="s">
        <v>0</v>
      </c>
      <c r="BD461" s="1">
        <v>46058</v>
      </c>
      <c r="BE461" t="s">
        <v>198</v>
      </c>
      <c r="BL461" s="4">
        <v>0</v>
      </c>
      <c r="BM461" s="1">
        <v>46572</v>
      </c>
      <c r="BO461">
        <v>0</v>
      </c>
      <c r="BP461">
        <v>26917</v>
      </c>
      <c r="BQ461" t="s">
        <v>156</v>
      </c>
      <c r="BR461" s="3">
        <v>31810</v>
      </c>
      <c r="BS461" s="3">
        <v>126257.1</v>
      </c>
      <c r="BT461">
        <v>0</v>
      </c>
      <c r="BU461" s="3">
        <v>158067.1</v>
      </c>
      <c r="BV461" s="3">
        <v>45800</v>
      </c>
      <c r="BX461">
        <v>0</v>
      </c>
      <c r="BZ461">
        <v>0</v>
      </c>
      <c r="CA461">
        <v>0</v>
      </c>
      <c r="CB461">
        <v>0</v>
      </c>
      <c r="CC461" s="3">
        <v>45800</v>
      </c>
      <c r="CD461" s="5">
        <v>0</v>
      </c>
      <c r="CE461" t="s">
        <v>467</v>
      </c>
      <c r="CF461" s="6">
        <v>46054</v>
      </c>
      <c r="CH461">
        <v>0</v>
      </c>
      <c r="CI461">
        <v>0</v>
      </c>
      <c r="CJ461">
        <v>0</v>
      </c>
      <c r="CK461">
        <v>0</v>
      </c>
      <c r="CL461">
        <v>0</v>
      </c>
      <c r="CM461">
        <v>0</v>
      </c>
      <c r="CN461">
        <v>0</v>
      </c>
      <c r="CO461">
        <v>0</v>
      </c>
      <c r="CP461">
        <v>0</v>
      </c>
      <c r="CQ461">
        <v>0</v>
      </c>
      <c r="CR461">
        <v>0</v>
      </c>
      <c r="CT461" t="s">
        <v>214</v>
      </c>
      <c r="CU461" t="s">
        <v>1345</v>
      </c>
      <c r="CW461">
        <v>0</v>
      </c>
      <c r="CZ461" s="1">
        <v>46058</v>
      </c>
      <c r="DA461" t="s">
        <v>172</v>
      </c>
      <c r="DB461" t="s">
        <v>172</v>
      </c>
      <c r="DC461" t="s">
        <v>172</v>
      </c>
      <c r="DD461" t="s">
        <v>172</v>
      </c>
      <c r="DG461" s="1">
        <v>46058</v>
      </c>
      <c r="DH461">
        <v>0</v>
      </c>
      <c r="DI461">
        <v>0</v>
      </c>
      <c r="DL461" t="s">
        <v>200</v>
      </c>
      <c r="DM461" t="s">
        <v>172</v>
      </c>
      <c r="DN461" t="s">
        <v>201</v>
      </c>
      <c r="DU461" t="s">
        <v>1266</v>
      </c>
      <c r="DV461" s="3">
        <v>427000</v>
      </c>
      <c r="DW461">
        <v>-90.31</v>
      </c>
      <c r="DX461" s="3">
        <v>427000</v>
      </c>
      <c r="DY461">
        <v>-90.31</v>
      </c>
      <c r="EN461" t="s">
        <v>537</v>
      </c>
      <c r="EU461" s="1">
        <v>46065</v>
      </c>
      <c r="EW461" s="1">
        <v>46058</v>
      </c>
    </row>
    <row r="462" spans="1:153" x14ac:dyDescent="0.35">
      <c r="A462" t="str">
        <f>HYPERLINK("https://7lm.cvcrm.com.br/gestor/comercial/reservas/6658/administrar","6658")</f>
        <v>6658</v>
      </c>
      <c r="B462" t="s">
        <v>172</v>
      </c>
      <c r="C462" s="1">
        <v>46058</v>
      </c>
      <c r="D462" s="2">
        <v>0.79211805555555559</v>
      </c>
      <c r="E462" t="s">
        <v>527</v>
      </c>
      <c r="F462" t="s">
        <v>2451</v>
      </c>
      <c r="G462" t="s">
        <v>203</v>
      </c>
      <c r="H462" t="s">
        <v>528</v>
      </c>
      <c r="I462" t="s">
        <v>691</v>
      </c>
      <c r="J462">
        <v>1</v>
      </c>
      <c r="L462">
        <v>30061</v>
      </c>
      <c r="M462" t="s">
        <v>2452</v>
      </c>
      <c r="R462" t="str">
        <f>HYPERLINK("https://7lm.cvcrm.com.br/gestor/relatorios/associado/html?q[1|r.idreserva]=6658","WELLEN BARROS LIMA")</f>
        <v>WELLEN BARROS LIMA</v>
      </c>
      <c r="S462">
        <v>4040522150</v>
      </c>
      <c r="T462">
        <v>5561999893270</v>
      </c>
      <c r="V462" t="s">
        <v>2903</v>
      </c>
      <c r="W462" t="s">
        <v>187</v>
      </c>
      <c r="Y462" t="s">
        <v>189</v>
      </c>
      <c r="Z462" t="s">
        <v>190</v>
      </c>
      <c r="AA462" t="s">
        <v>902</v>
      </c>
      <c r="AB462" t="s">
        <v>2904</v>
      </c>
      <c r="AC462" t="s">
        <v>435</v>
      </c>
      <c r="AD462" t="s">
        <v>435</v>
      </c>
      <c r="AF462" t="s">
        <v>352</v>
      </c>
      <c r="AG462" t="s">
        <v>251</v>
      </c>
      <c r="AH462" s="3">
        <v>245000.36</v>
      </c>
      <c r="AI462" s="3">
        <v>245000.36</v>
      </c>
      <c r="AJ462" s="1">
        <v>46067</v>
      </c>
      <c r="AN462" t="s">
        <v>172</v>
      </c>
      <c r="AO462" t="s">
        <v>816</v>
      </c>
      <c r="AR462" t="s">
        <v>2905</v>
      </c>
      <c r="AU462" t="s">
        <v>292</v>
      </c>
      <c r="AW462">
        <v>0</v>
      </c>
      <c r="AX462" s="1">
        <v>46079</v>
      </c>
      <c r="AY462" s="2">
        <v>0.5258680555555556</v>
      </c>
      <c r="AZ462">
        <v>179082</v>
      </c>
      <c r="BA462" s="1">
        <v>45995</v>
      </c>
      <c r="BC462" t="s">
        <v>275</v>
      </c>
      <c r="BD462" s="1">
        <v>46134</v>
      </c>
      <c r="BE462" t="s">
        <v>198</v>
      </c>
      <c r="BL462" s="4">
        <v>0</v>
      </c>
      <c r="BM462" s="1">
        <v>46788</v>
      </c>
      <c r="BO462">
        <v>0</v>
      </c>
      <c r="BP462">
        <v>28234</v>
      </c>
      <c r="BQ462" t="s">
        <v>156</v>
      </c>
      <c r="BR462" s="3">
        <v>134470.68</v>
      </c>
      <c r="BS462" s="3">
        <v>19009</v>
      </c>
      <c r="BT462">
        <v>0</v>
      </c>
      <c r="BU462" s="3">
        <v>153479.67999999999</v>
      </c>
      <c r="BV462" s="3">
        <v>245000.36</v>
      </c>
      <c r="BX462">
        <v>0</v>
      </c>
      <c r="BZ462">
        <v>0</v>
      </c>
      <c r="CA462">
        <v>0</v>
      </c>
      <c r="CB462">
        <v>0</v>
      </c>
      <c r="CC462" s="3">
        <v>245000.36</v>
      </c>
      <c r="CD462" s="5">
        <v>0</v>
      </c>
      <c r="CF462" s="6">
        <v>46054</v>
      </c>
      <c r="CH462">
        <v>0</v>
      </c>
      <c r="CI462">
        <v>0</v>
      </c>
      <c r="CJ462">
        <v>0</v>
      </c>
      <c r="CK462">
        <v>0</v>
      </c>
      <c r="CL462">
        <v>0</v>
      </c>
      <c r="CM462">
        <v>0</v>
      </c>
      <c r="CN462">
        <v>0</v>
      </c>
      <c r="CO462">
        <v>0</v>
      </c>
      <c r="CP462">
        <v>0</v>
      </c>
      <c r="CQ462">
        <v>0</v>
      </c>
      <c r="CR462">
        <v>0</v>
      </c>
      <c r="CT462" t="s">
        <v>190</v>
      </c>
      <c r="CU462" t="s">
        <v>691</v>
      </c>
      <c r="CW462">
        <v>0</v>
      </c>
      <c r="CZ462" s="1">
        <v>46058</v>
      </c>
      <c r="DA462" t="s">
        <v>172</v>
      </c>
      <c r="DB462" t="s">
        <v>172</v>
      </c>
      <c r="DC462" t="s">
        <v>172</v>
      </c>
      <c r="DD462" t="s">
        <v>172</v>
      </c>
      <c r="DF462" t="s">
        <v>495</v>
      </c>
      <c r="DG462" s="1">
        <v>46058</v>
      </c>
      <c r="DH462">
        <v>0</v>
      </c>
      <c r="DI462">
        <v>0</v>
      </c>
      <c r="DL462" t="s">
        <v>200</v>
      </c>
      <c r="DM462" t="s">
        <v>172</v>
      </c>
      <c r="DN462" t="s">
        <v>225</v>
      </c>
      <c r="DV462" s="3">
        <v>245000.36</v>
      </c>
      <c r="DW462">
        <v>0</v>
      </c>
      <c r="DX462" s="3">
        <v>245000.36</v>
      </c>
      <c r="DY462">
        <v>0</v>
      </c>
      <c r="EN462" t="s">
        <v>537</v>
      </c>
      <c r="ET462" t="s">
        <v>2906</v>
      </c>
      <c r="EW462" s="1">
        <v>46058</v>
      </c>
    </row>
    <row r="463" spans="1:153" ht="246.5" x14ac:dyDescent="0.35">
      <c r="A463" t="str">
        <f>HYPERLINK("https://7lm.cvcrm.com.br/gestor/comercial/reservas/6657/administrar","6657")</f>
        <v>6657</v>
      </c>
      <c r="B463" t="s">
        <v>156</v>
      </c>
      <c r="C463" s="1">
        <v>46058</v>
      </c>
      <c r="D463" s="2">
        <v>0.75753472222222218</v>
      </c>
      <c r="E463" t="s">
        <v>294</v>
      </c>
      <c r="F463" t="s">
        <v>957</v>
      </c>
      <c r="G463" t="s">
        <v>159</v>
      </c>
      <c r="H463" t="s">
        <v>2907</v>
      </c>
      <c r="I463" t="s">
        <v>2908</v>
      </c>
      <c r="J463">
        <v>1</v>
      </c>
      <c r="L463">
        <v>30121</v>
      </c>
      <c r="M463" t="s">
        <v>2909</v>
      </c>
      <c r="N463" s="1">
        <v>46060</v>
      </c>
      <c r="O463" s="2">
        <v>0.40186342592592594</v>
      </c>
      <c r="R463" t="str">
        <f>HYPERLINK("https://7lm.cvcrm.com.br/gestor/relatorios/associado/html?q[1|r.idreserva]=6657","BENJAMIN ALEFE SETUBAL BARRETO")</f>
        <v>BENJAMIN ALEFE SETUBAL BARRETO</v>
      </c>
      <c r="S463">
        <v>9259167140</v>
      </c>
      <c r="T463">
        <v>5561996655915</v>
      </c>
      <c r="V463" t="s">
        <v>2910</v>
      </c>
      <c r="W463" t="s">
        <v>163</v>
      </c>
      <c r="X463" t="s">
        <v>299</v>
      </c>
      <c r="Y463" t="s">
        <v>189</v>
      </c>
      <c r="Z463" t="s">
        <v>190</v>
      </c>
      <c r="AA463" t="s">
        <v>2911</v>
      </c>
      <c r="AB463" t="s">
        <v>2912</v>
      </c>
      <c r="AC463" t="s">
        <v>534</v>
      </c>
      <c r="AF463" t="s">
        <v>352</v>
      </c>
      <c r="AG463" t="s">
        <v>195</v>
      </c>
      <c r="AH463" s="3">
        <v>251000</v>
      </c>
      <c r="AI463" s="3">
        <v>251000</v>
      </c>
      <c r="AJ463" s="1">
        <v>46086</v>
      </c>
      <c r="AN463" t="s">
        <v>172</v>
      </c>
      <c r="AR463" s="7" t="s">
        <v>2913</v>
      </c>
      <c r="AT463" t="s">
        <v>196</v>
      </c>
      <c r="AU463" t="s">
        <v>292</v>
      </c>
      <c r="AW463">
        <v>0</v>
      </c>
      <c r="AX463" s="1">
        <v>46064</v>
      </c>
      <c r="AY463" s="2">
        <v>0.50402777777777774</v>
      </c>
      <c r="AZ463">
        <v>187574</v>
      </c>
      <c r="BA463" s="1">
        <v>46057</v>
      </c>
      <c r="BC463" t="s">
        <v>0</v>
      </c>
      <c r="BD463" s="1">
        <v>46058</v>
      </c>
      <c r="BE463" t="s">
        <v>176</v>
      </c>
      <c r="BL463" s="4">
        <v>0</v>
      </c>
      <c r="BM463" s="1">
        <v>47031</v>
      </c>
      <c r="BN463" s="1">
        <v>46064</v>
      </c>
      <c r="BO463">
        <v>0</v>
      </c>
      <c r="BP463">
        <v>28238</v>
      </c>
      <c r="BQ463" t="s">
        <v>156</v>
      </c>
      <c r="BR463" s="3">
        <v>178630.67</v>
      </c>
      <c r="BS463" s="3">
        <v>3022</v>
      </c>
      <c r="BT463">
        <v>0</v>
      </c>
      <c r="BU463" s="3">
        <v>181652.67</v>
      </c>
      <c r="BV463" s="3">
        <v>251000</v>
      </c>
      <c r="BX463">
        <v>0</v>
      </c>
      <c r="BZ463">
        <v>0</v>
      </c>
      <c r="CA463">
        <v>0</v>
      </c>
      <c r="CB463">
        <v>0</v>
      </c>
      <c r="CC463" s="3">
        <v>251000</v>
      </c>
      <c r="CD463" s="5">
        <v>0</v>
      </c>
      <c r="CF463" s="6">
        <v>46054</v>
      </c>
      <c r="CH463">
        <v>0</v>
      </c>
      <c r="CI463">
        <v>0</v>
      </c>
      <c r="CJ463">
        <v>0</v>
      </c>
      <c r="CK463">
        <v>0</v>
      </c>
      <c r="CL463">
        <v>0</v>
      </c>
      <c r="CM463">
        <v>0</v>
      </c>
      <c r="CN463">
        <v>0</v>
      </c>
      <c r="CO463">
        <v>0</v>
      </c>
      <c r="CP463">
        <v>0</v>
      </c>
      <c r="CQ463">
        <v>0</v>
      </c>
      <c r="CR463">
        <v>0</v>
      </c>
      <c r="CS463" t="s">
        <v>305</v>
      </c>
      <c r="CT463" t="s">
        <v>190</v>
      </c>
      <c r="CU463" t="s">
        <v>2908</v>
      </c>
      <c r="CW463">
        <v>429.53590000000003</v>
      </c>
      <c r="CZ463" s="1">
        <v>46058</v>
      </c>
      <c r="DA463" t="s">
        <v>172</v>
      </c>
      <c r="DB463" t="s">
        <v>172</v>
      </c>
      <c r="DC463" t="s">
        <v>172</v>
      </c>
      <c r="DD463" t="s">
        <v>172</v>
      </c>
      <c r="DG463" s="1">
        <v>46058</v>
      </c>
      <c r="DH463">
        <v>0</v>
      </c>
      <c r="DI463">
        <v>0</v>
      </c>
      <c r="DL463" t="s">
        <v>963</v>
      </c>
      <c r="DM463" t="s">
        <v>172</v>
      </c>
      <c r="DN463" t="s">
        <v>225</v>
      </c>
      <c r="DP463" s="4">
        <v>1.2E-2</v>
      </c>
      <c r="DV463" s="3">
        <v>251000</v>
      </c>
      <c r="DW463">
        <v>0</v>
      </c>
      <c r="DX463" s="3">
        <v>251000</v>
      </c>
      <c r="DY463">
        <v>0</v>
      </c>
      <c r="EG463" s="1">
        <v>46062</v>
      </c>
      <c r="EN463" t="s">
        <v>156</v>
      </c>
      <c r="EP463" s="1">
        <v>46063</v>
      </c>
      <c r="ER463" s="1">
        <v>46062</v>
      </c>
      <c r="ES463" t="s">
        <v>2914</v>
      </c>
      <c r="EU463" s="1">
        <v>46062</v>
      </c>
      <c r="EW463" s="1">
        <v>46058</v>
      </c>
    </row>
    <row r="464" spans="1:153" ht="246.5" x14ac:dyDescent="0.35">
      <c r="A464" t="str">
        <f>HYPERLINK("https://7lm.cvcrm.com.br/gestor/comercial/reservas/6656/administrar","6656")</f>
        <v>6656</v>
      </c>
      <c r="B464" t="s">
        <v>156</v>
      </c>
      <c r="C464" s="1">
        <v>46058</v>
      </c>
      <c r="D464" s="2">
        <v>0.70510416666666664</v>
      </c>
      <c r="E464" t="s">
        <v>294</v>
      </c>
      <c r="F464" t="s">
        <v>1164</v>
      </c>
      <c r="G464" t="s">
        <v>203</v>
      </c>
      <c r="H464" t="s">
        <v>528</v>
      </c>
      <c r="I464" t="s">
        <v>1423</v>
      </c>
      <c r="J464">
        <v>1</v>
      </c>
      <c r="L464">
        <v>30001</v>
      </c>
      <c r="M464" t="s">
        <v>2915</v>
      </c>
      <c r="N464" s="1">
        <v>46064</v>
      </c>
      <c r="O464" s="2">
        <v>0.59505787037037039</v>
      </c>
      <c r="R464" t="str">
        <f>HYPERLINK("https://7lm.cvcrm.com.br/gestor/relatorios/associado/html?q[1|r.idreserva]=6656","MILLA CRISTHIAN RIBEIRO DE ASSIS")</f>
        <v>MILLA CRISTHIAN RIBEIRO DE ASSIS</v>
      </c>
      <c r="S464">
        <v>8662031170</v>
      </c>
      <c r="T464">
        <v>5561996500156</v>
      </c>
      <c r="V464" t="s">
        <v>2916</v>
      </c>
      <c r="W464" t="s">
        <v>187</v>
      </c>
      <c r="Y464" t="s">
        <v>189</v>
      </c>
      <c r="Z464" t="s">
        <v>190</v>
      </c>
      <c r="AA464" t="s">
        <v>980</v>
      </c>
      <c r="AB464" t="s">
        <v>2917</v>
      </c>
      <c r="AC464" t="s">
        <v>435</v>
      </c>
      <c r="AD464" t="s">
        <v>435</v>
      </c>
      <c r="AF464" t="s">
        <v>352</v>
      </c>
      <c r="AG464" t="s">
        <v>251</v>
      </c>
      <c r="AH464" s="3">
        <v>250001.61</v>
      </c>
      <c r="AI464" s="3">
        <v>250001.61</v>
      </c>
      <c r="AJ464" s="1">
        <v>46117</v>
      </c>
      <c r="AN464" t="s">
        <v>172</v>
      </c>
      <c r="AR464" s="7" t="s">
        <v>353</v>
      </c>
      <c r="AT464" t="s">
        <v>196</v>
      </c>
      <c r="AU464" t="s">
        <v>292</v>
      </c>
      <c r="AW464">
        <v>0</v>
      </c>
      <c r="AX464" s="1">
        <v>46072</v>
      </c>
      <c r="AY464" s="2">
        <v>0.72849537037037038</v>
      </c>
      <c r="AZ464">
        <v>187538</v>
      </c>
      <c r="BA464" s="1">
        <v>46057</v>
      </c>
      <c r="BC464" t="s">
        <v>0</v>
      </c>
      <c r="BD464" s="1">
        <v>46058</v>
      </c>
      <c r="BE464" t="s">
        <v>625</v>
      </c>
      <c r="BL464" s="4">
        <v>0</v>
      </c>
      <c r="BM464" s="1">
        <v>46416</v>
      </c>
      <c r="BN464" s="1">
        <v>46072</v>
      </c>
      <c r="BO464">
        <v>0</v>
      </c>
      <c r="BP464">
        <v>28217</v>
      </c>
      <c r="BQ464" t="s">
        <v>156</v>
      </c>
      <c r="BR464" s="3">
        <v>136096.22</v>
      </c>
      <c r="BS464" s="3">
        <v>24961</v>
      </c>
      <c r="BT464">
        <v>0</v>
      </c>
      <c r="BU464" s="3">
        <v>161057.22</v>
      </c>
      <c r="BV464" s="3">
        <v>250001.61</v>
      </c>
      <c r="BX464">
        <v>0</v>
      </c>
      <c r="BZ464">
        <v>0</v>
      </c>
      <c r="CA464">
        <v>0</v>
      </c>
      <c r="CB464">
        <v>0</v>
      </c>
      <c r="CC464" s="3">
        <v>250001.61</v>
      </c>
      <c r="CD464" s="5">
        <v>0</v>
      </c>
      <c r="CE464" t="s">
        <v>1170</v>
      </c>
      <c r="CF464" s="6">
        <v>46054</v>
      </c>
      <c r="CH464">
        <v>0</v>
      </c>
      <c r="CI464">
        <v>0</v>
      </c>
      <c r="CJ464">
        <v>0</v>
      </c>
      <c r="CK464">
        <v>0</v>
      </c>
      <c r="CL464">
        <v>0</v>
      </c>
      <c r="CM464">
        <v>0</v>
      </c>
      <c r="CN464">
        <v>0</v>
      </c>
      <c r="CO464">
        <v>0</v>
      </c>
      <c r="CP464">
        <v>0</v>
      </c>
      <c r="CQ464">
        <v>0</v>
      </c>
      <c r="CR464">
        <v>0</v>
      </c>
      <c r="CS464" t="s">
        <v>360</v>
      </c>
      <c r="CT464" t="s">
        <v>190</v>
      </c>
      <c r="CU464" t="s">
        <v>1423</v>
      </c>
      <c r="CW464">
        <v>0</v>
      </c>
      <c r="CX464" t="s">
        <v>194</v>
      </c>
      <c r="CZ464" s="1">
        <v>46058</v>
      </c>
      <c r="DA464" t="s">
        <v>172</v>
      </c>
      <c r="DB464" t="s">
        <v>172</v>
      </c>
      <c r="DC464" t="s">
        <v>172</v>
      </c>
      <c r="DD464" t="s">
        <v>172</v>
      </c>
      <c r="DG464" s="1">
        <v>46058</v>
      </c>
      <c r="DH464">
        <v>0</v>
      </c>
      <c r="DI464">
        <v>0</v>
      </c>
      <c r="DL464" t="s">
        <v>1171</v>
      </c>
      <c r="DM464" t="s">
        <v>172</v>
      </c>
      <c r="DN464" t="s">
        <v>201</v>
      </c>
      <c r="DV464" s="3">
        <v>250001.61</v>
      </c>
      <c r="DW464">
        <v>0</v>
      </c>
      <c r="DX464" s="3">
        <v>250001.61</v>
      </c>
      <c r="DY464">
        <v>0</v>
      </c>
      <c r="EF464" s="1">
        <v>46064</v>
      </c>
      <c r="EG464" s="1">
        <v>46062</v>
      </c>
      <c r="EK464" s="1">
        <v>46064</v>
      </c>
      <c r="EL464" s="1">
        <v>46064</v>
      </c>
      <c r="EN464" t="s">
        <v>156</v>
      </c>
      <c r="EP464" s="1">
        <v>46063</v>
      </c>
      <c r="ER464" s="1">
        <v>46062</v>
      </c>
      <c r="ES464" t="s">
        <v>2918</v>
      </c>
      <c r="ET464" t="s">
        <v>802</v>
      </c>
      <c r="EW464" s="1">
        <v>46058</v>
      </c>
    </row>
    <row r="465" spans="1:153" ht="246.5" x14ac:dyDescent="0.35">
      <c r="A465" t="str">
        <f>HYPERLINK("https://7lm.cvcrm.com.br/gestor/comercial/reservas/6655/administrar","6655")</f>
        <v>6655</v>
      </c>
      <c r="B465" t="s">
        <v>156</v>
      </c>
      <c r="C465" s="1">
        <v>46058</v>
      </c>
      <c r="D465" s="2">
        <v>0.66605324074074079</v>
      </c>
      <c r="E465" t="s">
        <v>294</v>
      </c>
      <c r="F465" t="s">
        <v>202</v>
      </c>
      <c r="G465" t="s">
        <v>203</v>
      </c>
      <c r="H465" t="s">
        <v>319</v>
      </c>
      <c r="I465" t="s">
        <v>2919</v>
      </c>
      <c r="J465">
        <v>1</v>
      </c>
      <c r="L465">
        <v>20031</v>
      </c>
      <c r="M465" t="s">
        <v>2920</v>
      </c>
      <c r="N465" s="1">
        <v>46064</v>
      </c>
      <c r="O465" s="2">
        <v>0.57318287037037041</v>
      </c>
      <c r="R465" t="str">
        <f>HYPERLINK("https://7lm.cvcrm.com.br/gestor/relatorios/associado/html?q[1|r.idreserva]=6655","THAYS MIKAELLY DE SOUSA COSTA")</f>
        <v>THAYS MIKAELLY DE SOUSA COSTA</v>
      </c>
      <c r="S465">
        <v>7901076194</v>
      </c>
      <c r="T465">
        <v>5561982088346</v>
      </c>
      <c r="V465" t="s">
        <v>2921</v>
      </c>
      <c r="W465" t="s">
        <v>187</v>
      </c>
      <c r="X465" t="s">
        <v>1765</v>
      </c>
      <c r="Y465" t="s">
        <v>189</v>
      </c>
      <c r="Z465" t="s">
        <v>214</v>
      </c>
      <c r="AA465" t="s">
        <v>2922</v>
      </c>
      <c r="AB465" t="s">
        <v>2923</v>
      </c>
      <c r="AC465" t="s">
        <v>2924</v>
      </c>
      <c r="AD465" t="s">
        <v>2924</v>
      </c>
      <c r="AF465" t="s">
        <v>212</v>
      </c>
      <c r="AG465" t="s">
        <v>195</v>
      </c>
      <c r="AH465" s="3">
        <v>209746.73</v>
      </c>
      <c r="AI465" s="3">
        <v>209746.73</v>
      </c>
      <c r="AJ465" s="1">
        <v>46117</v>
      </c>
      <c r="AN465" t="s">
        <v>172</v>
      </c>
      <c r="AR465" s="7" t="s">
        <v>353</v>
      </c>
      <c r="AT465" t="s">
        <v>196</v>
      </c>
      <c r="AU465" t="s">
        <v>175</v>
      </c>
      <c r="AW465">
        <v>0</v>
      </c>
      <c r="AX465" s="1">
        <v>46064</v>
      </c>
      <c r="AY465" s="2">
        <v>0.61120370370370369</v>
      </c>
      <c r="AZ465">
        <v>186801</v>
      </c>
      <c r="BA465" s="1">
        <v>46052</v>
      </c>
      <c r="BC465" t="s">
        <v>0</v>
      </c>
      <c r="BD465" s="1">
        <v>46058</v>
      </c>
      <c r="BE465" t="s">
        <v>317</v>
      </c>
      <c r="BL465" s="4">
        <v>0</v>
      </c>
      <c r="BM465" s="1">
        <v>46808</v>
      </c>
      <c r="BN465" s="1">
        <v>46064</v>
      </c>
      <c r="BO465">
        <v>0</v>
      </c>
      <c r="BP465">
        <v>28191</v>
      </c>
      <c r="BQ465" t="s">
        <v>156</v>
      </c>
      <c r="BR465" s="3">
        <v>126440.43</v>
      </c>
      <c r="BS465" s="3">
        <v>34264</v>
      </c>
      <c r="BT465">
        <v>0</v>
      </c>
      <c r="BU465" s="3">
        <v>160704.43</v>
      </c>
      <c r="BV465" s="3">
        <v>209746.73</v>
      </c>
      <c r="BX465">
        <v>0</v>
      </c>
      <c r="BZ465">
        <v>0</v>
      </c>
      <c r="CA465">
        <v>0</v>
      </c>
      <c r="CB465">
        <v>0</v>
      </c>
      <c r="CC465" s="3">
        <v>209746.73</v>
      </c>
      <c r="CD465" s="5">
        <v>0</v>
      </c>
      <c r="CF465" s="6">
        <v>46054</v>
      </c>
      <c r="CH465">
        <v>0</v>
      </c>
      <c r="CI465">
        <v>0</v>
      </c>
      <c r="CJ465">
        <v>0</v>
      </c>
      <c r="CK465">
        <v>0</v>
      </c>
      <c r="CL465">
        <v>0</v>
      </c>
      <c r="CM465">
        <v>0</v>
      </c>
      <c r="CN465">
        <v>0</v>
      </c>
      <c r="CO465">
        <v>0</v>
      </c>
      <c r="CP465">
        <v>0</v>
      </c>
      <c r="CQ465">
        <v>0</v>
      </c>
      <c r="CR465">
        <v>0</v>
      </c>
      <c r="CS465" t="s">
        <v>360</v>
      </c>
      <c r="CT465" t="s">
        <v>214</v>
      </c>
      <c r="CU465" t="s">
        <v>2919</v>
      </c>
      <c r="CW465">
        <v>342.94839999999999</v>
      </c>
      <c r="CZ465" s="1">
        <v>46058</v>
      </c>
      <c r="DA465" t="s">
        <v>172</v>
      </c>
      <c r="DB465" t="s">
        <v>172</v>
      </c>
      <c r="DC465" t="s">
        <v>172</v>
      </c>
      <c r="DD465" t="s">
        <v>172</v>
      </c>
      <c r="DG465" s="1">
        <v>46058</v>
      </c>
      <c r="DH465">
        <v>0</v>
      </c>
      <c r="DI465">
        <v>0</v>
      </c>
      <c r="DL465" t="s">
        <v>224</v>
      </c>
      <c r="DM465" t="s">
        <v>172</v>
      </c>
      <c r="DN465" t="s">
        <v>201</v>
      </c>
      <c r="DV465" s="3">
        <v>209746.73</v>
      </c>
      <c r="DW465">
        <v>0</v>
      </c>
      <c r="DX465" s="3">
        <v>209746.73</v>
      </c>
      <c r="DY465">
        <v>0</v>
      </c>
      <c r="EF465" s="1">
        <v>46064</v>
      </c>
      <c r="EG465" s="1">
        <v>46062</v>
      </c>
      <c r="EK465" s="1">
        <v>46064</v>
      </c>
      <c r="EM465" s="1">
        <v>46064</v>
      </c>
      <c r="EN465" t="s">
        <v>156</v>
      </c>
      <c r="EP465" s="1">
        <v>46063</v>
      </c>
      <c r="EU465" s="1">
        <v>46066</v>
      </c>
      <c r="EW465" s="1">
        <v>46058</v>
      </c>
    </row>
    <row r="466" spans="1:153" ht="246.5" x14ac:dyDescent="0.35">
      <c r="A466" t="str">
        <f>HYPERLINK("https://7lm.cvcrm.com.br/gestor/comercial/reservas/6654/administrar","6654")</f>
        <v>6654</v>
      </c>
      <c r="B466" t="s">
        <v>156</v>
      </c>
      <c r="C466" s="1">
        <v>46058</v>
      </c>
      <c r="D466" s="2">
        <v>0.59158564814814818</v>
      </c>
      <c r="E466" t="s">
        <v>294</v>
      </c>
      <c r="F466" t="s">
        <v>2451</v>
      </c>
      <c r="G466" t="s">
        <v>203</v>
      </c>
      <c r="H466" t="s">
        <v>217</v>
      </c>
      <c r="I466" t="s">
        <v>253</v>
      </c>
      <c r="J466">
        <v>1</v>
      </c>
      <c r="L466">
        <v>30061</v>
      </c>
      <c r="M466" t="s">
        <v>2925</v>
      </c>
      <c r="N466" s="1">
        <v>46104</v>
      </c>
      <c r="O466" s="2">
        <v>0.59087962962962959</v>
      </c>
      <c r="R466" t="str">
        <f>HYPERLINK("https://7lm.cvcrm.com.br/gestor/relatorios/associado/html?q[1|r.idreserva]=6654","KETLEY PEREIRA DE MATOS")</f>
        <v>KETLEY PEREIRA DE MATOS</v>
      </c>
      <c r="S466">
        <v>5826992158</v>
      </c>
      <c r="T466">
        <v>5562996812747</v>
      </c>
      <c r="V466" t="s">
        <v>2926</v>
      </c>
      <c r="W466" t="s">
        <v>187</v>
      </c>
      <c r="X466" t="s">
        <v>1609</v>
      </c>
      <c r="Y466" t="s">
        <v>189</v>
      </c>
      <c r="Z466" t="s">
        <v>190</v>
      </c>
      <c r="AA466" t="s">
        <v>1229</v>
      </c>
      <c r="AB466" t="s">
        <v>2927</v>
      </c>
      <c r="AC466" t="s">
        <v>435</v>
      </c>
      <c r="AD466" t="s">
        <v>435</v>
      </c>
      <c r="AF466" t="s">
        <v>352</v>
      </c>
      <c r="AG466" t="s">
        <v>251</v>
      </c>
      <c r="AH466" s="3">
        <v>245000.6</v>
      </c>
      <c r="AI466" s="3">
        <v>245000.6</v>
      </c>
      <c r="AJ466" s="1">
        <v>46086</v>
      </c>
      <c r="AN466" t="s">
        <v>172</v>
      </c>
      <c r="AR466" s="7" t="s">
        <v>353</v>
      </c>
      <c r="AT466" t="s">
        <v>196</v>
      </c>
      <c r="AU466" t="s">
        <v>292</v>
      </c>
      <c r="AW466">
        <v>0</v>
      </c>
      <c r="AX466" s="1">
        <v>46107</v>
      </c>
      <c r="AY466" s="2">
        <v>0.44920138888888889</v>
      </c>
      <c r="AZ466">
        <v>187186</v>
      </c>
      <c r="BA466" s="1">
        <v>46055</v>
      </c>
      <c r="BC466" t="s">
        <v>0</v>
      </c>
      <c r="BD466" s="1">
        <v>46058</v>
      </c>
      <c r="BE466" t="s">
        <v>625</v>
      </c>
      <c r="BL466" s="4">
        <v>0</v>
      </c>
      <c r="BM466" s="1">
        <v>46788</v>
      </c>
      <c r="BN466" s="1">
        <v>46107</v>
      </c>
      <c r="BO466">
        <v>0</v>
      </c>
      <c r="BP466">
        <v>28104</v>
      </c>
      <c r="BQ466" t="s">
        <v>156</v>
      </c>
      <c r="BR466">
        <v>0</v>
      </c>
      <c r="BS466">
        <v>0</v>
      </c>
      <c r="BT466">
        <v>0</v>
      </c>
      <c r="BU466">
        <v>0</v>
      </c>
      <c r="BV466" s="3">
        <v>245000.6</v>
      </c>
      <c r="BX466">
        <v>0</v>
      </c>
      <c r="BZ466">
        <v>0</v>
      </c>
      <c r="CA466">
        <v>0</v>
      </c>
      <c r="CB466">
        <v>0</v>
      </c>
      <c r="CC466" s="3">
        <v>245000.6</v>
      </c>
      <c r="CD466" s="5">
        <v>0</v>
      </c>
      <c r="CF466" s="6">
        <v>46082</v>
      </c>
      <c r="CH466">
        <v>0</v>
      </c>
      <c r="CI466">
        <v>0</v>
      </c>
      <c r="CJ466">
        <v>0</v>
      </c>
      <c r="CK466">
        <v>0</v>
      </c>
      <c r="CL466">
        <v>0</v>
      </c>
      <c r="CM466">
        <v>0</v>
      </c>
      <c r="CN466">
        <v>0</v>
      </c>
      <c r="CO466">
        <v>0</v>
      </c>
      <c r="CP466">
        <v>0</v>
      </c>
      <c r="CQ466">
        <v>0</v>
      </c>
      <c r="CR466">
        <v>0</v>
      </c>
      <c r="CS466" t="s">
        <v>199</v>
      </c>
      <c r="CT466" t="s">
        <v>190</v>
      </c>
      <c r="CU466" t="s">
        <v>253</v>
      </c>
      <c r="CW466">
        <v>-52.500900000000001</v>
      </c>
      <c r="CZ466" s="1">
        <v>46058</v>
      </c>
      <c r="DA466" t="s">
        <v>172</v>
      </c>
      <c r="DB466" t="s">
        <v>172</v>
      </c>
      <c r="DC466" t="s">
        <v>172</v>
      </c>
      <c r="DD466" t="s">
        <v>172</v>
      </c>
      <c r="DG466" s="1">
        <v>46058</v>
      </c>
      <c r="DH466">
        <v>0</v>
      </c>
      <c r="DI466">
        <v>0</v>
      </c>
      <c r="DL466" t="s">
        <v>200</v>
      </c>
      <c r="DM466" t="s">
        <v>172</v>
      </c>
      <c r="DN466" t="s">
        <v>225</v>
      </c>
      <c r="DV466" s="3">
        <v>245000.6</v>
      </c>
      <c r="DW466">
        <v>0</v>
      </c>
      <c r="DX466" s="3">
        <v>245000.6</v>
      </c>
      <c r="DY466">
        <v>0</v>
      </c>
      <c r="EF466" s="1">
        <v>46106</v>
      </c>
      <c r="EG466" s="1">
        <v>46104</v>
      </c>
      <c r="EH466" s="1">
        <v>46063</v>
      </c>
      <c r="EK466" s="1">
        <v>46106</v>
      </c>
      <c r="EL466" s="1">
        <v>46106</v>
      </c>
      <c r="EM466" s="1">
        <v>46065</v>
      </c>
      <c r="EN466" t="s">
        <v>156</v>
      </c>
      <c r="EP466" s="1">
        <v>46064</v>
      </c>
      <c r="ER466" s="1">
        <v>46064</v>
      </c>
      <c r="ES466" t="s">
        <v>2928</v>
      </c>
      <c r="ET466" t="s">
        <v>711</v>
      </c>
      <c r="EW466" s="1">
        <v>46058</v>
      </c>
    </row>
    <row r="467" spans="1:153" x14ac:dyDescent="0.35">
      <c r="A467" t="str">
        <f>HYPERLINK("https://7lm.cvcrm.com.br/gestor/comercial/reservas/6653/administrar","6653")</f>
        <v>6653</v>
      </c>
      <c r="B467" t="s">
        <v>156</v>
      </c>
      <c r="C467" s="1">
        <v>46058</v>
      </c>
      <c r="D467" s="2">
        <v>0.56159722222222219</v>
      </c>
      <c r="E467" t="s">
        <v>527</v>
      </c>
      <c r="F467" t="s">
        <v>202</v>
      </c>
      <c r="G467" t="s">
        <v>203</v>
      </c>
      <c r="H467" t="s">
        <v>306</v>
      </c>
      <c r="I467" t="s">
        <v>1165</v>
      </c>
      <c r="J467">
        <v>1</v>
      </c>
      <c r="L467">
        <v>20031</v>
      </c>
      <c r="M467" t="s">
        <v>2208</v>
      </c>
      <c r="N467" s="1">
        <v>46059</v>
      </c>
      <c r="O467" s="2">
        <v>0.73431712962962958</v>
      </c>
      <c r="R467" t="str">
        <f>HYPERLINK("https://7lm.cvcrm.com.br/gestor/relatorios/associado/html?q[1|r.idreserva]=6653","LARISSA ANDRESSA DE SOUZA WERNER")</f>
        <v>LARISSA ANDRESSA DE SOUZA WERNER</v>
      </c>
      <c r="S467">
        <v>5346933182</v>
      </c>
      <c r="T467">
        <v>5561981230236</v>
      </c>
      <c r="U467">
        <v>5561998523454</v>
      </c>
      <c r="V467" t="s">
        <v>2929</v>
      </c>
      <c r="W467" t="s">
        <v>187</v>
      </c>
      <c r="X467" t="s">
        <v>299</v>
      </c>
      <c r="Y467" t="s">
        <v>189</v>
      </c>
      <c r="Z467" t="s">
        <v>214</v>
      </c>
      <c r="AA467" t="s">
        <v>2930</v>
      </c>
      <c r="AB467" t="s">
        <v>2931</v>
      </c>
      <c r="AC467" t="s">
        <v>2559</v>
      </c>
      <c r="AF467" t="s">
        <v>399</v>
      </c>
      <c r="AG467" t="s">
        <v>195</v>
      </c>
      <c r="AH467" s="3">
        <v>228169.21</v>
      </c>
      <c r="AI467" s="3">
        <v>228169.21</v>
      </c>
      <c r="AJ467" s="1">
        <v>46096</v>
      </c>
      <c r="AN467" t="s">
        <v>172</v>
      </c>
      <c r="AO467" t="s">
        <v>535</v>
      </c>
      <c r="AR467" t="s">
        <v>2932</v>
      </c>
      <c r="AT467" t="s">
        <v>196</v>
      </c>
      <c r="AU467" t="s">
        <v>1073</v>
      </c>
      <c r="AW467">
        <v>0</v>
      </c>
      <c r="AX467" s="1">
        <v>46077</v>
      </c>
      <c r="AY467" s="2">
        <v>0.72008101851851847</v>
      </c>
      <c r="AZ467">
        <v>151121</v>
      </c>
      <c r="BA467" s="1">
        <v>45720</v>
      </c>
      <c r="BC467" t="s">
        <v>0</v>
      </c>
      <c r="BD467" s="1">
        <v>46058</v>
      </c>
      <c r="BE467" t="s">
        <v>317</v>
      </c>
      <c r="BL467" s="4">
        <v>0</v>
      </c>
      <c r="BM467" s="1">
        <v>46808</v>
      </c>
      <c r="BO467">
        <v>0</v>
      </c>
      <c r="BP467">
        <v>28011</v>
      </c>
      <c r="BQ467" t="s">
        <v>156</v>
      </c>
      <c r="BR467" s="3">
        <v>156439.82</v>
      </c>
      <c r="BS467" s="3">
        <v>15562</v>
      </c>
      <c r="BT467">
        <v>0</v>
      </c>
      <c r="BU467" s="3">
        <v>172001.82</v>
      </c>
      <c r="BV467" s="3">
        <v>228169.21</v>
      </c>
      <c r="BX467">
        <v>0</v>
      </c>
      <c r="BZ467">
        <v>0</v>
      </c>
      <c r="CA467">
        <v>0</v>
      </c>
      <c r="CB467">
        <v>0</v>
      </c>
      <c r="CC467" s="3">
        <v>228169.21</v>
      </c>
      <c r="CD467" s="5">
        <v>0</v>
      </c>
      <c r="CF467" s="6">
        <v>46054</v>
      </c>
      <c r="CH467">
        <v>0</v>
      </c>
      <c r="CI467">
        <v>0</v>
      </c>
      <c r="CJ467">
        <v>0</v>
      </c>
      <c r="CK467">
        <v>0</v>
      </c>
      <c r="CL467">
        <v>0</v>
      </c>
      <c r="CM467">
        <v>0</v>
      </c>
      <c r="CN467">
        <v>0</v>
      </c>
      <c r="CO467">
        <v>0</v>
      </c>
      <c r="CP467">
        <v>0</v>
      </c>
      <c r="CQ467">
        <v>0</v>
      </c>
      <c r="CR467">
        <v>0</v>
      </c>
      <c r="CS467" t="s">
        <v>2497</v>
      </c>
      <c r="CT467" t="s">
        <v>214</v>
      </c>
      <c r="CU467" t="s">
        <v>1165</v>
      </c>
      <c r="CW467">
        <v>381.36959999999999</v>
      </c>
      <c r="CZ467" s="1">
        <v>46058</v>
      </c>
      <c r="DA467" t="s">
        <v>172</v>
      </c>
      <c r="DB467" t="s">
        <v>172</v>
      </c>
      <c r="DC467" t="s">
        <v>172</v>
      </c>
      <c r="DD467" t="s">
        <v>172</v>
      </c>
      <c r="DG467" s="1">
        <v>46058</v>
      </c>
      <c r="DH467">
        <v>0</v>
      </c>
      <c r="DI467">
        <v>0</v>
      </c>
      <c r="DL467" t="s">
        <v>224</v>
      </c>
      <c r="DM467" t="s">
        <v>172</v>
      </c>
      <c r="DN467" t="s">
        <v>511</v>
      </c>
      <c r="DV467" s="3">
        <v>228169.21</v>
      </c>
      <c r="DW467">
        <v>0</v>
      </c>
      <c r="DX467" s="3">
        <v>228169.21</v>
      </c>
      <c r="DY467">
        <v>0</v>
      </c>
      <c r="EN467" t="s">
        <v>537</v>
      </c>
      <c r="EU467" s="1">
        <v>46066</v>
      </c>
      <c r="EW467" s="1">
        <v>46058</v>
      </c>
    </row>
    <row r="468" spans="1:153" ht="409.5" x14ac:dyDescent="0.35">
      <c r="A468" t="str">
        <f>HYPERLINK("https://7lm.cvcrm.com.br/gestor/comercial/reservas/6652/administrar","6652")</f>
        <v>6652</v>
      </c>
      <c r="B468" t="s">
        <v>156</v>
      </c>
      <c r="C468" s="1">
        <v>46058</v>
      </c>
      <c r="D468" s="2">
        <v>0.52142361111111113</v>
      </c>
      <c r="E468" t="s">
        <v>1310</v>
      </c>
      <c r="F468" t="s">
        <v>202</v>
      </c>
      <c r="G468" t="s">
        <v>203</v>
      </c>
      <c r="H468" t="s">
        <v>319</v>
      </c>
      <c r="I468" t="s">
        <v>666</v>
      </c>
      <c r="J468">
        <v>1</v>
      </c>
      <c r="K468">
        <v>8190</v>
      </c>
      <c r="L468">
        <v>20031</v>
      </c>
      <c r="M468" t="s">
        <v>667</v>
      </c>
      <c r="N468" s="1">
        <v>46083</v>
      </c>
      <c r="O468" s="2">
        <v>0.61487268518518523</v>
      </c>
      <c r="R468" t="str">
        <f>HYPERLINK("https://7lm.cvcrm.com.br/gestor/relatorios/associado/html?q[1|r.idreserva]=6652","VIVIAN CRISTINA DE SANT ANA SILVA")</f>
        <v>VIVIAN CRISTINA DE SANT ANA SILVA</v>
      </c>
      <c r="S468">
        <v>3973203105</v>
      </c>
      <c r="T468">
        <v>5561995366977</v>
      </c>
      <c r="V468" t="s">
        <v>2933</v>
      </c>
      <c r="W468" t="s">
        <v>187</v>
      </c>
      <c r="X468" t="s">
        <v>521</v>
      </c>
      <c r="Y468" t="s">
        <v>165</v>
      </c>
      <c r="Z468" t="s">
        <v>385</v>
      </c>
      <c r="AA468" t="s">
        <v>783</v>
      </c>
      <c r="AB468" t="s">
        <v>2934</v>
      </c>
      <c r="AC468" t="s">
        <v>1466</v>
      </c>
      <c r="AF468" t="s">
        <v>413</v>
      </c>
      <c r="AG468" t="s">
        <v>195</v>
      </c>
      <c r="AH468" s="3">
        <v>210666.12</v>
      </c>
      <c r="AI468" s="3">
        <v>210666.12</v>
      </c>
      <c r="AJ468" s="1">
        <v>46127</v>
      </c>
      <c r="AN468" t="s">
        <v>172</v>
      </c>
      <c r="AR468" s="7" t="s">
        <v>2935</v>
      </c>
      <c r="AT468" t="s">
        <v>196</v>
      </c>
      <c r="AU468" t="s">
        <v>316</v>
      </c>
      <c r="AW468">
        <v>0</v>
      </c>
      <c r="AX468" s="1">
        <v>46157</v>
      </c>
      <c r="AY468" s="2">
        <v>0.69084490740740745</v>
      </c>
      <c r="AZ468">
        <v>187491</v>
      </c>
      <c r="BA468" s="1">
        <v>46057</v>
      </c>
      <c r="BC468" t="s">
        <v>0</v>
      </c>
      <c r="BD468" s="1">
        <v>46058</v>
      </c>
      <c r="BE468" t="s">
        <v>317</v>
      </c>
      <c r="BL468" s="4">
        <v>0</v>
      </c>
      <c r="BM468" s="1">
        <v>46808</v>
      </c>
      <c r="BN468" s="1">
        <v>46079</v>
      </c>
      <c r="BO468">
        <v>0</v>
      </c>
      <c r="BP468">
        <v>28224</v>
      </c>
      <c r="BQ468" t="s">
        <v>156</v>
      </c>
      <c r="BR468" s="3">
        <v>98866.04</v>
      </c>
      <c r="BS468" s="3">
        <v>55000</v>
      </c>
      <c r="BT468">
        <v>0</v>
      </c>
      <c r="BU468" s="3">
        <v>153866.04</v>
      </c>
      <c r="BV468" s="3">
        <v>210666.12</v>
      </c>
      <c r="BX468">
        <v>0</v>
      </c>
      <c r="BZ468">
        <v>0</v>
      </c>
      <c r="CA468">
        <v>0</v>
      </c>
      <c r="CB468">
        <v>0</v>
      </c>
      <c r="CC468" s="3">
        <v>210666.12</v>
      </c>
      <c r="CD468" s="5">
        <v>0</v>
      </c>
      <c r="CF468" s="6">
        <v>46054</v>
      </c>
      <c r="CH468">
        <v>0</v>
      </c>
      <c r="CI468">
        <v>0</v>
      </c>
      <c r="CJ468">
        <v>0</v>
      </c>
      <c r="CK468">
        <v>0</v>
      </c>
      <c r="CL468">
        <v>0</v>
      </c>
      <c r="CM468">
        <v>0</v>
      </c>
      <c r="CN468">
        <v>0</v>
      </c>
      <c r="CO468">
        <v>0</v>
      </c>
      <c r="CP468">
        <v>0</v>
      </c>
      <c r="CQ468">
        <v>0</v>
      </c>
      <c r="CR468">
        <v>0</v>
      </c>
      <c r="CS468" t="s">
        <v>360</v>
      </c>
      <c r="CT468" t="s">
        <v>214</v>
      </c>
      <c r="CU468" t="s">
        <v>666</v>
      </c>
      <c r="CW468">
        <v>-54.594299999999997</v>
      </c>
      <c r="CZ468" s="1">
        <v>46058</v>
      </c>
      <c r="DA468" t="s">
        <v>172</v>
      </c>
      <c r="DB468" t="s">
        <v>172</v>
      </c>
      <c r="DC468" t="s">
        <v>172</v>
      </c>
      <c r="DD468" t="s">
        <v>172</v>
      </c>
      <c r="DG468" s="1">
        <v>46058</v>
      </c>
      <c r="DH468">
        <v>0</v>
      </c>
      <c r="DI468">
        <v>0</v>
      </c>
      <c r="DL468" t="s">
        <v>224</v>
      </c>
      <c r="DM468" t="s">
        <v>172</v>
      </c>
      <c r="DN468" t="s">
        <v>201</v>
      </c>
      <c r="DV468" s="3">
        <v>210666.12</v>
      </c>
      <c r="DW468">
        <v>0</v>
      </c>
      <c r="DX468" s="3">
        <v>210666.12</v>
      </c>
      <c r="DY468">
        <v>0</v>
      </c>
      <c r="EF468" s="1">
        <v>46083</v>
      </c>
      <c r="EG468" s="1">
        <v>46078</v>
      </c>
      <c r="EK468" s="1">
        <v>46083</v>
      </c>
      <c r="EM468" s="1">
        <v>46062</v>
      </c>
      <c r="EN468" t="s">
        <v>537</v>
      </c>
      <c r="EP468" s="1">
        <v>46059</v>
      </c>
      <c r="ET468" t="s">
        <v>1074</v>
      </c>
      <c r="EU468" s="1">
        <v>46078</v>
      </c>
      <c r="EW468" s="1">
        <v>46058</v>
      </c>
    </row>
    <row r="469" spans="1:153" ht="246.5" x14ac:dyDescent="0.35">
      <c r="A469" t="str">
        <f>HYPERLINK("https://7lm.cvcrm.com.br/gestor/comercial/reservas/6651/administrar","6651")</f>
        <v>6651</v>
      </c>
      <c r="B469" t="s">
        <v>156</v>
      </c>
      <c r="C469" s="1">
        <v>46057</v>
      </c>
      <c r="D469" s="2">
        <v>0.97606481481481477</v>
      </c>
      <c r="E469" t="s">
        <v>294</v>
      </c>
      <c r="F469" t="s">
        <v>458</v>
      </c>
      <c r="G469" t="s">
        <v>203</v>
      </c>
      <c r="H469" t="s">
        <v>2553</v>
      </c>
      <c r="I469" t="s">
        <v>1448</v>
      </c>
      <c r="J469">
        <v>1</v>
      </c>
      <c r="K469">
        <v>8115</v>
      </c>
      <c r="L469">
        <v>20001</v>
      </c>
      <c r="M469" t="s">
        <v>2936</v>
      </c>
      <c r="N469" s="1">
        <v>46062</v>
      </c>
      <c r="O469" s="2">
        <v>0.50659722222222225</v>
      </c>
      <c r="R469" t="str">
        <f>HYPERLINK("https://7lm.cvcrm.com.br/gestor/relatorios/associado/html?q[1|r.idreserva]=6651","LAYANE BEATRIZ FERREIRA DE OLIVEIRA")</f>
        <v>LAYANE BEATRIZ FERREIRA DE OLIVEIRA</v>
      </c>
      <c r="S469">
        <v>70907467121</v>
      </c>
      <c r="T469">
        <v>5561994167366</v>
      </c>
      <c r="V469" t="s">
        <v>2937</v>
      </c>
      <c r="W469" t="s">
        <v>187</v>
      </c>
      <c r="X469" t="s">
        <v>492</v>
      </c>
      <c r="Y469" t="s">
        <v>189</v>
      </c>
      <c r="Z469" t="s">
        <v>214</v>
      </c>
      <c r="AA469" t="s">
        <v>471</v>
      </c>
      <c r="AB469" t="s">
        <v>2938</v>
      </c>
      <c r="AC469" t="s">
        <v>568</v>
      </c>
      <c r="AF469" t="s">
        <v>389</v>
      </c>
      <c r="AG469" t="s">
        <v>195</v>
      </c>
      <c r="AH469" s="3">
        <v>232000</v>
      </c>
      <c r="AI469" s="3">
        <v>232000</v>
      </c>
      <c r="AJ469" s="1">
        <v>46072</v>
      </c>
      <c r="AN469" t="s">
        <v>172</v>
      </c>
      <c r="AR469" s="7" t="s">
        <v>353</v>
      </c>
      <c r="AT469" t="s">
        <v>196</v>
      </c>
      <c r="AU469" t="s">
        <v>292</v>
      </c>
      <c r="AW469">
        <v>0</v>
      </c>
      <c r="AX469" s="1">
        <v>46064</v>
      </c>
      <c r="AY469" s="2">
        <v>0.61636574074074069</v>
      </c>
      <c r="AZ469">
        <v>187181</v>
      </c>
      <c r="BA469" s="1">
        <v>46055</v>
      </c>
      <c r="BC469" t="s">
        <v>275</v>
      </c>
      <c r="BD469" s="1">
        <v>46093</v>
      </c>
      <c r="BE469" t="s">
        <v>198</v>
      </c>
      <c r="BL469" s="4">
        <v>0</v>
      </c>
      <c r="BM469" s="1">
        <v>46572</v>
      </c>
      <c r="BN469" s="1">
        <v>46064</v>
      </c>
      <c r="BO469">
        <v>0</v>
      </c>
      <c r="BP469">
        <v>28121</v>
      </c>
      <c r="BQ469" t="s">
        <v>156</v>
      </c>
      <c r="BR469" s="3">
        <v>137117.70000000001</v>
      </c>
      <c r="BS469" s="3">
        <v>26213</v>
      </c>
      <c r="BT469">
        <v>0</v>
      </c>
      <c r="BU469" s="3">
        <v>163330.70000000001</v>
      </c>
      <c r="BV469" s="3">
        <v>232000</v>
      </c>
      <c r="BX469">
        <v>0</v>
      </c>
      <c r="BZ469">
        <v>0</v>
      </c>
      <c r="CA469">
        <v>0</v>
      </c>
      <c r="CB469">
        <v>0</v>
      </c>
      <c r="CC469" s="3">
        <v>232000</v>
      </c>
      <c r="CD469" s="5">
        <v>0</v>
      </c>
      <c r="CE469" t="s">
        <v>467</v>
      </c>
      <c r="CF469" s="6">
        <v>46054</v>
      </c>
      <c r="CH469">
        <v>0</v>
      </c>
      <c r="CI469">
        <v>0</v>
      </c>
      <c r="CJ469">
        <v>0</v>
      </c>
      <c r="CK469">
        <v>0</v>
      </c>
      <c r="CL469">
        <v>0</v>
      </c>
      <c r="CM469">
        <v>0</v>
      </c>
      <c r="CN469">
        <v>0</v>
      </c>
      <c r="CO469">
        <v>0</v>
      </c>
      <c r="CP469">
        <v>0</v>
      </c>
      <c r="CQ469">
        <v>0</v>
      </c>
      <c r="CR469">
        <v>0</v>
      </c>
      <c r="CS469" t="s">
        <v>649</v>
      </c>
      <c r="CT469" t="s">
        <v>214</v>
      </c>
      <c r="CU469" t="s">
        <v>1448</v>
      </c>
      <c r="CW469">
        <v>421.3725</v>
      </c>
      <c r="CZ469" s="1">
        <v>46057</v>
      </c>
      <c r="DA469" t="s">
        <v>172</v>
      </c>
      <c r="DB469" t="s">
        <v>172</v>
      </c>
      <c r="DC469" t="s">
        <v>172</v>
      </c>
      <c r="DD469" t="s">
        <v>172</v>
      </c>
      <c r="DG469" s="1">
        <v>46057</v>
      </c>
      <c r="DH469">
        <v>0</v>
      </c>
      <c r="DI469">
        <v>0</v>
      </c>
      <c r="DJ469" s="1">
        <v>46063</v>
      </c>
      <c r="DL469" t="s">
        <v>200</v>
      </c>
      <c r="DM469" t="s">
        <v>172</v>
      </c>
      <c r="DN469" t="s">
        <v>201</v>
      </c>
      <c r="DV469" s="3">
        <v>232000</v>
      </c>
      <c r="DW469">
        <v>0</v>
      </c>
      <c r="DX469" s="3">
        <v>232000</v>
      </c>
      <c r="DY469">
        <v>0</v>
      </c>
      <c r="EF469" s="1">
        <v>46063</v>
      </c>
      <c r="EG469" s="1">
        <v>46059</v>
      </c>
      <c r="EK469" s="1">
        <v>46063</v>
      </c>
      <c r="EN469" t="s">
        <v>156</v>
      </c>
      <c r="EU469" s="1">
        <v>46064</v>
      </c>
      <c r="EW469" s="1">
        <v>46058</v>
      </c>
    </row>
    <row r="470" spans="1:153" x14ac:dyDescent="0.35">
      <c r="A470" t="str">
        <f>HYPERLINK("https://7lm.cvcrm.com.br/gestor/comercial/reservas/6650/administrar","6650")</f>
        <v>6650</v>
      </c>
      <c r="B470" t="s">
        <v>172</v>
      </c>
      <c r="C470" s="1">
        <v>46057</v>
      </c>
      <c r="D470" s="2">
        <v>0.80248842592592595</v>
      </c>
      <c r="E470" t="s">
        <v>527</v>
      </c>
      <c r="F470" t="s">
        <v>202</v>
      </c>
      <c r="G470" t="s">
        <v>203</v>
      </c>
      <c r="H470" t="s">
        <v>306</v>
      </c>
      <c r="I470" t="s">
        <v>1793</v>
      </c>
      <c r="J470">
        <v>1</v>
      </c>
      <c r="L470">
        <v>20031</v>
      </c>
      <c r="M470" t="s">
        <v>2135</v>
      </c>
      <c r="R470" t="str">
        <f>HYPERLINK("https://7lm.cvcrm.com.br/gestor/relatorios/associado/html?q[1|r.idreserva]=6650","LARISSA CAUANE RODRIGUES OLIVEIRA")</f>
        <v>LARISSA CAUANE RODRIGUES OLIVEIRA</v>
      </c>
      <c r="S470">
        <v>4938845130</v>
      </c>
      <c r="T470">
        <v>5561983110366</v>
      </c>
      <c r="V470" t="s">
        <v>2939</v>
      </c>
      <c r="W470" t="s">
        <v>163</v>
      </c>
      <c r="X470" t="s">
        <v>521</v>
      </c>
      <c r="Y470" t="s">
        <v>189</v>
      </c>
      <c r="Z470" t="s">
        <v>214</v>
      </c>
      <c r="AA470" t="s">
        <v>2940</v>
      </c>
      <c r="AB470" t="s">
        <v>2941</v>
      </c>
      <c r="AC470" t="s">
        <v>2942</v>
      </c>
      <c r="AF470" t="s">
        <v>634</v>
      </c>
      <c r="AG470" t="s">
        <v>195</v>
      </c>
      <c r="AH470" s="3">
        <v>209000</v>
      </c>
      <c r="AI470" s="3">
        <v>209000</v>
      </c>
      <c r="AJ470" s="1">
        <v>46086</v>
      </c>
      <c r="AN470" t="s">
        <v>172</v>
      </c>
      <c r="AO470" t="s">
        <v>816</v>
      </c>
      <c r="AR470" t="s">
        <v>2943</v>
      </c>
      <c r="AT470" t="s">
        <v>196</v>
      </c>
      <c r="AU470" t="s">
        <v>316</v>
      </c>
      <c r="AW470">
        <v>0</v>
      </c>
      <c r="AX470" s="1">
        <v>46066</v>
      </c>
      <c r="AY470" s="2">
        <v>0.49592592592592594</v>
      </c>
      <c r="AZ470">
        <v>186751</v>
      </c>
      <c r="BA470" s="1">
        <v>46051</v>
      </c>
      <c r="BC470" t="s">
        <v>0</v>
      </c>
      <c r="BD470" s="1">
        <v>46057</v>
      </c>
      <c r="BE470" t="s">
        <v>276</v>
      </c>
      <c r="BL470" s="4">
        <v>0</v>
      </c>
      <c r="BM470" s="1">
        <v>46808</v>
      </c>
      <c r="BO470">
        <v>0</v>
      </c>
      <c r="BP470">
        <v>28052</v>
      </c>
      <c r="BQ470" t="s">
        <v>156</v>
      </c>
      <c r="BR470" s="3">
        <v>86169.09</v>
      </c>
      <c r="BS470" s="3">
        <v>55000</v>
      </c>
      <c r="BT470">
        <v>0</v>
      </c>
      <c r="BU470" s="3">
        <v>141169.09</v>
      </c>
      <c r="BV470" s="3">
        <v>209000</v>
      </c>
      <c r="BX470">
        <v>0</v>
      </c>
      <c r="BZ470">
        <v>0</v>
      </c>
      <c r="CA470">
        <v>0</v>
      </c>
      <c r="CB470">
        <v>0</v>
      </c>
      <c r="CC470" s="3">
        <v>209000</v>
      </c>
      <c r="CD470" s="5">
        <v>0</v>
      </c>
      <c r="CF470" s="6">
        <v>46054</v>
      </c>
      <c r="CH470">
        <v>0</v>
      </c>
      <c r="CI470">
        <v>0</v>
      </c>
      <c r="CJ470">
        <v>0</v>
      </c>
      <c r="CK470">
        <v>0</v>
      </c>
      <c r="CL470">
        <v>0</v>
      </c>
      <c r="CM470">
        <v>0</v>
      </c>
      <c r="CN470">
        <v>0</v>
      </c>
      <c r="CO470">
        <v>0</v>
      </c>
      <c r="CP470">
        <v>0</v>
      </c>
      <c r="CQ470">
        <v>0</v>
      </c>
      <c r="CR470">
        <v>0</v>
      </c>
      <c r="CT470" t="s">
        <v>214</v>
      </c>
      <c r="CU470" t="s">
        <v>1793</v>
      </c>
      <c r="CW470">
        <v>0</v>
      </c>
      <c r="CZ470" s="1">
        <v>46057</v>
      </c>
      <c r="DA470" t="s">
        <v>172</v>
      </c>
      <c r="DB470" t="s">
        <v>172</v>
      </c>
      <c r="DC470" t="s">
        <v>172</v>
      </c>
      <c r="DD470" t="s">
        <v>172</v>
      </c>
      <c r="DG470" s="1">
        <v>46057</v>
      </c>
      <c r="DH470">
        <v>0</v>
      </c>
      <c r="DI470">
        <v>0</v>
      </c>
      <c r="DL470" t="s">
        <v>215</v>
      </c>
      <c r="DM470" t="s">
        <v>172</v>
      </c>
      <c r="DN470" t="s">
        <v>201</v>
      </c>
      <c r="DU470" t="s">
        <v>318</v>
      </c>
      <c r="DV470" s="3">
        <v>266400</v>
      </c>
      <c r="DW470">
        <v>-56.04</v>
      </c>
      <c r="DX470" s="3">
        <v>266400</v>
      </c>
      <c r="DY470">
        <v>-56.04</v>
      </c>
      <c r="EN470" t="s">
        <v>537</v>
      </c>
      <c r="EW470" s="1">
        <v>46057</v>
      </c>
    </row>
    <row r="471" spans="1:153" ht="246.5" x14ac:dyDescent="0.35">
      <c r="A471" t="str">
        <f>HYPERLINK("https://7lm.cvcrm.com.br/gestor/comercial/reservas/6649/administrar","6649")</f>
        <v>6649</v>
      </c>
      <c r="B471" t="s">
        <v>156</v>
      </c>
      <c r="C471" s="1">
        <v>46057</v>
      </c>
      <c r="D471" s="2">
        <v>0.63680555555555551</v>
      </c>
      <c r="E471" t="s">
        <v>294</v>
      </c>
      <c r="F471" t="s">
        <v>957</v>
      </c>
      <c r="G471" t="s">
        <v>159</v>
      </c>
      <c r="H471" t="s">
        <v>2083</v>
      </c>
      <c r="I471" t="s">
        <v>2944</v>
      </c>
      <c r="J471">
        <v>1</v>
      </c>
      <c r="L471">
        <v>30121</v>
      </c>
      <c r="M471" t="s">
        <v>2945</v>
      </c>
      <c r="N471" s="1">
        <v>46062</v>
      </c>
      <c r="O471" s="2">
        <v>0.44092592592592594</v>
      </c>
      <c r="R471" t="str">
        <f>HYPERLINK("https://7lm.cvcrm.com.br/gestor/relatorios/associado/html?q[1|r.idreserva]=6649","ANA JULIA SANTOS BORGES")</f>
        <v>ANA JULIA SANTOS BORGES</v>
      </c>
      <c r="S471">
        <v>9047946103</v>
      </c>
      <c r="T471">
        <v>5561998819275</v>
      </c>
      <c r="V471" t="s">
        <v>2946</v>
      </c>
      <c r="W471" t="s">
        <v>187</v>
      </c>
      <c r="X471" t="s">
        <v>299</v>
      </c>
      <c r="Y471" t="s">
        <v>189</v>
      </c>
      <c r="Z471" t="s">
        <v>190</v>
      </c>
      <c r="AA471" t="s">
        <v>1621</v>
      </c>
      <c r="AB471" t="s">
        <v>2947</v>
      </c>
      <c r="AC471" t="s">
        <v>302</v>
      </c>
      <c r="AD471" t="s">
        <v>302</v>
      </c>
      <c r="AF471" t="s">
        <v>303</v>
      </c>
      <c r="AG471" t="s">
        <v>251</v>
      </c>
      <c r="AH471" s="3">
        <v>244932.84</v>
      </c>
      <c r="AI471" s="3">
        <v>244932.84</v>
      </c>
      <c r="AJ471" s="1">
        <v>46127</v>
      </c>
      <c r="AN471" t="s">
        <v>172</v>
      </c>
      <c r="AR471" s="7" t="s">
        <v>353</v>
      </c>
      <c r="AT471" t="s">
        <v>1350</v>
      </c>
      <c r="AU471" t="s">
        <v>292</v>
      </c>
      <c r="AW471">
        <v>0</v>
      </c>
      <c r="AX471" s="1">
        <v>46064</v>
      </c>
      <c r="AY471" s="2">
        <v>0.58454861111111112</v>
      </c>
      <c r="AZ471">
        <v>187131</v>
      </c>
      <c r="BA471" s="1">
        <v>46054</v>
      </c>
      <c r="BC471" t="s">
        <v>0</v>
      </c>
      <c r="BD471" s="1">
        <v>46057</v>
      </c>
      <c r="BE471" t="s">
        <v>198</v>
      </c>
      <c r="BL471" s="4">
        <v>0</v>
      </c>
      <c r="BM471" s="1">
        <v>47031</v>
      </c>
      <c r="BN471" s="1">
        <v>46064</v>
      </c>
      <c r="BO471">
        <v>0</v>
      </c>
      <c r="BP471">
        <v>28183</v>
      </c>
      <c r="BQ471" t="s">
        <v>156</v>
      </c>
      <c r="BR471" s="3">
        <v>134341.45000000001</v>
      </c>
      <c r="BS471" s="3">
        <v>26115</v>
      </c>
      <c r="BT471">
        <v>0</v>
      </c>
      <c r="BU471" s="3">
        <v>160456.45000000001</v>
      </c>
      <c r="BV471" s="3">
        <v>244932.84</v>
      </c>
      <c r="BX471">
        <v>0</v>
      </c>
      <c r="BZ471">
        <v>0</v>
      </c>
      <c r="CA471">
        <v>0</v>
      </c>
      <c r="CB471">
        <v>0</v>
      </c>
      <c r="CC471" s="3">
        <v>244932.84</v>
      </c>
      <c r="CD471" s="5">
        <v>0</v>
      </c>
      <c r="CF471" s="6">
        <v>46054</v>
      </c>
      <c r="CH471">
        <v>0</v>
      </c>
      <c r="CI471">
        <v>0</v>
      </c>
      <c r="CJ471">
        <v>0</v>
      </c>
      <c r="CK471">
        <v>0</v>
      </c>
      <c r="CL471">
        <v>0</v>
      </c>
      <c r="CM471">
        <v>0</v>
      </c>
      <c r="CN471">
        <v>0</v>
      </c>
      <c r="CO471">
        <v>0</v>
      </c>
      <c r="CP471">
        <v>0</v>
      </c>
      <c r="CQ471">
        <v>0</v>
      </c>
      <c r="CR471">
        <v>0</v>
      </c>
      <c r="CS471" t="s">
        <v>360</v>
      </c>
      <c r="CT471" t="s">
        <v>190</v>
      </c>
      <c r="CU471" t="s">
        <v>2944</v>
      </c>
      <c r="CW471">
        <v>464.60989999999998</v>
      </c>
      <c r="CZ471" s="1">
        <v>46057</v>
      </c>
      <c r="DA471" t="s">
        <v>172</v>
      </c>
      <c r="DB471" t="s">
        <v>172</v>
      </c>
      <c r="DC471" t="s">
        <v>172</v>
      </c>
      <c r="DD471" t="s">
        <v>172</v>
      </c>
      <c r="DG471" s="1">
        <v>46057</v>
      </c>
      <c r="DH471">
        <v>0</v>
      </c>
      <c r="DI471">
        <v>0</v>
      </c>
      <c r="DL471" t="s">
        <v>963</v>
      </c>
      <c r="DM471" t="s">
        <v>172</v>
      </c>
      <c r="DN471" t="s">
        <v>201</v>
      </c>
      <c r="DV471" s="3">
        <v>244932.84</v>
      </c>
      <c r="DW471">
        <v>0</v>
      </c>
      <c r="DX471" s="3">
        <v>244932.84</v>
      </c>
      <c r="DY471">
        <v>0</v>
      </c>
      <c r="EF471" s="1">
        <v>46062</v>
      </c>
      <c r="EG471" s="1">
        <v>46058</v>
      </c>
      <c r="EK471" s="1">
        <v>46062</v>
      </c>
      <c r="EL471" s="1">
        <v>46062</v>
      </c>
      <c r="EN471" t="s">
        <v>156</v>
      </c>
      <c r="EP471" s="1">
        <v>46062</v>
      </c>
      <c r="ES471" t="s">
        <v>2948</v>
      </c>
      <c r="EU471" s="1">
        <v>46062</v>
      </c>
      <c r="EW471" s="1">
        <v>46057</v>
      </c>
    </row>
    <row r="472" spans="1:153" ht="261" x14ac:dyDescent="0.35">
      <c r="A472" t="str">
        <f>HYPERLINK("https://7lm.cvcrm.com.br/gestor/comercial/reservas/6648/administrar","6648")</f>
        <v>6648</v>
      </c>
      <c r="B472" t="s">
        <v>156</v>
      </c>
      <c r="C472" s="1">
        <v>46057</v>
      </c>
      <c r="D472" s="2">
        <v>0.57780092592592591</v>
      </c>
      <c r="E472" t="s">
        <v>294</v>
      </c>
      <c r="F472" t="s">
        <v>957</v>
      </c>
      <c r="G472" t="s">
        <v>159</v>
      </c>
      <c r="H472" t="s">
        <v>241</v>
      </c>
      <c r="I472" t="s">
        <v>2211</v>
      </c>
      <c r="J472">
        <v>1</v>
      </c>
      <c r="L472">
        <v>30121</v>
      </c>
      <c r="M472" t="s">
        <v>2949</v>
      </c>
      <c r="N472" s="1">
        <v>46060</v>
      </c>
      <c r="O472" s="2">
        <v>0.41475694444444444</v>
      </c>
      <c r="R472" t="str">
        <f>HYPERLINK("https://7lm.cvcrm.com.br/gestor/relatorios/associado/html?q[1|r.idreserva]=6648","DANIEL LUCAS VIEIRA DE SOUSA")</f>
        <v>DANIEL LUCAS VIEIRA DE SOUSA</v>
      </c>
      <c r="S472">
        <v>71387599160</v>
      </c>
      <c r="T472">
        <v>5561999284396</v>
      </c>
      <c r="V472" t="s">
        <v>2950</v>
      </c>
      <c r="W472" t="s">
        <v>163</v>
      </c>
      <c r="X472" t="s">
        <v>366</v>
      </c>
      <c r="Y472" t="s">
        <v>189</v>
      </c>
      <c r="Z472" t="s">
        <v>190</v>
      </c>
      <c r="AA472" t="s">
        <v>2469</v>
      </c>
      <c r="AB472" t="s">
        <v>2951</v>
      </c>
      <c r="AC472" t="s">
        <v>665</v>
      </c>
      <c r="AD472" t="s">
        <v>665</v>
      </c>
      <c r="AF472" t="s">
        <v>250</v>
      </c>
      <c r="AG472" t="s">
        <v>251</v>
      </c>
      <c r="AH472" s="3">
        <v>258530.4</v>
      </c>
      <c r="AI472" s="3">
        <v>258530.4</v>
      </c>
      <c r="AJ472" s="1">
        <v>46085</v>
      </c>
      <c r="AN472" t="s">
        <v>172</v>
      </c>
      <c r="AR472" s="7" t="s">
        <v>2833</v>
      </c>
      <c r="AU472" t="s">
        <v>175</v>
      </c>
      <c r="AW472">
        <v>0</v>
      </c>
      <c r="AX472" s="1">
        <v>46066</v>
      </c>
      <c r="AY472" s="2">
        <v>0.66527777777777775</v>
      </c>
      <c r="AZ472">
        <v>73453</v>
      </c>
      <c r="BA472" s="1">
        <v>44671</v>
      </c>
      <c r="BC472" t="s">
        <v>0</v>
      </c>
      <c r="BD472" s="1">
        <v>46057</v>
      </c>
      <c r="BE472" t="s">
        <v>317</v>
      </c>
      <c r="BL472" s="4">
        <v>0</v>
      </c>
      <c r="BM472" s="1">
        <v>47031</v>
      </c>
      <c r="BN472" s="1">
        <v>46066</v>
      </c>
      <c r="BO472">
        <v>0</v>
      </c>
      <c r="BP472">
        <v>28214</v>
      </c>
      <c r="BQ472" t="s">
        <v>156</v>
      </c>
      <c r="BR472">
        <v>0</v>
      </c>
      <c r="BS472">
        <v>0</v>
      </c>
      <c r="BT472">
        <v>0</v>
      </c>
      <c r="BU472">
        <v>0</v>
      </c>
      <c r="BV472" s="3">
        <v>258530.4</v>
      </c>
      <c r="BX472">
        <v>0</v>
      </c>
      <c r="BZ472">
        <v>0</v>
      </c>
      <c r="CA472">
        <v>0</v>
      </c>
      <c r="CB472">
        <v>0</v>
      </c>
      <c r="CC472" s="3">
        <v>258530.4</v>
      </c>
      <c r="CD472" s="5">
        <v>0</v>
      </c>
      <c r="CF472" s="6">
        <v>46054</v>
      </c>
      <c r="CH472">
        <v>0</v>
      </c>
      <c r="CI472">
        <v>0</v>
      </c>
      <c r="CJ472">
        <v>0</v>
      </c>
      <c r="CK472">
        <v>0</v>
      </c>
      <c r="CL472">
        <v>0</v>
      </c>
      <c r="CM472">
        <v>0</v>
      </c>
      <c r="CN472">
        <v>0</v>
      </c>
      <c r="CO472">
        <v>0</v>
      </c>
      <c r="CP472">
        <v>0</v>
      </c>
      <c r="CQ472">
        <v>0</v>
      </c>
      <c r="CR472">
        <v>0</v>
      </c>
      <c r="CS472" t="s">
        <v>599</v>
      </c>
      <c r="CT472" t="s">
        <v>190</v>
      </c>
      <c r="CU472" t="s">
        <v>2211</v>
      </c>
      <c r="CW472">
        <v>445.4228</v>
      </c>
      <c r="CZ472" s="1">
        <v>46057</v>
      </c>
      <c r="DA472" t="s">
        <v>172</v>
      </c>
      <c r="DB472" t="s">
        <v>172</v>
      </c>
      <c r="DC472" t="s">
        <v>172</v>
      </c>
      <c r="DD472" t="s">
        <v>172</v>
      </c>
      <c r="DF472" t="s">
        <v>2532</v>
      </c>
      <c r="DG472" s="1">
        <v>46057</v>
      </c>
      <c r="DH472">
        <v>0</v>
      </c>
      <c r="DI472">
        <v>0</v>
      </c>
      <c r="DL472" t="s">
        <v>963</v>
      </c>
      <c r="DM472" t="s">
        <v>172</v>
      </c>
      <c r="DN472" t="s">
        <v>225</v>
      </c>
      <c r="DV472" s="3">
        <v>258530.4</v>
      </c>
      <c r="DW472">
        <v>0</v>
      </c>
      <c r="DX472" s="3">
        <v>258530.4</v>
      </c>
      <c r="DY472">
        <v>0</v>
      </c>
      <c r="EF472" s="1">
        <v>46063</v>
      </c>
      <c r="EG472" s="1">
        <v>46058</v>
      </c>
      <c r="EK472" s="1">
        <v>46063</v>
      </c>
      <c r="EL472" s="1">
        <v>46063</v>
      </c>
      <c r="EN472" t="s">
        <v>156</v>
      </c>
      <c r="EP472" s="1">
        <v>46063</v>
      </c>
      <c r="ER472" s="1">
        <v>46062</v>
      </c>
      <c r="ES472" t="s">
        <v>2952</v>
      </c>
      <c r="EU472" s="1">
        <v>46062</v>
      </c>
      <c r="EW472" s="1">
        <v>46057</v>
      </c>
    </row>
    <row r="473" spans="1:153" x14ac:dyDescent="0.35">
      <c r="A473" t="str">
        <f>HYPERLINK("https://7lm.cvcrm.com.br/gestor/comercial/reservas/6647/administrar","6647")</f>
        <v>6647</v>
      </c>
      <c r="B473" t="s">
        <v>172</v>
      </c>
      <c r="C473" s="1">
        <v>46057</v>
      </c>
      <c r="D473" s="2">
        <v>0.52284722222222224</v>
      </c>
      <c r="E473" t="s">
        <v>527</v>
      </c>
      <c r="F473" t="s">
        <v>202</v>
      </c>
      <c r="G473" t="s">
        <v>203</v>
      </c>
      <c r="H473" t="s">
        <v>277</v>
      </c>
      <c r="I473" t="s">
        <v>682</v>
      </c>
      <c r="J473">
        <v>1</v>
      </c>
      <c r="L473">
        <v>20031</v>
      </c>
      <c r="M473" t="s">
        <v>1034</v>
      </c>
      <c r="R473" t="str">
        <f>HYPERLINK("https://7lm.cvcrm.com.br/gestor/relatorios/associado/html?q[1|r.idreserva]=6647","MARCOS ALEXANDRE OLIVEIRA DA CRUZ")</f>
        <v>MARCOS ALEXANDRE OLIVEIRA DA CRUZ</v>
      </c>
      <c r="S473">
        <v>8118138194</v>
      </c>
      <c r="T473">
        <v>5561981086177</v>
      </c>
      <c r="V473" t="s">
        <v>2609</v>
      </c>
      <c r="W473" t="s">
        <v>163</v>
      </c>
      <c r="X473" t="s">
        <v>2610</v>
      </c>
      <c r="AA473" t="s">
        <v>471</v>
      </c>
      <c r="AB473" t="s">
        <v>2611</v>
      </c>
      <c r="AC473" t="s">
        <v>2612</v>
      </c>
      <c r="AF473" t="s">
        <v>399</v>
      </c>
      <c r="AG473" t="s">
        <v>195</v>
      </c>
      <c r="AH473" s="3">
        <v>47400</v>
      </c>
      <c r="AI473" s="3">
        <v>47400</v>
      </c>
      <c r="AJ473" s="1">
        <v>69456</v>
      </c>
      <c r="AN473" t="s">
        <v>172</v>
      </c>
      <c r="AO473" t="s">
        <v>2953</v>
      </c>
      <c r="AR473" t="s">
        <v>2954</v>
      </c>
      <c r="AT473" t="s">
        <v>196</v>
      </c>
      <c r="AU473" t="s">
        <v>316</v>
      </c>
      <c r="AW473">
        <v>0</v>
      </c>
      <c r="AX473" s="1">
        <v>46059</v>
      </c>
      <c r="AY473" s="2">
        <v>0.64427083333333335</v>
      </c>
      <c r="AZ473">
        <v>168438</v>
      </c>
      <c r="BA473" s="1">
        <v>45903</v>
      </c>
      <c r="BC473" t="s">
        <v>275</v>
      </c>
      <c r="BD473" s="1">
        <v>46049</v>
      </c>
      <c r="BE473" t="s">
        <v>198</v>
      </c>
      <c r="BL473" s="4">
        <v>0</v>
      </c>
      <c r="BM473" s="1">
        <v>46808</v>
      </c>
      <c r="BO473">
        <v>0</v>
      </c>
      <c r="BP473">
        <v>28163</v>
      </c>
      <c r="BQ473" t="s">
        <v>156</v>
      </c>
      <c r="BR473" s="3">
        <v>129908.19</v>
      </c>
      <c r="BS473" s="3">
        <v>11819</v>
      </c>
      <c r="BT473">
        <v>0</v>
      </c>
      <c r="BU473" s="3">
        <v>141727.19</v>
      </c>
      <c r="BV473" s="3">
        <v>47400</v>
      </c>
      <c r="BX473">
        <v>0</v>
      </c>
      <c r="BZ473">
        <v>0</v>
      </c>
      <c r="CA473">
        <v>0</v>
      </c>
      <c r="CB473">
        <v>0</v>
      </c>
      <c r="CC473" s="3">
        <v>47400</v>
      </c>
      <c r="CD473" s="5">
        <v>0</v>
      </c>
      <c r="CF473" s="6">
        <v>46054</v>
      </c>
      <c r="CH473">
        <v>0</v>
      </c>
      <c r="CI473">
        <v>0</v>
      </c>
      <c r="CJ473">
        <v>0</v>
      </c>
      <c r="CK473">
        <v>0</v>
      </c>
      <c r="CL473">
        <v>0</v>
      </c>
      <c r="CM473">
        <v>0</v>
      </c>
      <c r="CN473">
        <v>0</v>
      </c>
      <c r="CO473">
        <v>0</v>
      </c>
      <c r="CP473">
        <v>0</v>
      </c>
      <c r="CQ473">
        <v>0</v>
      </c>
      <c r="CR473">
        <v>0</v>
      </c>
      <c r="CT473" t="s">
        <v>214</v>
      </c>
      <c r="CU473" t="s">
        <v>682</v>
      </c>
      <c r="CW473">
        <v>0</v>
      </c>
      <c r="CZ473" s="1">
        <v>46057</v>
      </c>
      <c r="DA473" t="s">
        <v>172</v>
      </c>
      <c r="DB473" t="s">
        <v>172</v>
      </c>
      <c r="DC473" t="s">
        <v>172</v>
      </c>
      <c r="DD473" t="s">
        <v>172</v>
      </c>
      <c r="DG473" s="1">
        <v>46057</v>
      </c>
      <c r="DH473">
        <v>0</v>
      </c>
      <c r="DI473">
        <v>0</v>
      </c>
      <c r="DL473" t="s">
        <v>215</v>
      </c>
      <c r="DM473" t="s">
        <v>172</v>
      </c>
      <c r="DN473" t="s">
        <v>225</v>
      </c>
      <c r="DU473" t="s">
        <v>318</v>
      </c>
      <c r="DV473" s="3">
        <v>440000</v>
      </c>
      <c r="DW473">
        <v>-90.27</v>
      </c>
      <c r="DX473" s="3">
        <v>440000</v>
      </c>
      <c r="DY473">
        <v>-90.27</v>
      </c>
      <c r="EN473" t="s">
        <v>537</v>
      </c>
    </row>
    <row r="474" spans="1:153" ht="246.5" x14ac:dyDescent="0.35">
      <c r="A474" t="str">
        <f>HYPERLINK("https://7lm.cvcrm.com.br/gestor/comercial/reservas/6646/administrar","6646")</f>
        <v>6646</v>
      </c>
      <c r="B474" t="s">
        <v>156</v>
      </c>
      <c r="C474" s="1">
        <v>46056</v>
      </c>
      <c r="D474" s="2">
        <v>0.79439814814814813</v>
      </c>
      <c r="E474" t="s">
        <v>294</v>
      </c>
      <c r="F474" t="s">
        <v>957</v>
      </c>
      <c r="G474" t="s">
        <v>159</v>
      </c>
      <c r="H474" t="s">
        <v>2907</v>
      </c>
      <c r="I474" t="s">
        <v>2955</v>
      </c>
      <c r="J474">
        <v>1</v>
      </c>
      <c r="L474">
        <v>30121</v>
      </c>
      <c r="M474" t="s">
        <v>2956</v>
      </c>
      <c r="N474" s="1">
        <v>46062</v>
      </c>
      <c r="O474" s="2">
        <v>0.65194444444444444</v>
      </c>
      <c r="R474" t="str">
        <f>HYPERLINK("https://7lm.cvcrm.com.br/gestor/relatorios/associado/html?q[1|r.idreserva]=6646","KAMYLLA RAMELLY DOS SANTOS OLIVEIRA")</f>
        <v>KAMYLLA RAMELLY DOS SANTOS OLIVEIRA</v>
      </c>
      <c r="S474">
        <v>5742681119</v>
      </c>
      <c r="T474">
        <v>5561996304755</v>
      </c>
      <c r="V474" t="s">
        <v>2957</v>
      </c>
      <c r="W474" t="s">
        <v>187</v>
      </c>
      <c r="X474" t="s">
        <v>376</v>
      </c>
      <c r="Y474" t="s">
        <v>189</v>
      </c>
      <c r="Z474" t="s">
        <v>190</v>
      </c>
      <c r="AA474" t="s">
        <v>1242</v>
      </c>
      <c r="AB474" t="s">
        <v>2958</v>
      </c>
      <c r="AC474" t="s">
        <v>2088</v>
      </c>
      <c r="AD474" t="s">
        <v>2088</v>
      </c>
      <c r="AF474" t="s">
        <v>303</v>
      </c>
      <c r="AG474" t="s">
        <v>251</v>
      </c>
      <c r="AH474" s="3">
        <v>245232.89</v>
      </c>
      <c r="AI474" s="3">
        <v>245232.89</v>
      </c>
      <c r="AJ474" s="1">
        <v>46127</v>
      </c>
      <c r="AN474" t="s">
        <v>172</v>
      </c>
      <c r="AR474" s="7" t="s">
        <v>353</v>
      </c>
      <c r="AT474" t="s">
        <v>196</v>
      </c>
      <c r="AU474" t="s">
        <v>292</v>
      </c>
      <c r="AW474">
        <v>0</v>
      </c>
      <c r="AX474" s="1">
        <v>46062</v>
      </c>
      <c r="AY474" s="2">
        <v>0.62600694444444449</v>
      </c>
      <c r="AZ474">
        <v>185221</v>
      </c>
      <c r="BA474" s="1">
        <v>46042</v>
      </c>
      <c r="BC474" t="s">
        <v>0</v>
      </c>
      <c r="BD474" s="1">
        <v>46056</v>
      </c>
      <c r="BE474" t="s">
        <v>176</v>
      </c>
      <c r="BL474" s="4">
        <v>0</v>
      </c>
      <c r="BM474" s="1">
        <v>47031</v>
      </c>
      <c r="BN474" s="1">
        <v>46062</v>
      </c>
      <c r="BO474">
        <v>0</v>
      </c>
      <c r="BP474">
        <v>27678</v>
      </c>
      <c r="BQ474" t="s">
        <v>156</v>
      </c>
      <c r="BR474" s="3">
        <v>136016.66</v>
      </c>
      <c r="BS474" s="3">
        <v>24952</v>
      </c>
      <c r="BT474">
        <v>0</v>
      </c>
      <c r="BU474" s="3">
        <v>160968.66</v>
      </c>
      <c r="BV474" s="3">
        <v>245232.89</v>
      </c>
      <c r="BX474">
        <v>0</v>
      </c>
      <c r="BZ474">
        <v>0</v>
      </c>
      <c r="CA474">
        <v>0</v>
      </c>
      <c r="CB474">
        <v>0</v>
      </c>
      <c r="CC474" s="3">
        <v>245232.89</v>
      </c>
      <c r="CD474" s="5">
        <v>0</v>
      </c>
      <c r="CF474" s="6">
        <v>46054</v>
      </c>
      <c r="CH474">
        <v>0</v>
      </c>
      <c r="CI474">
        <v>0</v>
      </c>
      <c r="CJ474">
        <v>0</v>
      </c>
      <c r="CK474">
        <v>0</v>
      </c>
      <c r="CL474">
        <v>0</v>
      </c>
      <c r="CM474">
        <v>0</v>
      </c>
      <c r="CN474">
        <v>0</v>
      </c>
      <c r="CO474">
        <v>0</v>
      </c>
      <c r="CP474">
        <v>0</v>
      </c>
      <c r="CQ474">
        <v>0</v>
      </c>
      <c r="CR474">
        <v>0</v>
      </c>
      <c r="CS474" t="s">
        <v>360</v>
      </c>
      <c r="CT474" t="s">
        <v>190</v>
      </c>
      <c r="CU474" t="s">
        <v>2955</v>
      </c>
      <c r="CW474">
        <v>463.98829999999998</v>
      </c>
      <c r="CZ474" s="1">
        <v>46056</v>
      </c>
      <c r="DA474" t="s">
        <v>172</v>
      </c>
      <c r="DB474" t="s">
        <v>172</v>
      </c>
      <c r="DC474" t="s">
        <v>172</v>
      </c>
      <c r="DD474" t="s">
        <v>172</v>
      </c>
      <c r="DG474" s="1">
        <v>46056</v>
      </c>
      <c r="DH474">
        <v>0</v>
      </c>
      <c r="DI474">
        <v>0</v>
      </c>
      <c r="DJ474" s="1">
        <v>46062</v>
      </c>
      <c r="DL474" t="s">
        <v>963</v>
      </c>
      <c r="DM474" t="s">
        <v>172</v>
      </c>
      <c r="DN474" t="s">
        <v>201</v>
      </c>
      <c r="DV474" s="3">
        <v>245232.89</v>
      </c>
      <c r="DW474">
        <v>0</v>
      </c>
      <c r="DX474" s="3">
        <v>245232.89</v>
      </c>
      <c r="DY474">
        <v>0</v>
      </c>
      <c r="EG474" s="1">
        <v>46058</v>
      </c>
      <c r="EH474" s="1">
        <v>46058</v>
      </c>
      <c r="EN474" t="s">
        <v>156</v>
      </c>
      <c r="EP474" s="1">
        <v>46058</v>
      </c>
      <c r="ER474" s="1">
        <v>46058</v>
      </c>
      <c r="ES474" t="s">
        <v>2959</v>
      </c>
      <c r="EU474" s="1">
        <v>46059</v>
      </c>
      <c r="EW474" s="1">
        <v>46056</v>
      </c>
    </row>
    <row r="475" spans="1:153" ht="246.5" x14ac:dyDescent="0.35">
      <c r="A475" t="str">
        <f>HYPERLINK("https://7lm.cvcrm.com.br/gestor/comercial/reservas/6645/administrar","6645")</f>
        <v>6645</v>
      </c>
      <c r="B475" t="s">
        <v>156</v>
      </c>
      <c r="C475" s="1">
        <v>46056</v>
      </c>
      <c r="D475" s="2">
        <v>0.70173611111111112</v>
      </c>
      <c r="E475" t="s">
        <v>294</v>
      </c>
      <c r="F475" t="s">
        <v>957</v>
      </c>
      <c r="G475" t="s">
        <v>159</v>
      </c>
      <c r="H475" t="s">
        <v>1371</v>
      </c>
      <c r="I475" t="s">
        <v>2960</v>
      </c>
      <c r="J475">
        <v>1</v>
      </c>
      <c r="L475">
        <v>30121</v>
      </c>
      <c r="M475" t="s">
        <v>2961</v>
      </c>
      <c r="N475" s="1">
        <v>46136</v>
      </c>
      <c r="O475" s="2">
        <v>0.70561342592592591</v>
      </c>
      <c r="R475" t="str">
        <f>HYPERLINK("https://7lm.cvcrm.com.br/gestor/relatorios/associado/html?q[1|r.idreserva]=6645","KEULLY DE SOUSA BRAGA")</f>
        <v>KEULLY DE SOUSA BRAGA</v>
      </c>
      <c r="S475">
        <v>71685698131</v>
      </c>
      <c r="T475">
        <v>5561996648049</v>
      </c>
      <c r="V475" t="s">
        <v>2962</v>
      </c>
      <c r="W475" t="s">
        <v>187</v>
      </c>
      <c r="X475" t="s">
        <v>376</v>
      </c>
      <c r="Y475" t="s">
        <v>189</v>
      </c>
      <c r="Z475" t="s">
        <v>190</v>
      </c>
      <c r="AA475" t="s">
        <v>349</v>
      </c>
      <c r="AB475" t="s">
        <v>2963</v>
      </c>
      <c r="AC475" t="s">
        <v>845</v>
      </c>
      <c r="AD475" t="s">
        <v>845</v>
      </c>
      <c r="AF475" t="s">
        <v>303</v>
      </c>
      <c r="AG475" t="s">
        <v>251</v>
      </c>
      <c r="AH475" s="3">
        <v>244932.89</v>
      </c>
      <c r="AI475" s="3">
        <v>244932.89</v>
      </c>
      <c r="AJ475" s="1">
        <v>46117</v>
      </c>
      <c r="AN475" t="s">
        <v>172</v>
      </c>
      <c r="AR475" s="7" t="s">
        <v>353</v>
      </c>
      <c r="AT475" t="s">
        <v>196</v>
      </c>
      <c r="AV475" t="s">
        <v>2964</v>
      </c>
      <c r="AW475">
        <v>0</v>
      </c>
      <c r="AX475" s="1">
        <v>46066</v>
      </c>
      <c r="AY475" s="2">
        <v>0.68386574074074069</v>
      </c>
      <c r="AZ475">
        <v>124347</v>
      </c>
      <c r="BA475" s="1">
        <v>45488</v>
      </c>
      <c r="BC475" t="s">
        <v>0</v>
      </c>
      <c r="BD475" s="1">
        <v>46056</v>
      </c>
      <c r="BE475" t="s">
        <v>466</v>
      </c>
      <c r="BL475" s="4">
        <v>0</v>
      </c>
      <c r="BM475" s="1">
        <v>47031</v>
      </c>
      <c r="BN475" s="1">
        <v>46066</v>
      </c>
      <c r="BO475">
        <v>0</v>
      </c>
      <c r="BP475">
        <v>27915</v>
      </c>
      <c r="BQ475" t="s">
        <v>156</v>
      </c>
      <c r="BR475" s="3">
        <v>136096.22</v>
      </c>
      <c r="BS475" s="3">
        <v>24961</v>
      </c>
      <c r="BT475">
        <v>0</v>
      </c>
      <c r="BU475" s="3">
        <v>161057.22</v>
      </c>
      <c r="BV475" s="3">
        <v>244932.89</v>
      </c>
      <c r="BX475">
        <v>0</v>
      </c>
      <c r="BZ475">
        <v>0</v>
      </c>
      <c r="CA475">
        <v>0</v>
      </c>
      <c r="CB475">
        <v>0</v>
      </c>
      <c r="CC475" s="3">
        <v>244932.89</v>
      </c>
      <c r="CD475" s="5">
        <v>0</v>
      </c>
      <c r="CF475" s="6">
        <v>46054</v>
      </c>
      <c r="CH475">
        <v>0</v>
      </c>
      <c r="CI475">
        <v>0</v>
      </c>
      <c r="CJ475">
        <v>0</v>
      </c>
      <c r="CK475">
        <v>0</v>
      </c>
      <c r="CL475">
        <v>0</v>
      </c>
      <c r="CM475">
        <v>0</v>
      </c>
      <c r="CN475">
        <v>0</v>
      </c>
      <c r="CO475">
        <v>0</v>
      </c>
      <c r="CP475">
        <v>0</v>
      </c>
      <c r="CQ475">
        <v>0</v>
      </c>
      <c r="CR475">
        <v>0</v>
      </c>
      <c r="CS475" t="s">
        <v>649</v>
      </c>
      <c r="CT475" t="s">
        <v>190</v>
      </c>
      <c r="CU475" t="s">
        <v>2960</v>
      </c>
      <c r="CW475">
        <v>-47.484000000000002</v>
      </c>
      <c r="CZ475" s="1">
        <v>46056</v>
      </c>
      <c r="DA475" t="s">
        <v>172</v>
      </c>
      <c r="DB475" t="s">
        <v>172</v>
      </c>
      <c r="DC475" t="s">
        <v>172</v>
      </c>
      <c r="DD475" t="s">
        <v>172</v>
      </c>
      <c r="DG475" s="1">
        <v>46056</v>
      </c>
      <c r="DH475">
        <v>0</v>
      </c>
      <c r="DI475">
        <v>0</v>
      </c>
      <c r="DL475" t="s">
        <v>963</v>
      </c>
      <c r="DM475" t="s">
        <v>172</v>
      </c>
      <c r="DN475" t="s">
        <v>201</v>
      </c>
      <c r="DV475" s="3">
        <v>244932.89</v>
      </c>
      <c r="DW475">
        <v>0</v>
      </c>
      <c r="DX475" s="3">
        <v>244932.89</v>
      </c>
      <c r="DY475">
        <v>0</v>
      </c>
      <c r="EN475" t="s">
        <v>156</v>
      </c>
      <c r="EP475" s="1">
        <v>46063</v>
      </c>
      <c r="EW475" s="1">
        <v>46056</v>
      </c>
    </row>
    <row r="476" spans="1:153" ht="246.5" x14ac:dyDescent="0.35">
      <c r="A476" t="str">
        <f>HYPERLINK("https://7lm.cvcrm.com.br/gestor/comercial/reservas/6644/administrar","6644")</f>
        <v>6644</v>
      </c>
      <c r="B476" t="s">
        <v>156</v>
      </c>
      <c r="C476" s="1">
        <v>46056</v>
      </c>
      <c r="D476" s="2">
        <v>0.66069444444444447</v>
      </c>
      <c r="E476" t="s">
        <v>294</v>
      </c>
      <c r="F476" t="s">
        <v>202</v>
      </c>
      <c r="G476" t="s">
        <v>203</v>
      </c>
      <c r="H476" t="s">
        <v>513</v>
      </c>
      <c r="I476" t="s">
        <v>1827</v>
      </c>
      <c r="J476">
        <v>1</v>
      </c>
      <c r="L476">
        <v>20031</v>
      </c>
      <c r="M476" t="s">
        <v>2965</v>
      </c>
      <c r="N476" s="1">
        <v>46058</v>
      </c>
      <c r="O476" s="2">
        <v>0.69037037037037041</v>
      </c>
      <c r="R476" t="str">
        <f>HYPERLINK("https://7lm.cvcrm.com.br/gestor/relatorios/associado/html?q[1|r.idreserva]=6644","THATIANE ARAUJO DA SILVA")</f>
        <v>THATIANE ARAUJO DA SILVA</v>
      </c>
      <c r="S476">
        <v>9275601437</v>
      </c>
      <c r="T476">
        <v>5561996159881</v>
      </c>
      <c r="V476" t="s">
        <v>2966</v>
      </c>
      <c r="W476" t="s">
        <v>187</v>
      </c>
      <c r="X476" t="s">
        <v>2967</v>
      </c>
      <c r="Y476" t="s">
        <v>165</v>
      </c>
      <c r="Z476" t="s">
        <v>257</v>
      </c>
      <c r="AA476" t="s">
        <v>2968</v>
      </c>
      <c r="AB476" t="s">
        <v>2969</v>
      </c>
      <c r="AC476" t="s">
        <v>2589</v>
      </c>
      <c r="AD476" t="s">
        <v>2590</v>
      </c>
      <c r="AF476" t="s">
        <v>413</v>
      </c>
      <c r="AG476" t="s">
        <v>195</v>
      </c>
      <c r="AH476" s="3">
        <v>221000.65</v>
      </c>
      <c r="AI476" s="3">
        <v>221000.65</v>
      </c>
      <c r="AJ476" s="1">
        <v>46096</v>
      </c>
      <c r="AN476" t="s">
        <v>172</v>
      </c>
      <c r="AR476" s="7" t="s">
        <v>353</v>
      </c>
      <c r="AT476" t="s">
        <v>196</v>
      </c>
      <c r="AU476" t="s">
        <v>1073</v>
      </c>
      <c r="AW476">
        <v>0</v>
      </c>
      <c r="AX476" s="1">
        <v>46062</v>
      </c>
      <c r="AY476" s="2">
        <v>0.63565972222222222</v>
      </c>
      <c r="AZ476">
        <v>186835</v>
      </c>
      <c r="BA476" s="1">
        <v>46052</v>
      </c>
      <c r="BC476" t="s">
        <v>0</v>
      </c>
      <c r="BD476" s="1">
        <v>46056</v>
      </c>
      <c r="BE476" t="s">
        <v>276</v>
      </c>
      <c r="BL476" s="4">
        <v>0</v>
      </c>
      <c r="BM476" s="1">
        <v>46808</v>
      </c>
      <c r="BN476" s="1">
        <v>46062</v>
      </c>
      <c r="BO476">
        <v>0</v>
      </c>
      <c r="BP476">
        <v>28085</v>
      </c>
      <c r="BQ476" t="s">
        <v>156</v>
      </c>
      <c r="BR476" s="3">
        <v>104806.02</v>
      </c>
      <c r="BS476" s="3">
        <v>55000</v>
      </c>
      <c r="BT476">
        <v>0</v>
      </c>
      <c r="BU476" s="3">
        <v>159806.01999999999</v>
      </c>
      <c r="BV476" s="3">
        <v>221000.65</v>
      </c>
      <c r="BX476">
        <v>0</v>
      </c>
      <c r="BZ476">
        <v>0</v>
      </c>
      <c r="CA476">
        <v>0</v>
      </c>
      <c r="CB476">
        <v>0</v>
      </c>
      <c r="CC476" s="3">
        <v>221000.65</v>
      </c>
      <c r="CD476" s="5">
        <v>0</v>
      </c>
      <c r="CF476" s="6">
        <v>46054</v>
      </c>
      <c r="CH476">
        <v>0</v>
      </c>
      <c r="CI476">
        <v>0</v>
      </c>
      <c r="CJ476">
        <v>0</v>
      </c>
      <c r="CK476">
        <v>0</v>
      </c>
      <c r="CL476">
        <v>0</v>
      </c>
      <c r="CM476">
        <v>0</v>
      </c>
      <c r="CN476">
        <v>0</v>
      </c>
      <c r="CO476">
        <v>0</v>
      </c>
      <c r="CP476">
        <v>0</v>
      </c>
      <c r="CQ476">
        <v>0</v>
      </c>
      <c r="CR476">
        <v>0</v>
      </c>
      <c r="CS476" t="s">
        <v>360</v>
      </c>
      <c r="CT476" t="s">
        <v>214</v>
      </c>
      <c r="CU476" t="s">
        <v>1827</v>
      </c>
      <c r="CW476">
        <v>372.22710000000001</v>
      </c>
      <c r="CZ476" s="1">
        <v>46056</v>
      </c>
      <c r="DA476" t="s">
        <v>172</v>
      </c>
      <c r="DB476" t="s">
        <v>172</v>
      </c>
      <c r="DC476" t="s">
        <v>172</v>
      </c>
      <c r="DD476" t="s">
        <v>172</v>
      </c>
      <c r="DG476" s="1">
        <v>46056</v>
      </c>
      <c r="DH476">
        <v>0</v>
      </c>
      <c r="DI476">
        <v>0</v>
      </c>
      <c r="DJ476" s="1">
        <v>46062</v>
      </c>
      <c r="DL476" t="s">
        <v>215</v>
      </c>
      <c r="DM476" t="s">
        <v>172</v>
      </c>
      <c r="DN476" t="s">
        <v>225</v>
      </c>
      <c r="DV476" s="3">
        <v>221000.65</v>
      </c>
      <c r="DW476">
        <v>0</v>
      </c>
      <c r="DX476" s="3">
        <v>221000.65</v>
      </c>
      <c r="DY476">
        <v>0</v>
      </c>
      <c r="EF476" s="1">
        <v>46058</v>
      </c>
      <c r="EG476" s="1">
        <v>46057</v>
      </c>
      <c r="EK476" s="1">
        <v>46058</v>
      </c>
      <c r="EN476" t="s">
        <v>156</v>
      </c>
      <c r="EP476" s="1">
        <v>46058</v>
      </c>
      <c r="ET476" t="s">
        <v>2970</v>
      </c>
      <c r="EU476" s="1">
        <v>46059</v>
      </c>
      <c r="EW476" s="1">
        <v>46056</v>
      </c>
    </row>
    <row r="477" spans="1:153" x14ac:dyDescent="0.35">
      <c r="A477" t="str">
        <f>HYPERLINK("https://7lm.cvcrm.com.br/gestor/comercial/reservas/6643/administrar","6643")</f>
        <v>6643</v>
      </c>
      <c r="B477" t="s">
        <v>156</v>
      </c>
      <c r="C477" s="1">
        <v>46056</v>
      </c>
      <c r="D477" s="2">
        <v>0.50142361111111111</v>
      </c>
      <c r="E477" t="s">
        <v>527</v>
      </c>
      <c r="F477" t="s">
        <v>202</v>
      </c>
      <c r="G477" t="s">
        <v>203</v>
      </c>
      <c r="H477" t="s">
        <v>217</v>
      </c>
      <c r="I477" t="s">
        <v>1923</v>
      </c>
      <c r="J477">
        <v>1</v>
      </c>
      <c r="L477">
        <v>20031</v>
      </c>
      <c r="M477" t="s">
        <v>2580</v>
      </c>
      <c r="N477" s="1">
        <v>46056</v>
      </c>
      <c r="O477" s="2">
        <v>0.50733796296296296</v>
      </c>
      <c r="R477" t="str">
        <f>HYPERLINK("https://7lm.cvcrm.com.br/gestor/relatorios/associado/html?q[1|r.idreserva]=6643","CARLOS DANIEL SANTOS SOUZA")</f>
        <v>CARLOS DANIEL SANTOS SOUZA</v>
      </c>
      <c r="S477">
        <v>10083181326</v>
      </c>
      <c r="T477">
        <v>5561992260469</v>
      </c>
      <c r="V477" t="s">
        <v>2971</v>
      </c>
      <c r="W477" t="s">
        <v>163</v>
      </c>
      <c r="X477" t="s">
        <v>2972</v>
      </c>
      <c r="Y477" t="s">
        <v>165</v>
      </c>
      <c r="Z477" t="s">
        <v>1670</v>
      </c>
      <c r="AA477" t="s">
        <v>1670</v>
      </c>
      <c r="AB477" t="s">
        <v>2973</v>
      </c>
      <c r="AC477" t="s">
        <v>455</v>
      </c>
      <c r="AF477" t="s">
        <v>389</v>
      </c>
      <c r="AG477" t="s">
        <v>195</v>
      </c>
      <c r="AH477" s="3">
        <v>222000.62</v>
      </c>
      <c r="AI477" s="3">
        <v>222000.62</v>
      </c>
      <c r="AJ477" s="1">
        <v>46084</v>
      </c>
      <c r="AN477" t="s">
        <v>172</v>
      </c>
      <c r="AO477" t="s">
        <v>816</v>
      </c>
      <c r="AR477" t="s">
        <v>2974</v>
      </c>
      <c r="AT477" t="s">
        <v>196</v>
      </c>
      <c r="AU477" t="s">
        <v>292</v>
      </c>
      <c r="AW477">
        <v>0</v>
      </c>
      <c r="AX477" s="1">
        <v>46062</v>
      </c>
      <c r="AY477" s="2">
        <v>0.59655092592592596</v>
      </c>
      <c r="AZ477">
        <v>186719</v>
      </c>
      <c r="BA477" s="1">
        <v>46051</v>
      </c>
      <c r="BC477" t="s">
        <v>0</v>
      </c>
      <c r="BD477" s="1">
        <v>46056</v>
      </c>
      <c r="BE477" t="s">
        <v>276</v>
      </c>
      <c r="BL477" s="4">
        <v>0</v>
      </c>
      <c r="BM477" s="1">
        <v>46808</v>
      </c>
      <c r="BO477">
        <v>0</v>
      </c>
      <c r="BP477">
        <v>28042</v>
      </c>
      <c r="BQ477" t="s">
        <v>156</v>
      </c>
      <c r="BR477" s="3">
        <v>102940.02</v>
      </c>
      <c r="BS477" s="3">
        <v>55000</v>
      </c>
      <c r="BT477">
        <v>0</v>
      </c>
      <c r="BU477" s="3">
        <v>157940.01999999999</v>
      </c>
      <c r="BV477" s="3">
        <v>222000.62</v>
      </c>
      <c r="BX477">
        <v>0</v>
      </c>
      <c r="BZ477">
        <v>0</v>
      </c>
      <c r="CA477">
        <v>0</v>
      </c>
      <c r="CB477">
        <v>0</v>
      </c>
      <c r="CC477" s="3">
        <v>222000.62</v>
      </c>
      <c r="CD477" s="5">
        <v>0</v>
      </c>
      <c r="CF477" s="6">
        <v>46054</v>
      </c>
      <c r="CH477">
        <v>0</v>
      </c>
      <c r="CI477">
        <v>0</v>
      </c>
      <c r="CJ477">
        <v>0</v>
      </c>
      <c r="CK477">
        <v>0</v>
      </c>
      <c r="CL477">
        <v>0</v>
      </c>
      <c r="CM477">
        <v>0</v>
      </c>
      <c r="CN477">
        <v>0</v>
      </c>
      <c r="CO477">
        <v>0</v>
      </c>
      <c r="CP477">
        <v>0</v>
      </c>
      <c r="CQ477">
        <v>0</v>
      </c>
      <c r="CR477">
        <v>0</v>
      </c>
      <c r="CS477" t="s">
        <v>2497</v>
      </c>
      <c r="CT477" t="s">
        <v>214</v>
      </c>
      <c r="CU477" t="s">
        <v>1923</v>
      </c>
      <c r="CW477">
        <v>368.35570000000001</v>
      </c>
      <c r="CZ477" s="1">
        <v>46056</v>
      </c>
      <c r="DA477" t="s">
        <v>172</v>
      </c>
      <c r="DB477" t="s">
        <v>172</v>
      </c>
      <c r="DC477" t="s">
        <v>172</v>
      </c>
      <c r="DD477" t="s">
        <v>172</v>
      </c>
      <c r="DG477" s="1">
        <v>46056</v>
      </c>
      <c r="DH477">
        <v>0</v>
      </c>
      <c r="DI477">
        <v>0</v>
      </c>
      <c r="DL477" t="s">
        <v>794</v>
      </c>
      <c r="DM477" t="s">
        <v>172</v>
      </c>
      <c r="DN477" t="s">
        <v>795</v>
      </c>
      <c r="DV477" s="3">
        <v>222000.62</v>
      </c>
      <c r="DW477">
        <v>0</v>
      </c>
      <c r="DX477" s="3">
        <v>222000.62</v>
      </c>
      <c r="DY477">
        <v>0</v>
      </c>
      <c r="EN477" t="s">
        <v>537</v>
      </c>
      <c r="EU477" s="1">
        <v>46068</v>
      </c>
      <c r="EW477" s="1">
        <v>46057</v>
      </c>
    </row>
    <row r="478" spans="1:153" x14ac:dyDescent="0.35">
      <c r="A478" t="str">
        <f>HYPERLINK("https://7lm.cvcrm.com.br/gestor/comercial/reservas/6642/administrar","6642")</f>
        <v>6642</v>
      </c>
      <c r="B478" t="s">
        <v>172</v>
      </c>
      <c r="C478" s="1">
        <v>46055</v>
      </c>
      <c r="D478" s="2">
        <v>0.73773148148148149</v>
      </c>
      <c r="E478" t="s">
        <v>527</v>
      </c>
      <c r="F478" t="s">
        <v>226</v>
      </c>
      <c r="G478" t="s">
        <v>159</v>
      </c>
      <c r="H478" t="s">
        <v>1143</v>
      </c>
      <c r="I478" t="s">
        <v>337</v>
      </c>
      <c r="J478">
        <v>1</v>
      </c>
      <c r="L478">
        <v>10031</v>
      </c>
      <c r="M478" t="s">
        <v>2382</v>
      </c>
      <c r="R478" t="str">
        <f>HYPERLINK("https://7lm.cvcrm.com.br/gestor/relatorios/associado/html?q[1|r.idreserva]=6642","Ivani Susrina Folador")</f>
        <v>Ivani Susrina Folador</v>
      </c>
      <c r="S478">
        <v>65053168091</v>
      </c>
      <c r="T478">
        <v>5577999907887</v>
      </c>
      <c r="U478">
        <v>5577999907887</v>
      </c>
      <c r="V478" t="s">
        <v>2975</v>
      </c>
      <c r="W478" t="s">
        <v>187</v>
      </c>
      <c r="AC478" t="s">
        <v>236</v>
      </c>
      <c r="AE478" t="s">
        <v>169</v>
      </c>
      <c r="AF478" t="s">
        <v>170</v>
      </c>
      <c r="AG478" t="s">
        <v>195</v>
      </c>
      <c r="AH478">
        <v>0</v>
      </c>
      <c r="AI478">
        <v>0</v>
      </c>
      <c r="AN478" t="s">
        <v>172</v>
      </c>
      <c r="AO478" t="s">
        <v>816</v>
      </c>
      <c r="AT478" t="s">
        <v>196</v>
      </c>
      <c r="AU478" t="s">
        <v>197</v>
      </c>
      <c r="AW478">
        <v>0</v>
      </c>
      <c r="AX478" s="1">
        <v>46078</v>
      </c>
      <c r="AY478" s="2">
        <v>0.57678240740740738</v>
      </c>
      <c r="AZ478">
        <v>186985</v>
      </c>
      <c r="BA478" s="1">
        <v>46053</v>
      </c>
      <c r="BC478" t="s">
        <v>213</v>
      </c>
      <c r="BD478" s="1">
        <v>46053</v>
      </c>
      <c r="BE478" t="s">
        <v>176</v>
      </c>
      <c r="BL478" s="4">
        <v>0</v>
      </c>
      <c r="BM478" s="1">
        <v>46698</v>
      </c>
      <c r="BO478">
        <v>0</v>
      </c>
      <c r="BP478">
        <v>28100</v>
      </c>
      <c r="BQ478" t="s">
        <v>156</v>
      </c>
      <c r="BR478" s="3">
        <v>448000</v>
      </c>
      <c r="BS478">
        <v>0</v>
      </c>
      <c r="BT478">
        <v>0</v>
      </c>
      <c r="BU478" s="3">
        <v>448000</v>
      </c>
      <c r="BV478">
        <v>0</v>
      </c>
      <c r="BX478">
        <v>0</v>
      </c>
      <c r="BZ478">
        <v>0</v>
      </c>
      <c r="CA478">
        <v>0</v>
      </c>
      <c r="CB478">
        <v>0</v>
      </c>
      <c r="CC478">
        <v>0</v>
      </c>
      <c r="CD478" s="5">
        <v>0</v>
      </c>
      <c r="CF478" s="6">
        <v>46054</v>
      </c>
      <c r="CH478">
        <v>0</v>
      </c>
      <c r="CI478">
        <v>0</v>
      </c>
      <c r="CJ478">
        <v>0</v>
      </c>
      <c r="CK478">
        <v>0</v>
      </c>
      <c r="CL478">
        <v>0</v>
      </c>
      <c r="CM478">
        <v>0</v>
      </c>
      <c r="CN478">
        <v>0</v>
      </c>
      <c r="CO478">
        <v>0</v>
      </c>
      <c r="CP478">
        <v>0</v>
      </c>
      <c r="CQ478">
        <v>0</v>
      </c>
      <c r="CR478">
        <v>0</v>
      </c>
      <c r="CT478" t="s">
        <v>238</v>
      </c>
      <c r="CU478" t="s">
        <v>337</v>
      </c>
      <c r="CW478">
        <v>0</v>
      </c>
      <c r="CX478" t="s">
        <v>170</v>
      </c>
      <c r="CZ478" s="1">
        <v>46055</v>
      </c>
      <c r="DA478" t="s">
        <v>172</v>
      </c>
      <c r="DB478" t="s">
        <v>172</v>
      </c>
      <c r="DC478" t="s">
        <v>172</v>
      </c>
      <c r="DD478" t="s">
        <v>172</v>
      </c>
      <c r="DG478" s="1">
        <v>46055</v>
      </c>
      <c r="DH478">
        <v>0</v>
      </c>
      <c r="DI478">
        <v>0</v>
      </c>
      <c r="DL478" t="s">
        <v>263</v>
      </c>
      <c r="DM478" t="s">
        <v>172</v>
      </c>
      <c r="DN478" t="s">
        <v>264</v>
      </c>
      <c r="DV478">
        <v>0</v>
      </c>
      <c r="DW478">
        <v>0</v>
      </c>
      <c r="DX478">
        <v>0</v>
      </c>
      <c r="DY478">
        <v>0</v>
      </c>
    </row>
    <row r="479" spans="1:153" x14ac:dyDescent="0.35">
      <c r="A479" t="str">
        <f>HYPERLINK("https://7lm.cvcrm.com.br/gestor/comercial/reservas/6641/administrar","6641")</f>
        <v>6641</v>
      </c>
      <c r="B479" t="s">
        <v>172</v>
      </c>
      <c r="C479" s="1">
        <v>46055</v>
      </c>
      <c r="D479" s="2">
        <v>0.68987268518518519</v>
      </c>
      <c r="E479" t="s">
        <v>527</v>
      </c>
      <c r="F479" t="s">
        <v>458</v>
      </c>
      <c r="G479" t="s">
        <v>203</v>
      </c>
      <c r="H479" t="s">
        <v>277</v>
      </c>
      <c r="I479" t="s">
        <v>1322</v>
      </c>
      <c r="J479">
        <v>1</v>
      </c>
      <c r="L479">
        <v>20001</v>
      </c>
      <c r="M479" t="s">
        <v>1323</v>
      </c>
      <c r="R479" t="str">
        <f>HYPERLINK("https://7lm.cvcrm.com.br/gestor/relatorios/associado/html?q[1|r.idreserva]=6641","JESSICA SILVA BATISTA")</f>
        <v>JESSICA SILVA BATISTA</v>
      </c>
      <c r="S479">
        <v>4259565125</v>
      </c>
      <c r="T479">
        <v>5561992320053</v>
      </c>
      <c r="U479">
        <v>5561994322878</v>
      </c>
      <c r="V479" t="s">
        <v>2976</v>
      </c>
      <c r="W479" t="s">
        <v>187</v>
      </c>
      <c r="X479" t="s">
        <v>1048</v>
      </c>
      <c r="Y479" t="s">
        <v>189</v>
      </c>
      <c r="Z479" t="s">
        <v>214</v>
      </c>
      <c r="AA479" t="s">
        <v>1985</v>
      </c>
      <c r="AB479" t="s">
        <v>2977</v>
      </c>
      <c r="AC479" t="s">
        <v>314</v>
      </c>
      <c r="AF479" t="s">
        <v>634</v>
      </c>
      <c r="AG479" t="s">
        <v>195</v>
      </c>
      <c r="AH479" s="3">
        <v>233707.93</v>
      </c>
      <c r="AI479" s="3">
        <v>233707.93</v>
      </c>
      <c r="AJ479" s="1">
        <v>46127</v>
      </c>
      <c r="AN479" t="s">
        <v>172</v>
      </c>
      <c r="AO479" t="s">
        <v>2102</v>
      </c>
      <c r="AP479" t="s">
        <v>2978</v>
      </c>
      <c r="AR479" t="s">
        <v>2881</v>
      </c>
      <c r="AT479" t="s">
        <v>196</v>
      </c>
      <c r="AU479" t="s">
        <v>316</v>
      </c>
      <c r="AW479">
        <v>0</v>
      </c>
      <c r="AX479" s="1">
        <v>46078</v>
      </c>
      <c r="AY479" s="2">
        <v>0.42653935185185188</v>
      </c>
      <c r="AZ479" t="s">
        <v>2979</v>
      </c>
      <c r="BA479" t="s">
        <v>2980</v>
      </c>
      <c r="BB479" t="s">
        <v>356</v>
      </c>
      <c r="BC479" t="s">
        <v>485</v>
      </c>
      <c r="BD479" t="s">
        <v>2981</v>
      </c>
      <c r="BE479" t="s">
        <v>2982</v>
      </c>
      <c r="BL479" s="4">
        <v>0</v>
      </c>
      <c r="BM479" s="1">
        <v>46572</v>
      </c>
      <c r="BO479">
        <v>0</v>
      </c>
      <c r="BP479">
        <v>27724</v>
      </c>
      <c r="BQ479" t="s">
        <v>156</v>
      </c>
      <c r="BR479" s="3">
        <v>153103.15</v>
      </c>
      <c r="BS479">
        <v>0</v>
      </c>
      <c r="BT479">
        <v>0</v>
      </c>
      <c r="BU479" s="3">
        <v>153103.15</v>
      </c>
      <c r="BV479" s="3">
        <v>233707.93</v>
      </c>
      <c r="BX479">
        <v>0</v>
      </c>
      <c r="BZ479">
        <v>0</v>
      </c>
      <c r="CA479">
        <v>0</v>
      </c>
      <c r="CB479">
        <v>0</v>
      </c>
      <c r="CC479" s="3">
        <v>233707.93</v>
      </c>
      <c r="CD479" s="5">
        <v>0</v>
      </c>
      <c r="CE479" t="s">
        <v>467</v>
      </c>
      <c r="CF479" s="6">
        <v>46054</v>
      </c>
      <c r="CH479">
        <v>0</v>
      </c>
      <c r="CI479">
        <v>0</v>
      </c>
      <c r="CJ479">
        <v>0</v>
      </c>
      <c r="CK479">
        <v>0</v>
      </c>
      <c r="CL479">
        <v>0</v>
      </c>
      <c r="CM479">
        <v>0</v>
      </c>
      <c r="CN479">
        <v>0</v>
      </c>
      <c r="CO479">
        <v>0</v>
      </c>
      <c r="CP479">
        <v>0</v>
      </c>
      <c r="CQ479">
        <v>0</v>
      </c>
      <c r="CR479">
        <v>0</v>
      </c>
      <c r="CT479" t="s">
        <v>214</v>
      </c>
      <c r="CU479" t="s">
        <v>1322</v>
      </c>
      <c r="CW479">
        <v>0</v>
      </c>
      <c r="CZ479" s="1">
        <v>46055</v>
      </c>
      <c r="DA479" t="s">
        <v>172</v>
      </c>
      <c r="DB479" t="s">
        <v>172</v>
      </c>
      <c r="DC479" t="s">
        <v>172</v>
      </c>
      <c r="DD479" t="s">
        <v>172</v>
      </c>
      <c r="DG479" s="1">
        <v>46055</v>
      </c>
      <c r="DH479">
        <v>0</v>
      </c>
      <c r="DI479">
        <v>0</v>
      </c>
      <c r="DL479" t="s">
        <v>200</v>
      </c>
      <c r="DM479" t="s">
        <v>172</v>
      </c>
      <c r="DN479" t="s">
        <v>201</v>
      </c>
      <c r="DV479" s="3">
        <v>233707.93</v>
      </c>
      <c r="DW479">
        <v>0</v>
      </c>
      <c r="DX479" s="3">
        <v>233707.93</v>
      </c>
      <c r="DY479">
        <v>0</v>
      </c>
      <c r="EN479" t="s">
        <v>537</v>
      </c>
      <c r="ET479" t="s">
        <v>2674</v>
      </c>
      <c r="EW479" s="1">
        <v>46055</v>
      </c>
    </row>
    <row r="480" spans="1:153" x14ac:dyDescent="0.35">
      <c r="A480" t="str">
        <f>HYPERLINK("https://7lm.cvcrm.com.br/gestor/comercial/reservas/6640/administrar","6640")</f>
        <v>6640</v>
      </c>
      <c r="B480" t="s">
        <v>156</v>
      </c>
      <c r="C480" s="1">
        <v>46055</v>
      </c>
      <c r="D480" s="2">
        <v>0.68401620370370375</v>
      </c>
      <c r="E480" t="s">
        <v>294</v>
      </c>
      <c r="F480" t="s">
        <v>458</v>
      </c>
      <c r="G480" t="s">
        <v>203</v>
      </c>
      <c r="H480" t="s">
        <v>404</v>
      </c>
      <c r="I480" t="s">
        <v>1027</v>
      </c>
      <c r="J480">
        <v>1</v>
      </c>
      <c r="L480">
        <v>20001</v>
      </c>
      <c r="M480" t="s">
        <v>2983</v>
      </c>
      <c r="N480" s="1">
        <v>46063</v>
      </c>
      <c r="O480" s="2">
        <v>0.76135416666666667</v>
      </c>
      <c r="R480" t="str">
        <f>HYPERLINK("https://7lm.cvcrm.com.br/gestor/relatorios/associado/html?q[1|r.idreserva]=6640","JOSE RIBAMAR DA SILVA FREITAS FILHO")</f>
        <v>JOSE RIBAMAR DA SILVA FREITAS FILHO</v>
      </c>
      <c r="S480">
        <v>4755639301</v>
      </c>
      <c r="T480">
        <v>5561981565751</v>
      </c>
      <c r="V480" t="s">
        <v>2984</v>
      </c>
      <c r="W480" t="s">
        <v>163</v>
      </c>
      <c r="X480" t="s">
        <v>2985</v>
      </c>
      <c r="Y480" t="s">
        <v>189</v>
      </c>
      <c r="Z480" t="s">
        <v>190</v>
      </c>
      <c r="AA480" t="s">
        <v>685</v>
      </c>
      <c r="AB480" t="s">
        <v>2986</v>
      </c>
      <c r="AC480" t="s">
        <v>2559</v>
      </c>
      <c r="AF480" t="s">
        <v>399</v>
      </c>
      <c r="AG480" t="s">
        <v>195</v>
      </c>
      <c r="AH480" s="3">
        <v>223250.47</v>
      </c>
      <c r="AI480" s="3">
        <v>223250.47</v>
      </c>
      <c r="AJ480" s="1">
        <v>46083</v>
      </c>
      <c r="AN480" t="s">
        <v>172</v>
      </c>
      <c r="AR480" t="s">
        <v>2987</v>
      </c>
      <c r="AT480" t="s">
        <v>400</v>
      </c>
      <c r="AU480" t="s">
        <v>316</v>
      </c>
      <c r="AW480">
        <v>0</v>
      </c>
      <c r="AX480" s="1">
        <v>46066</v>
      </c>
      <c r="AY480" s="2">
        <v>0.63421296296296292</v>
      </c>
      <c r="AZ480">
        <v>186625</v>
      </c>
      <c r="BA480" s="1">
        <v>46050</v>
      </c>
      <c r="BC480" t="s">
        <v>0</v>
      </c>
      <c r="BD480" s="1">
        <v>46055</v>
      </c>
      <c r="BE480" t="s">
        <v>317</v>
      </c>
      <c r="BL480" s="4">
        <v>0</v>
      </c>
      <c r="BM480" s="1">
        <v>46572</v>
      </c>
      <c r="BN480" s="1">
        <v>46066</v>
      </c>
      <c r="BO480">
        <v>0</v>
      </c>
      <c r="BP480">
        <v>28009</v>
      </c>
      <c r="BQ480" t="s">
        <v>156</v>
      </c>
      <c r="BR480" s="3">
        <v>117618.44</v>
      </c>
      <c r="BS480" s="3">
        <v>52488</v>
      </c>
      <c r="BT480">
        <v>0</v>
      </c>
      <c r="BU480" s="3">
        <v>170106.44</v>
      </c>
      <c r="BV480" s="3">
        <v>223250.47</v>
      </c>
      <c r="BX480">
        <v>0</v>
      </c>
      <c r="BZ480">
        <v>0</v>
      </c>
      <c r="CA480">
        <v>0</v>
      </c>
      <c r="CB480">
        <v>0</v>
      </c>
      <c r="CC480" s="3">
        <v>223250.47</v>
      </c>
      <c r="CD480" s="5">
        <v>0</v>
      </c>
      <c r="CE480" t="s">
        <v>467</v>
      </c>
      <c r="CF480" s="6">
        <v>46054</v>
      </c>
      <c r="CH480">
        <v>0</v>
      </c>
      <c r="CI480">
        <v>0</v>
      </c>
      <c r="CJ480">
        <v>0</v>
      </c>
      <c r="CK480">
        <v>0</v>
      </c>
      <c r="CL480">
        <v>0</v>
      </c>
      <c r="CM480">
        <v>0</v>
      </c>
      <c r="CN480">
        <v>0</v>
      </c>
      <c r="CO480">
        <v>0</v>
      </c>
      <c r="CP480">
        <v>0</v>
      </c>
      <c r="CQ480">
        <v>0</v>
      </c>
      <c r="CR480">
        <v>0</v>
      </c>
      <c r="CS480" t="s">
        <v>2497</v>
      </c>
      <c r="CT480" t="s">
        <v>214</v>
      </c>
      <c r="CU480" t="s">
        <v>1027</v>
      </c>
      <c r="CW480">
        <v>387.44639999999998</v>
      </c>
      <c r="CZ480" s="1">
        <v>46055</v>
      </c>
      <c r="DA480" t="s">
        <v>172</v>
      </c>
      <c r="DB480" t="s">
        <v>172</v>
      </c>
      <c r="DC480" t="s">
        <v>172</v>
      </c>
      <c r="DD480" t="s">
        <v>172</v>
      </c>
      <c r="DG480" s="1">
        <v>46055</v>
      </c>
      <c r="DH480">
        <v>0</v>
      </c>
      <c r="DI480">
        <v>0</v>
      </c>
      <c r="DL480" t="s">
        <v>200</v>
      </c>
      <c r="DM480" t="s">
        <v>172</v>
      </c>
      <c r="DN480" t="s">
        <v>511</v>
      </c>
      <c r="DV480" s="3">
        <v>223250.47</v>
      </c>
      <c r="DW480">
        <v>0</v>
      </c>
      <c r="DX480" s="3">
        <v>223250.47</v>
      </c>
      <c r="DY480">
        <v>0</v>
      </c>
      <c r="EF480" s="1">
        <v>46064</v>
      </c>
      <c r="EG480" s="1">
        <v>46062</v>
      </c>
      <c r="EK480" s="1">
        <v>46064</v>
      </c>
      <c r="EL480" s="1">
        <v>46064</v>
      </c>
      <c r="EM480" s="1">
        <v>46064</v>
      </c>
      <c r="EN480" t="s">
        <v>156</v>
      </c>
      <c r="EP480" s="1">
        <v>46063</v>
      </c>
      <c r="EU480" s="1">
        <v>46063</v>
      </c>
      <c r="EW480" s="1">
        <v>46056</v>
      </c>
    </row>
    <row r="481" spans="1:153" x14ac:dyDescent="0.35">
      <c r="A481" t="str">
        <f>HYPERLINK("https://7lm.cvcrm.com.br/gestor/comercial/reservas/6639/administrar","6639")</f>
        <v>6639</v>
      </c>
      <c r="B481" t="s">
        <v>172</v>
      </c>
      <c r="C481" s="1">
        <v>46055</v>
      </c>
      <c r="D481" s="2">
        <v>0.65979166666666667</v>
      </c>
      <c r="E481" t="s">
        <v>527</v>
      </c>
      <c r="F481" t="s">
        <v>2451</v>
      </c>
      <c r="G481" t="s">
        <v>203</v>
      </c>
      <c r="H481" t="s">
        <v>319</v>
      </c>
      <c r="I481" t="s">
        <v>1188</v>
      </c>
      <c r="J481">
        <v>1</v>
      </c>
      <c r="L481">
        <v>30061</v>
      </c>
      <c r="M481" t="s">
        <v>2988</v>
      </c>
      <c r="R481" t="str">
        <f>HYPERLINK("https://7lm.cvcrm.com.br/gestor/relatorios/associado/html?q[1|r.idreserva]=6639","ELIZANGELA PEREIRA DA SILVA")</f>
        <v>ELIZANGELA PEREIRA DA SILVA</v>
      </c>
      <c r="S481">
        <v>1092906150</v>
      </c>
      <c r="T481">
        <v>5561996792538</v>
      </c>
      <c r="V481" t="s">
        <v>2891</v>
      </c>
      <c r="W481" t="s">
        <v>187</v>
      </c>
      <c r="X481" t="s">
        <v>826</v>
      </c>
      <c r="Y481" t="s">
        <v>189</v>
      </c>
      <c r="Z481" t="s">
        <v>190</v>
      </c>
      <c r="AA481" t="s">
        <v>2892</v>
      </c>
      <c r="AB481" t="s">
        <v>2893</v>
      </c>
      <c r="AC481" t="s">
        <v>1741</v>
      </c>
      <c r="AF481" t="s">
        <v>194</v>
      </c>
      <c r="AG481" t="s">
        <v>251</v>
      </c>
      <c r="AH481" s="3">
        <v>260000.24</v>
      </c>
      <c r="AI481" s="3">
        <v>260000.24</v>
      </c>
      <c r="AJ481" s="1">
        <v>46114</v>
      </c>
      <c r="AN481" t="s">
        <v>172</v>
      </c>
      <c r="AO481" t="s">
        <v>725</v>
      </c>
      <c r="AP481" t="s">
        <v>2989</v>
      </c>
      <c r="AR481" t="s">
        <v>2990</v>
      </c>
      <c r="AT481" t="s">
        <v>196</v>
      </c>
      <c r="AU481" t="s">
        <v>262</v>
      </c>
      <c r="AW481">
        <v>0</v>
      </c>
      <c r="AX481" s="1">
        <v>46064</v>
      </c>
      <c r="AY481" s="2">
        <v>0.50064814814814818</v>
      </c>
      <c r="AZ481">
        <v>148906</v>
      </c>
      <c r="BA481" s="1">
        <v>45700</v>
      </c>
      <c r="BC481" t="s">
        <v>275</v>
      </c>
      <c r="BD481" s="1">
        <v>45728</v>
      </c>
      <c r="BE481" t="s">
        <v>276</v>
      </c>
      <c r="BL481" s="4">
        <v>0</v>
      </c>
      <c r="BM481" s="1">
        <v>46788</v>
      </c>
      <c r="BO481">
        <v>0</v>
      </c>
      <c r="BP481">
        <v>27055</v>
      </c>
      <c r="BQ481" t="s">
        <v>156</v>
      </c>
      <c r="BR481" s="3">
        <v>180000</v>
      </c>
      <c r="BS481" s="3">
        <v>4652</v>
      </c>
      <c r="BT481">
        <v>0</v>
      </c>
      <c r="BU481" s="3">
        <v>184652</v>
      </c>
      <c r="BV481" s="3">
        <v>260000.24</v>
      </c>
      <c r="BX481">
        <v>0</v>
      </c>
      <c r="BZ481">
        <v>0</v>
      </c>
      <c r="CA481">
        <v>0</v>
      </c>
      <c r="CB481">
        <v>0</v>
      </c>
      <c r="CC481" s="3">
        <v>260000.24</v>
      </c>
      <c r="CD481" s="5">
        <v>0</v>
      </c>
      <c r="CF481" s="6">
        <v>46054</v>
      </c>
      <c r="CH481">
        <v>0</v>
      </c>
      <c r="CI481">
        <v>0</v>
      </c>
      <c r="CJ481">
        <v>0</v>
      </c>
      <c r="CK481">
        <v>0</v>
      </c>
      <c r="CL481">
        <v>0</v>
      </c>
      <c r="CM481">
        <v>0</v>
      </c>
      <c r="CN481">
        <v>0</v>
      </c>
      <c r="CO481">
        <v>0</v>
      </c>
      <c r="CP481">
        <v>0</v>
      </c>
      <c r="CQ481">
        <v>0</v>
      </c>
      <c r="CR481">
        <v>0</v>
      </c>
      <c r="CT481" t="s">
        <v>190</v>
      </c>
      <c r="CU481" t="s">
        <v>1188</v>
      </c>
      <c r="CW481">
        <v>0</v>
      </c>
      <c r="CZ481" s="1">
        <v>46055</v>
      </c>
      <c r="DA481" t="s">
        <v>172</v>
      </c>
      <c r="DB481" t="s">
        <v>172</v>
      </c>
      <c r="DC481" t="s">
        <v>172</v>
      </c>
      <c r="DD481" t="s">
        <v>172</v>
      </c>
      <c r="DG481" s="1">
        <v>46055</v>
      </c>
      <c r="DH481">
        <v>0</v>
      </c>
      <c r="DI481">
        <v>0</v>
      </c>
      <c r="DL481" t="s">
        <v>2473</v>
      </c>
      <c r="DM481" t="s">
        <v>172</v>
      </c>
      <c r="DN481" t="s">
        <v>511</v>
      </c>
      <c r="DV481" s="3">
        <v>260000.24</v>
      </c>
      <c r="DW481">
        <v>0</v>
      </c>
      <c r="DX481" s="3">
        <v>260000.24</v>
      </c>
      <c r="DY481">
        <v>0</v>
      </c>
      <c r="EN481" t="s">
        <v>537</v>
      </c>
    </row>
    <row r="482" spans="1:153" x14ac:dyDescent="0.35">
      <c r="A482" t="str">
        <f>HYPERLINK("https://7lm.cvcrm.com.br/gestor/comercial/reservas/6638/administrar","6638")</f>
        <v>6638</v>
      </c>
      <c r="B482" t="s">
        <v>172</v>
      </c>
      <c r="C482" s="1">
        <v>46055</v>
      </c>
      <c r="D482" s="2">
        <v>0.52449074074074076</v>
      </c>
      <c r="E482" t="s">
        <v>527</v>
      </c>
      <c r="F482" t="s">
        <v>957</v>
      </c>
      <c r="G482" t="s">
        <v>159</v>
      </c>
      <c r="H482" t="s">
        <v>1371</v>
      </c>
      <c r="I482" t="s">
        <v>2726</v>
      </c>
      <c r="J482">
        <v>1</v>
      </c>
      <c r="L482">
        <v>30121</v>
      </c>
      <c r="M482" t="s">
        <v>2727</v>
      </c>
      <c r="R482" t="str">
        <f>HYPERLINK("https://7lm.cvcrm.com.br/gestor/relatorios/associado/html?q[1|r.idreserva]=6638","ANTHONY CASAGRANDE BAUER DE BARROS")</f>
        <v>ANTHONY CASAGRANDE BAUER DE BARROS</v>
      </c>
      <c r="S482">
        <v>7694182105</v>
      </c>
      <c r="T482">
        <v>5561996338302</v>
      </c>
      <c r="V482" t="s">
        <v>2991</v>
      </c>
      <c r="W482" t="s">
        <v>163</v>
      </c>
      <c r="X482" t="s">
        <v>492</v>
      </c>
      <c r="Y482" t="s">
        <v>189</v>
      </c>
      <c r="Z482" t="s">
        <v>190</v>
      </c>
      <c r="AA482" t="s">
        <v>423</v>
      </c>
      <c r="AB482" t="s">
        <v>2992</v>
      </c>
      <c r="AC482" t="s">
        <v>1860</v>
      </c>
      <c r="AD482" t="s">
        <v>1861</v>
      </c>
      <c r="AF482" t="s">
        <v>250</v>
      </c>
      <c r="AG482" t="s">
        <v>251</v>
      </c>
      <c r="AH482" s="3">
        <v>248000.24</v>
      </c>
      <c r="AI482" s="3">
        <v>248000.24</v>
      </c>
      <c r="AJ482" s="1">
        <v>46055</v>
      </c>
      <c r="AN482" t="s">
        <v>172</v>
      </c>
      <c r="AO482" t="s">
        <v>1175</v>
      </c>
      <c r="AR482" t="s">
        <v>2993</v>
      </c>
      <c r="AT482" t="s">
        <v>173</v>
      </c>
      <c r="AU482" t="s">
        <v>175</v>
      </c>
      <c r="AW482">
        <v>0</v>
      </c>
      <c r="AX482" s="1">
        <v>46062</v>
      </c>
      <c r="AY482" s="2">
        <v>0.7194328703703704</v>
      </c>
      <c r="AZ482">
        <v>187216</v>
      </c>
      <c r="BA482" s="1">
        <v>46055</v>
      </c>
      <c r="BC482" t="s">
        <v>0</v>
      </c>
      <c r="BD482" s="1">
        <v>46055</v>
      </c>
      <c r="BE482" t="s">
        <v>175</v>
      </c>
      <c r="BL482" s="4">
        <v>0</v>
      </c>
      <c r="BM482" s="1">
        <v>47031</v>
      </c>
      <c r="BO482">
        <v>0</v>
      </c>
      <c r="BP482">
        <v>28117</v>
      </c>
      <c r="BQ482" t="s">
        <v>156</v>
      </c>
      <c r="BR482">
        <v>0</v>
      </c>
      <c r="BS482">
        <v>0</v>
      </c>
      <c r="BT482">
        <v>0</v>
      </c>
      <c r="BU482">
        <v>0</v>
      </c>
      <c r="BV482" s="3">
        <v>248000.24</v>
      </c>
      <c r="BX482">
        <v>0</v>
      </c>
      <c r="BZ482">
        <v>0</v>
      </c>
      <c r="CA482">
        <v>0</v>
      </c>
      <c r="CB482">
        <v>0</v>
      </c>
      <c r="CC482" s="3">
        <v>248000.24</v>
      </c>
      <c r="CD482" s="5">
        <v>0</v>
      </c>
      <c r="CF482" s="6">
        <v>46054</v>
      </c>
      <c r="CH482">
        <v>0</v>
      </c>
      <c r="CI482">
        <v>0</v>
      </c>
      <c r="CJ482">
        <v>0</v>
      </c>
      <c r="CK482">
        <v>0</v>
      </c>
      <c r="CL482">
        <v>0</v>
      </c>
      <c r="CM482">
        <v>0</v>
      </c>
      <c r="CN482">
        <v>0</v>
      </c>
      <c r="CO482">
        <v>0</v>
      </c>
      <c r="CP482">
        <v>0</v>
      </c>
      <c r="CQ482">
        <v>0</v>
      </c>
      <c r="CR482">
        <v>0</v>
      </c>
      <c r="CT482" t="s">
        <v>190</v>
      </c>
      <c r="CU482" t="s">
        <v>2726</v>
      </c>
      <c r="CW482">
        <v>0</v>
      </c>
      <c r="CZ482" s="1">
        <v>46055</v>
      </c>
      <c r="DA482" t="s">
        <v>172</v>
      </c>
      <c r="DB482" t="s">
        <v>172</v>
      </c>
      <c r="DC482" t="s">
        <v>172</v>
      </c>
      <c r="DD482" t="s">
        <v>172</v>
      </c>
      <c r="DG482" s="1">
        <v>46055</v>
      </c>
      <c r="DH482">
        <v>0</v>
      </c>
      <c r="DI482">
        <v>0</v>
      </c>
      <c r="DL482" t="s">
        <v>963</v>
      </c>
      <c r="DM482" t="s">
        <v>172</v>
      </c>
      <c r="DN482" t="s">
        <v>201</v>
      </c>
      <c r="DV482" s="3">
        <v>248000.24</v>
      </c>
      <c r="DW482">
        <v>0</v>
      </c>
      <c r="DX482" s="3">
        <v>248000.24</v>
      </c>
      <c r="DY482">
        <v>0</v>
      </c>
      <c r="EN482" t="s">
        <v>537</v>
      </c>
      <c r="ET482" t="s">
        <v>2994</v>
      </c>
      <c r="EU482" s="1">
        <v>46063</v>
      </c>
      <c r="EW482" s="1">
        <v>46055</v>
      </c>
    </row>
    <row r="483" spans="1:153" ht="246.5" x14ac:dyDescent="0.35">
      <c r="A483" t="str">
        <f>HYPERLINK("https://7lm.cvcrm.com.br/gestor/comercial/reservas/6637/administrar","6637")</f>
        <v>6637</v>
      </c>
      <c r="B483" t="s">
        <v>156</v>
      </c>
      <c r="C483" s="1">
        <v>46055</v>
      </c>
      <c r="D483" s="2">
        <v>0.48778935185185185</v>
      </c>
      <c r="E483" t="s">
        <v>294</v>
      </c>
      <c r="F483" t="s">
        <v>957</v>
      </c>
      <c r="G483" t="s">
        <v>159</v>
      </c>
      <c r="H483" t="s">
        <v>183</v>
      </c>
      <c r="I483" t="s">
        <v>2439</v>
      </c>
      <c r="J483">
        <v>1</v>
      </c>
      <c r="L483">
        <v>30121</v>
      </c>
      <c r="M483" t="s">
        <v>2995</v>
      </c>
      <c r="N483" s="1">
        <v>46064</v>
      </c>
      <c r="O483" s="2">
        <v>0.61048611111111106</v>
      </c>
      <c r="R483" t="str">
        <f>HYPERLINK("https://7lm.cvcrm.com.br/gestor/relatorios/associado/html?q[1|r.idreserva]=6637","CAIO CESAR AGUIAR BRITO")</f>
        <v>CAIO CESAR AGUIAR BRITO</v>
      </c>
      <c r="S483">
        <v>2270385500</v>
      </c>
      <c r="T483">
        <v>5562998532326</v>
      </c>
      <c r="V483" t="s">
        <v>2996</v>
      </c>
      <c r="W483" t="s">
        <v>163</v>
      </c>
      <c r="X483" t="s">
        <v>2997</v>
      </c>
      <c r="Y483" t="s">
        <v>189</v>
      </c>
      <c r="Z483" t="s">
        <v>190</v>
      </c>
      <c r="AA483" t="s">
        <v>342</v>
      </c>
      <c r="AB483" t="s">
        <v>2998</v>
      </c>
      <c r="AC483" t="s">
        <v>665</v>
      </c>
      <c r="AD483" t="s">
        <v>665</v>
      </c>
      <c r="AF483" t="s">
        <v>250</v>
      </c>
      <c r="AG483" t="s">
        <v>251</v>
      </c>
      <c r="AH483" s="3">
        <v>248230.24</v>
      </c>
      <c r="AI483" s="3">
        <v>248230.24</v>
      </c>
      <c r="AJ483" s="1">
        <v>46081</v>
      </c>
      <c r="AN483" t="s">
        <v>172</v>
      </c>
      <c r="AR483" s="7" t="s">
        <v>353</v>
      </c>
      <c r="AT483" t="s">
        <v>261</v>
      </c>
      <c r="AU483" t="s">
        <v>175</v>
      </c>
      <c r="AW483">
        <v>0</v>
      </c>
      <c r="AX483" s="1">
        <v>46072</v>
      </c>
      <c r="AY483" s="2">
        <v>0.7154166666666667</v>
      </c>
      <c r="AZ483">
        <v>186936</v>
      </c>
      <c r="BA483" s="1">
        <v>46053</v>
      </c>
      <c r="BC483" t="s">
        <v>0</v>
      </c>
      <c r="BD483" s="1">
        <v>46055</v>
      </c>
      <c r="BE483" t="s">
        <v>176</v>
      </c>
      <c r="BL483" s="4">
        <v>0</v>
      </c>
      <c r="BM483" s="1">
        <v>47031</v>
      </c>
      <c r="BN483" s="1">
        <v>46072</v>
      </c>
      <c r="BO483">
        <v>0</v>
      </c>
      <c r="BP483">
        <v>28087</v>
      </c>
      <c r="BQ483" t="s">
        <v>156</v>
      </c>
      <c r="BR483">
        <v>0</v>
      </c>
      <c r="BS483">
        <v>0</v>
      </c>
      <c r="BT483">
        <v>0</v>
      </c>
      <c r="BU483">
        <v>0</v>
      </c>
      <c r="BV483" s="3">
        <v>248230.24</v>
      </c>
      <c r="BX483">
        <v>0</v>
      </c>
      <c r="BZ483">
        <v>0</v>
      </c>
      <c r="CA483">
        <v>0</v>
      </c>
      <c r="CB483">
        <v>0</v>
      </c>
      <c r="CC483" s="3">
        <v>248230.24</v>
      </c>
      <c r="CD483" s="5">
        <v>0</v>
      </c>
      <c r="CF483" s="6">
        <v>46054</v>
      </c>
      <c r="CH483">
        <v>0</v>
      </c>
      <c r="CI483">
        <v>0</v>
      </c>
      <c r="CJ483">
        <v>0</v>
      </c>
      <c r="CK483">
        <v>0</v>
      </c>
      <c r="CL483">
        <v>0</v>
      </c>
      <c r="CM483">
        <v>0</v>
      </c>
      <c r="CN483">
        <v>0</v>
      </c>
      <c r="CO483">
        <v>0</v>
      </c>
      <c r="CP483">
        <v>0</v>
      </c>
      <c r="CQ483">
        <v>0</v>
      </c>
      <c r="CR483">
        <v>0</v>
      </c>
      <c r="CS483" t="s">
        <v>599</v>
      </c>
      <c r="CT483" t="s">
        <v>190</v>
      </c>
      <c r="CU483" t="s">
        <v>2439</v>
      </c>
      <c r="CW483">
        <v>423.6925</v>
      </c>
      <c r="CZ483" s="1">
        <v>46055</v>
      </c>
      <c r="DA483" t="s">
        <v>172</v>
      </c>
      <c r="DB483" t="s">
        <v>172</v>
      </c>
      <c r="DC483" t="s">
        <v>172</v>
      </c>
      <c r="DD483" t="s">
        <v>172</v>
      </c>
      <c r="DG483" s="1">
        <v>46055</v>
      </c>
      <c r="DH483">
        <v>0</v>
      </c>
      <c r="DI483">
        <v>0</v>
      </c>
      <c r="DL483" t="s">
        <v>963</v>
      </c>
      <c r="DM483" t="s">
        <v>172</v>
      </c>
      <c r="DN483" t="s">
        <v>225</v>
      </c>
      <c r="DV483" s="3">
        <v>248230.24</v>
      </c>
      <c r="DW483">
        <v>0</v>
      </c>
      <c r="DX483" s="3">
        <v>248230.24</v>
      </c>
      <c r="DY483">
        <v>0</v>
      </c>
      <c r="EG483" s="1">
        <v>46065</v>
      </c>
      <c r="EN483" t="s">
        <v>156</v>
      </c>
      <c r="EP483" s="1">
        <v>46064</v>
      </c>
      <c r="ER483" s="1">
        <v>46063</v>
      </c>
      <c r="ES483" t="s">
        <v>2999</v>
      </c>
      <c r="ET483" t="s">
        <v>3000</v>
      </c>
      <c r="EU483" s="1">
        <v>46064</v>
      </c>
      <c r="EW483" s="1">
        <v>46055</v>
      </c>
    </row>
    <row r="484" spans="1:153" ht="87" x14ac:dyDescent="0.35">
      <c r="A484" t="str">
        <f>HYPERLINK("https://7lm.cvcrm.com.br/gestor/comercial/reservas/6636/administrar","6636")</f>
        <v>6636</v>
      </c>
      <c r="B484" t="s">
        <v>156</v>
      </c>
      <c r="C484" s="1">
        <v>46054</v>
      </c>
      <c r="D484" s="2">
        <v>0.60969907407407409</v>
      </c>
      <c r="E484" t="s">
        <v>294</v>
      </c>
      <c r="F484" t="s">
        <v>226</v>
      </c>
      <c r="G484" t="s">
        <v>159</v>
      </c>
      <c r="H484" t="s">
        <v>1143</v>
      </c>
      <c r="I484" t="s">
        <v>3001</v>
      </c>
      <c r="J484">
        <v>1</v>
      </c>
      <c r="K484">
        <v>8212</v>
      </c>
      <c r="L484">
        <v>10031</v>
      </c>
      <c r="M484" t="s">
        <v>3002</v>
      </c>
      <c r="N484" s="1">
        <v>46108</v>
      </c>
      <c r="O484" s="2">
        <v>0.48160879629629627</v>
      </c>
      <c r="R484" t="str">
        <f>HYPERLINK("https://7lm.cvcrm.com.br/gestor/relatorios/associado/html?q[1|r.idreserva]=6636","KARLA DA SILVA FONSECA")</f>
        <v>KARLA DA SILVA FONSECA</v>
      </c>
      <c r="S484">
        <v>1828499102</v>
      </c>
      <c r="T484">
        <v>5561985488578</v>
      </c>
      <c r="U484">
        <v>5561985488578</v>
      </c>
      <c r="V484" t="s">
        <v>3003</v>
      </c>
      <c r="W484" t="s">
        <v>187</v>
      </c>
      <c r="X484" t="s">
        <v>1116</v>
      </c>
      <c r="Y484" t="s">
        <v>165</v>
      </c>
      <c r="Z484" t="s">
        <v>257</v>
      </c>
      <c r="AA484" t="s">
        <v>311</v>
      </c>
      <c r="AB484" t="s">
        <v>3004</v>
      </c>
      <c r="AC484" t="s">
        <v>260</v>
      </c>
      <c r="AE484" t="s">
        <v>169</v>
      </c>
      <c r="AF484" t="s">
        <v>170</v>
      </c>
      <c r="AG484" t="s">
        <v>195</v>
      </c>
      <c r="AH484" s="3">
        <v>388737.37</v>
      </c>
      <c r="AI484" s="3">
        <v>388737.37</v>
      </c>
      <c r="AJ484" s="1">
        <v>46112</v>
      </c>
      <c r="AN484" t="s">
        <v>172</v>
      </c>
      <c r="AR484" s="7" t="s">
        <v>1149</v>
      </c>
      <c r="AT484" t="s">
        <v>173</v>
      </c>
      <c r="AU484" t="s">
        <v>335</v>
      </c>
      <c r="AW484">
        <v>0</v>
      </c>
      <c r="AX484" s="1">
        <v>46087</v>
      </c>
      <c r="AY484" s="2">
        <v>0.46686342592592595</v>
      </c>
      <c r="AZ484">
        <v>186962</v>
      </c>
      <c r="BA484" s="1">
        <v>46053</v>
      </c>
      <c r="BC484" t="s">
        <v>0</v>
      </c>
      <c r="BD484" s="1">
        <v>46054</v>
      </c>
      <c r="BE484" t="s">
        <v>1848</v>
      </c>
      <c r="BL484" s="4">
        <v>0</v>
      </c>
      <c r="BM484" s="1">
        <v>46698</v>
      </c>
      <c r="BN484" s="1">
        <v>46087</v>
      </c>
      <c r="BO484">
        <v>0</v>
      </c>
      <c r="BP484">
        <v>28097</v>
      </c>
      <c r="BQ484" t="s">
        <v>156</v>
      </c>
      <c r="BR484" s="3">
        <v>345862.09</v>
      </c>
      <c r="BS484">
        <v>0</v>
      </c>
      <c r="BT484" s="3">
        <v>52678.39</v>
      </c>
      <c r="BU484" s="3">
        <v>398540.48</v>
      </c>
      <c r="BV484" s="3">
        <v>388737.37</v>
      </c>
      <c r="BX484">
        <v>0</v>
      </c>
      <c r="BZ484">
        <v>0</v>
      </c>
      <c r="CA484">
        <v>0</v>
      </c>
      <c r="CB484">
        <v>0</v>
      </c>
      <c r="CC484" s="3">
        <v>388737.37</v>
      </c>
      <c r="CD484" s="5">
        <v>0</v>
      </c>
      <c r="CF484" s="6">
        <v>46082</v>
      </c>
      <c r="CH484">
        <v>0</v>
      </c>
      <c r="CI484">
        <v>0</v>
      </c>
      <c r="CJ484">
        <v>0</v>
      </c>
      <c r="CK484">
        <v>0</v>
      </c>
      <c r="CL484">
        <v>0</v>
      </c>
      <c r="CM484">
        <v>0</v>
      </c>
      <c r="CN484">
        <v>0</v>
      </c>
      <c r="CO484">
        <v>0</v>
      </c>
      <c r="CP484">
        <v>0</v>
      </c>
      <c r="CQ484">
        <v>0</v>
      </c>
      <c r="CR484">
        <v>0</v>
      </c>
      <c r="CS484" t="s">
        <v>360</v>
      </c>
      <c r="CT484" t="s">
        <v>238</v>
      </c>
      <c r="CU484" t="s">
        <v>3001</v>
      </c>
      <c r="CW484">
        <v>-58.143500000000003</v>
      </c>
      <c r="CX484" t="s">
        <v>170</v>
      </c>
      <c r="CZ484" s="1">
        <v>46054</v>
      </c>
      <c r="DA484" t="s">
        <v>172</v>
      </c>
      <c r="DB484" t="s">
        <v>172</v>
      </c>
      <c r="DC484" t="s">
        <v>172</v>
      </c>
      <c r="DD484" t="s">
        <v>172</v>
      </c>
      <c r="DG484" s="1">
        <v>46054</v>
      </c>
      <c r="DH484">
        <v>0</v>
      </c>
      <c r="DI484">
        <v>0</v>
      </c>
      <c r="DL484" t="s">
        <v>263</v>
      </c>
      <c r="DM484" t="s">
        <v>172</v>
      </c>
      <c r="DN484" t="s">
        <v>264</v>
      </c>
      <c r="DV484" s="3">
        <v>388737.37</v>
      </c>
      <c r="DW484">
        <v>0</v>
      </c>
      <c r="DX484" s="3">
        <v>388737.37</v>
      </c>
      <c r="DY484">
        <v>0</v>
      </c>
    </row>
    <row r="485" spans="1:153" x14ac:dyDescent="0.35">
      <c r="A485" t="str">
        <f>HYPERLINK("https://7lm.cvcrm.com.br/gestor/comercial/reservas/6635/administrar","6635")</f>
        <v>6635</v>
      </c>
      <c r="B485" t="s">
        <v>156</v>
      </c>
      <c r="C485" s="1">
        <v>46054</v>
      </c>
      <c r="D485" s="2">
        <v>0.49905092592592593</v>
      </c>
      <c r="E485" t="s">
        <v>527</v>
      </c>
      <c r="F485" t="s">
        <v>202</v>
      </c>
      <c r="G485" t="s">
        <v>203</v>
      </c>
      <c r="H485" t="s">
        <v>404</v>
      </c>
      <c r="I485" t="s">
        <v>1662</v>
      </c>
      <c r="J485">
        <v>1</v>
      </c>
      <c r="L485">
        <v>20031</v>
      </c>
      <c r="M485" t="s">
        <v>1663</v>
      </c>
      <c r="N485" s="1">
        <v>46060</v>
      </c>
      <c r="O485" s="2">
        <v>0.61910879629629634</v>
      </c>
      <c r="R485" t="str">
        <f>HYPERLINK("https://7lm.cvcrm.com.br/gestor/relatorios/associado/html?q[1|r.idreserva]=6635","PABLO ISAAC SANTOS PERREIRA")</f>
        <v>PABLO ISAAC SANTOS PERREIRA</v>
      </c>
      <c r="S485">
        <v>8790959116</v>
      </c>
      <c r="T485">
        <v>5561998343693</v>
      </c>
      <c r="V485" t="s">
        <v>3005</v>
      </c>
      <c r="W485" t="s">
        <v>163</v>
      </c>
      <c r="Y485" t="s">
        <v>189</v>
      </c>
      <c r="Z485" t="s">
        <v>214</v>
      </c>
      <c r="AA485" t="s">
        <v>791</v>
      </c>
      <c r="AB485" t="s">
        <v>3006</v>
      </c>
      <c r="AC485" t="s">
        <v>2806</v>
      </c>
      <c r="AD485" t="s">
        <v>2806</v>
      </c>
      <c r="AF485" t="s">
        <v>634</v>
      </c>
      <c r="AG485" t="s">
        <v>195</v>
      </c>
      <c r="AH485" s="3">
        <v>211044.01</v>
      </c>
      <c r="AI485" s="3">
        <v>211044.01</v>
      </c>
      <c r="AJ485" s="1">
        <v>46117</v>
      </c>
      <c r="AN485" t="s">
        <v>172</v>
      </c>
      <c r="AO485" t="s">
        <v>816</v>
      </c>
      <c r="AR485" t="s">
        <v>3007</v>
      </c>
      <c r="AT485" t="s">
        <v>196</v>
      </c>
      <c r="AU485" t="s">
        <v>1073</v>
      </c>
      <c r="AW485">
        <v>0</v>
      </c>
      <c r="AX485" s="1">
        <v>46078</v>
      </c>
      <c r="AY485" s="2">
        <v>0.42752314814814812</v>
      </c>
      <c r="AZ485">
        <v>187052</v>
      </c>
      <c r="BA485" s="1">
        <v>46054</v>
      </c>
      <c r="BC485" t="s">
        <v>0</v>
      </c>
      <c r="BD485" s="1">
        <v>46054</v>
      </c>
      <c r="BE485" t="s">
        <v>213</v>
      </c>
      <c r="BL485" s="4">
        <v>0</v>
      </c>
      <c r="BM485" s="1">
        <v>46808</v>
      </c>
      <c r="BO485">
        <v>0</v>
      </c>
      <c r="BP485">
        <v>27955</v>
      </c>
      <c r="BQ485" t="s">
        <v>156</v>
      </c>
      <c r="BR485" s="3">
        <v>106244.08</v>
      </c>
      <c r="BS485" s="3">
        <v>55000</v>
      </c>
      <c r="BT485">
        <v>0</v>
      </c>
      <c r="BU485" s="3">
        <v>161244.07999999999</v>
      </c>
      <c r="BV485" s="3">
        <v>211044.01</v>
      </c>
      <c r="BX485">
        <v>0</v>
      </c>
      <c r="BZ485">
        <v>0</v>
      </c>
      <c r="CA485">
        <v>0</v>
      </c>
      <c r="CB485">
        <v>0</v>
      </c>
      <c r="CC485" s="3">
        <v>211044.01</v>
      </c>
      <c r="CD485" s="5">
        <v>0</v>
      </c>
      <c r="CF485" s="6">
        <v>46054</v>
      </c>
      <c r="CH485">
        <v>0</v>
      </c>
      <c r="CI485">
        <v>0</v>
      </c>
      <c r="CJ485">
        <v>0</v>
      </c>
      <c r="CK485">
        <v>0</v>
      </c>
      <c r="CL485">
        <v>0</v>
      </c>
      <c r="CM485">
        <v>0</v>
      </c>
      <c r="CN485">
        <v>0</v>
      </c>
      <c r="CO485">
        <v>0</v>
      </c>
      <c r="CP485">
        <v>0</v>
      </c>
      <c r="CQ485">
        <v>0</v>
      </c>
      <c r="CR485">
        <v>0</v>
      </c>
      <c r="CS485" t="s">
        <v>1918</v>
      </c>
      <c r="CT485" t="s">
        <v>214</v>
      </c>
      <c r="CU485" t="s">
        <v>1662</v>
      </c>
      <c r="CW485">
        <v>345.2405</v>
      </c>
      <c r="CZ485" s="1">
        <v>46054</v>
      </c>
      <c r="DA485" t="s">
        <v>172</v>
      </c>
      <c r="DB485" t="s">
        <v>172</v>
      </c>
      <c r="DC485" t="s">
        <v>172</v>
      </c>
      <c r="DD485" t="s">
        <v>172</v>
      </c>
      <c r="DG485" s="1">
        <v>46054</v>
      </c>
      <c r="DH485">
        <v>0</v>
      </c>
      <c r="DI485">
        <v>0</v>
      </c>
      <c r="DL485" t="s">
        <v>215</v>
      </c>
      <c r="DM485" t="s">
        <v>172</v>
      </c>
      <c r="DN485" t="s">
        <v>201</v>
      </c>
      <c r="DV485" s="3">
        <v>211044.01</v>
      </c>
      <c r="DW485">
        <v>0</v>
      </c>
      <c r="DX485" s="3">
        <v>211044.01</v>
      </c>
      <c r="DY485">
        <v>0</v>
      </c>
      <c r="EN485" t="s">
        <v>537</v>
      </c>
      <c r="EP485" s="1">
        <v>46058</v>
      </c>
      <c r="ET485" t="s">
        <v>2674</v>
      </c>
      <c r="EW485" s="1">
        <v>46054</v>
      </c>
    </row>
    <row r="486" spans="1:153" ht="246.5" x14ac:dyDescent="0.35">
      <c r="A486" t="str">
        <f>HYPERLINK("https://7lm.cvcrm.com.br/gestor/comercial/reservas/6634/administrar","6634")</f>
        <v>6634</v>
      </c>
      <c r="B486" t="s">
        <v>156</v>
      </c>
      <c r="C486" s="1">
        <v>46053</v>
      </c>
      <c r="D486" s="2">
        <v>0.54121527777777778</v>
      </c>
      <c r="E486" t="s">
        <v>294</v>
      </c>
      <c r="F486" t="s">
        <v>458</v>
      </c>
      <c r="G486" t="s">
        <v>203</v>
      </c>
      <c r="H486" t="s">
        <v>277</v>
      </c>
      <c r="I486" t="s">
        <v>3008</v>
      </c>
      <c r="J486">
        <v>1</v>
      </c>
      <c r="L486">
        <v>20001</v>
      </c>
      <c r="M486" t="s">
        <v>3009</v>
      </c>
      <c r="N486" s="1">
        <v>46055</v>
      </c>
      <c r="O486" s="2">
        <v>0.77405092592592595</v>
      </c>
      <c r="R486" t="str">
        <f>HYPERLINK("https://7lm.cvcrm.com.br/gestor/relatorios/associado/html?q[1|r.idreserva]=6634","ANAIZIA XAVIER DA CONCEICAO")</f>
        <v>ANAIZIA XAVIER DA CONCEICAO</v>
      </c>
      <c r="S486">
        <v>8966724337</v>
      </c>
      <c r="T486">
        <v>5561974026963</v>
      </c>
      <c r="V486" t="s">
        <v>3010</v>
      </c>
      <c r="W486" t="s">
        <v>187</v>
      </c>
      <c r="X486" t="s">
        <v>2985</v>
      </c>
      <c r="Y486" t="s">
        <v>165</v>
      </c>
      <c r="Z486" t="s">
        <v>1331</v>
      </c>
      <c r="AA486" t="s">
        <v>3011</v>
      </c>
      <c r="AB486" t="s">
        <v>3012</v>
      </c>
      <c r="AC486" t="s">
        <v>1056</v>
      </c>
      <c r="AF486" t="s">
        <v>399</v>
      </c>
      <c r="AG486" t="s">
        <v>195</v>
      </c>
      <c r="AH486" s="3">
        <v>225000.68</v>
      </c>
      <c r="AI486" s="3">
        <v>225000.68</v>
      </c>
      <c r="AJ486" s="1">
        <v>46082</v>
      </c>
      <c r="AN486" t="s">
        <v>172</v>
      </c>
      <c r="AR486" s="7" t="s">
        <v>353</v>
      </c>
      <c r="AT486" t="s">
        <v>196</v>
      </c>
      <c r="AU486" t="s">
        <v>292</v>
      </c>
      <c r="AW486">
        <v>0</v>
      </c>
      <c r="AX486" s="1">
        <v>46079</v>
      </c>
      <c r="AY486" s="2">
        <v>0.40067129629629628</v>
      </c>
      <c r="AZ486">
        <v>184537</v>
      </c>
      <c r="BA486" s="1">
        <v>46039</v>
      </c>
      <c r="BC486" t="s">
        <v>0</v>
      </c>
      <c r="BD486" s="1">
        <v>46053</v>
      </c>
      <c r="BE486" t="s">
        <v>198</v>
      </c>
      <c r="BL486" s="4">
        <v>0</v>
      </c>
      <c r="BM486" s="1">
        <v>46572</v>
      </c>
      <c r="BN486" s="1">
        <v>46079</v>
      </c>
      <c r="BO486">
        <v>0</v>
      </c>
      <c r="BP486">
        <v>27971</v>
      </c>
      <c r="BQ486" t="s">
        <v>156</v>
      </c>
      <c r="BR486" s="3">
        <v>111757.48</v>
      </c>
      <c r="BS486" s="3">
        <v>52300</v>
      </c>
      <c r="BT486">
        <v>0</v>
      </c>
      <c r="BU486" s="3">
        <v>164057.48000000001</v>
      </c>
      <c r="BV486" s="3">
        <v>225000.68</v>
      </c>
      <c r="BX486">
        <v>0</v>
      </c>
      <c r="BZ486">
        <v>0</v>
      </c>
      <c r="CA486">
        <v>0</v>
      </c>
      <c r="CB486">
        <v>0</v>
      </c>
      <c r="CC486" s="3">
        <v>225000.68</v>
      </c>
      <c r="CD486" s="5">
        <v>0</v>
      </c>
      <c r="CE486" t="s">
        <v>467</v>
      </c>
      <c r="CF486" s="6">
        <v>46054</v>
      </c>
      <c r="CH486">
        <v>0</v>
      </c>
      <c r="CI486">
        <v>0</v>
      </c>
      <c r="CJ486">
        <v>0</v>
      </c>
      <c r="CK486">
        <v>0</v>
      </c>
      <c r="CL486">
        <v>0</v>
      </c>
      <c r="CM486">
        <v>0</v>
      </c>
      <c r="CN486">
        <v>0</v>
      </c>
      <c r="CO486">
        <v>0</v>
      </c>
      <c r="CP486">
        <v>0</v>
      </c>
      <c r="CQ486">
        <v>0</v>
      </c>
      <c r="CR486">
        <v>0</v>
      </c>
      <c r="CS486" t="s">
        <v>2497</v>
      </c>
      <c r="CT486" t="s">
        <v>214</v>
      </c>
      <c r="CU486" t="s">
        <v>3008</v>
      </c>
      <c r="CW486">
        <v>391.2679</v>
      </c>
      <c r="CZ486" s="1">
        <v>46053</v>
      </c>
      <c r="DA486" t="s">
        <v>172</v>
      </c>
      <c r="DB486" t="s">
        <v>172</v>
      </c>
      <c r="DC486" t="s">
        <v>172</v>
      </c>
      <c r="DD486" t="s">
        <v>172</v>
      </c>
      <c r="DG486" s="1">
        <v>46053</v>
      </c>
      <c r="DH486">
        <v>0</v>
      </c>
      <c r="DI486">
        <v>0</v>
      </c>
      <c r="DL486" t="s">
        <v>200</v>
      </c>
      <c r="DM486" t="s">
        <v>172</v>
      </c>
      <c r="DN486" t="s">
        <v>201</v>
      </c>
      <c r="DV486" s="3">
        <v>225000.68</v>
      </c>
      <c r="DW486">
        <v>0</v>
      </c>
      <c r="DX486" s="3">
        <v>225000.68</v>
      </c>
      <c r="DY486">
        <v>0</v>
      </c>
      <c r="EF486" s="1">
        <v>46065</v>
      </c>
      <c r="EG486" s="1">
        <v>46064</v>
      </c>
      <c r="EK486" s="1">
        <v>46065</v>
      </c>
      <c r="EL486" s="1">
        <v>46065</v>
      </c>
      <c r="EM486" s="1">
        <v>46069</v>
      </c>
      <c r="EN486" t="s">
        <v>156</v>
      </c>
      <c r="EP486" s="1">
        <v>46065</v>
      </c>
      <c r="EU486" s="1">
        <v>46062</v>
      </c>
      <c r="EW486" s="1">
        <v>46055</v>
      </c>
    </row>
    <row r="487" spans="1:153" x14ac:dyDescent="0.35">
      <c r="A487" t="str">
        <f>HYPERLINK("https://7lm.cvcrm.com.br/gestor/comercial/reservas/6633/administrar","6633")</f>
        <v>6633</v>
      </c>
      <c r="B487" t="s">
        <v>172</v>
      </c>
      <c r="C487" s="1">
        <v>46052</v>
      </c>
      <c r="D487" s="2">
        <v>0.75673611111111116</v>
      </c>
      <c r="E487" t="s">
        <v>527</v>
      </c>
      <c r="F487" t="s">
        <v>458</v>
      </c>
      <c r="G487" t="s">
        <v>203</v>
      </c>
      <c r="H487" t="s">
        <v>277</v>
      </c>
      <c r="I487" t="s">
        <v>346</v>
      </c>
      <c r="J487">
        <v>1</v>
      </c>
      <c r="K487">
        <v>6165</v>
      </c>
      <c r="L487">
        <v>20001</v>
      </c>
      <c r="M487" t="s">
        <v>2646</v>
      </c>
      <c r="R487" t="str">
        <f>HYPERLINK("https://7lm.cvcrm.com.br/gestor/relatorios/associado/html?q[1|r.idreserva]=6633","JOAO PAULO ALMEIDA DA PADUA")</f>
        <v>JOAO PAULO ALMEIDA DA PADUA</v>
      </c>
      <c r="S487">
        <v>75272709187</v>
      </c>
      <c r="T487">
        <v>5561998181631</v>
      </c>
      <c r="V487" t="s">
        <v>3013</v>
      </c>
      <c r="W487" t="s">
        <v>163</v>
      </c>
      <c r="X487" t="s">
        <v>3014</v>
      </c>
      <c r="AA487" t="s">
        <v>2868</v>
      </c>
      <c r="AB487" t="s">
        <v>3015</v>
      </c>
      <c r="AC487" t="s">
        <v>1466</v>
      </c>
      <c r="AF487" t="s">
        <v>413</v>
      </c>
      <c r="AG487" t="s">
        <v>195</v>
      </c>
      <c r="AH487" s="3">
        <v>213000</v>
      </c>
      <c r="AI487" s="3">
        <v>213000</v>
      </c>
      <c r="AJ487" s="1">
        <v>46073</v>
      </c>
      <c r="AN487" t="s">
        <v>172</v>
      </c>
      <c r="AO487" t="s">
        <v>2880</v>
      </c>
      <c r="AR487" t="s">
        <v>2881</v>
      </c>
      <c r="AT487" t="s">
        <v>196</v>
      </c>
      <c r="AU487" t="s">
        <v>316</v>
      </c>
      <c r="AW487">
        <v>0</v>
      </c>
      <c r="AX487" s="1">
        <v>46065</v>
      </c>
      <c r="AY487" s="2">
        <v>0.40615740740740741</v>
      </c>
      <c r="AZ487">
        <v>137095</v>
      </c>
      <c r="BA487" s="1">
        <v>45593</v>
      </c>
      <c r="BC487" t="s">
        <v>0</v>
      </c>
      <c r="BD487" s="1">
        <v>46052</v>
      </c>
      <c r="BE487" t="s">
        <v>1848</v>
      </c>
      <c r="BL487" s="4">
        <v>0</v>
      </c>
      <c r="BM487" s="1">
        <v>46572</v>
      </c>
      <c r="BO487">
        <v>0</v>
      </c>
      <c r="BP487">
        <v>28035</v>
      </c>
      <c r="BQ487" t="s">
        <v>156</v>
      </c>
      <c r="BR487" s="3">
        <v>121535.53</v>
      </c>
      <c r="BS487" s="3">
        <v>23314</v>
      </c>
      <c r="BT487">
        <v>0</v>
      </c>
      <c r="BU487" s="3">
        <v>144849.53</v>
      </c>
      <c r="BV487" s="3">
        <v>213000</v>
      </c>
      <c r="BX487">
        <v>0</v>
      </c>
      <c r="BZ487">
        <v>0</v>
      </c>
      <c r="CA487">
        <v>0</v>
      </c>
      <c r="CB487">
        <v>0</v>
      </c>
      <c r="CC487" s="3">
        <v>213000</v>
      </c>
      <c r="CD487" s="5">
        <v>0</v>
      </c>
      <c r="CE487" t="s">
        <v>467</v>
      </c>
      <c r="CF487" s="6">
        <v>46054</v>
      </c>
      <c r="CH487">
        <v>0</v>
      </c>
      <c r="CI487">
        <v>0</v>
      </c>
      <c r="CJ487">
        <v>0</v>
      </c>
      <c r="CK487">
        <v>0</v>
      </c>
      <c r="CL487">
        <v>0</v>
      </c>
      <c r="CM487">
        <v>0</v>
      </c>
      <c r="CN487">
        <v>0</v>
      </c>
      <c r="CO487">
        <v>0</v>
      </c>
      <c r="CP487">
        <v>0</v>
      </c>
      <c r="CQ487">
        <v>0</v>
      </c>
      <c r="CR487">
        <v>0</v>
      </c>
      <c r="CT487" t="s">
        <v>214</v>
      </c>
      <c r="CU487" t="s">
        <v>346</v>
      </c>
      <c r="CW487">
        <v>0</v>
      </c>
      <c r="CZ487" s="1">
        <v>46052</v>
      </c>
      <c r="DA487" t="s">
        <v>172</v>
      </c>
      <c r="DB487" t="s">
        <v>172</v>
      </c>
      <c r="DC487" t="s">
        <v>172</v>
      </c>
      <c r="DD487" t="s">
        <v>172</v>
      </c>
      <c r="DG487" s="1">
        <v>46052</v>
      </c>
      <c r="DH487">
        <v>0</v>
      </c>
      <c r="DI487">
        <v>0</v>
      </c>
      <c r="DL487" t="s">
        <v>200</v>
      </c>
      <c r="DM487" t="s">
        <v>172</v>
      </c>
      <c r="DN487" t="s">
        <v>201</v>
      </c>
      <c r="DU487" t="s">
        <v>1266</v>
      </c>
      <c r="DV487" s="3">
        <v>259800</v>
      </c>
      <c r="DW487">
        <v>-54.95</v>
      </c>
      <c r="DX487" s="3">
        <v>259800</v>
      </c>
      <c r="DY487">
        <v>-54.95</v>
      </c>
      <c r="EN487" t="s">
        <v>537</v>
      </c>
      <c r="ET487" t="s">
        <v>417</v>
      </c>
      <c r="EW487" s="1">
        <v>46052</v>
      </c>
    </row>
    <row r="488" spans="1:153" x14ac:dyDescent="0.35">
      <c r="A488" t="str">
        <f>HYPERLINK("https://7lm.cvcrm.com.br/gestor/comercial/reservas/6632/administrar","6632")</f>
        <v>6632</v>
      </c>
      <c r="B488" t="s">
        <v>172</v>
      </c>
      <c r="C488" s="1">
        <v>46052</v>
      </c>
      <c r="D488" s="2">
        <v>0.64196759259259262</v>
      </c>
      <c r="E488" t="s">
        <v>527</v>
      </c>
      <c r="F488" t="s">
        <v>202</v>
      </c>
      <c r="G488" t="s">
        <v>203</v>
      </c>
      <c r="H488" t="s">
        <v>277</v>
      </c>
      <c r="I488" t="s">
        <v>583</v>
      </c>
      <c r="J488">
        <v>1</v>
      </c>
      <c r="L488">
        <v>20031</v>
      </c>
      <c r="M488" t="s">
        <v>1279</v>
      </c>
      <c r="R488" t="str">
        <f>HYPERLINK("https://7lm.cvcrm.com.br/gestor/relatorios/associado/html?q[1|r.idreserva]=6632","ANDRÉ LUIZ DOS SANTOS MIRANDA")</f>
        <v>ANDRÉ LUIZ DOS SANTOS MIRANDA</v>
      </c>
      <c r="S488">
        <v>6544695122</v>
      </c>
      <c r="T488">
        <v>5561995902650</v>
      </c>
      <c r="V488" t="s">
        <v>3016</v>
      </c>
      <c r="W488" t="s">
        <v>163</v>
      </c>
      <c r="X488" t="s">
        <v>521</v>
      </c>
      <c r="AA488" t="s">
        <v>3017</v>
      </c>
      <c r="AB488" t="s">
        <v>3018</v>
      </c>
      <c r="AC488" t="s">
        <v>455</v>
      </c>
      <c r="AF488" t="s">
        <v>389</v>
      </c>
      <c r="AG488" t="s">
        <v>195</v>
      </c>
      <c r="AH488" s="3">
        <v>213000.02</v>
      </c>
      <c r="AI488" s="3">
        <v>213000.02</v>
      </c>
      <c r="AJ488" s="1">
        <v>46082</v>
      </c>
      <c r="AN488" t="s">
        <v>172</v>
      </c>
      <c r="AO488" t="s">
        <v>1334</v>
      </c>
      <c r="AR488" t="s">
        <v>3019</v>
      </c>
      <c r="AT488" t="s">
        <v>196</v>
      </c>
      <c r="AU488" t="s">
        <v>292</v>
      </c>
      <c r="AW488">
        <v>0</v>
      </c>
      <c r="AX488" s="1">
        <v>46059</v>
      </c>
      <c r="AY488" s="2">
        <v>0.62710648148148151</v>
      </c>
      <c r="AZ488">
        <v>186331</v>
      </c>
      <c r="BA488" s="1">
        <v>46048</v>
      </c>
      <c r="BC488" t="s">
        <v>0</v>
      </c>
      <c r="BD488" s="1">
        <v>46052</v>
      </c>
      <c r="BE488" t="s">
        <v>276</v>
      </c>
      <c r="BL488" s="4">
        <v>0</v>
      </c>
      <c r="BM488" s="1">
        <v>46808</v>
      </c>
      <c r="BO488">
        <v>0</v>
      </c>
      <c r="BP488">
        <v>27919</v>
      </c>
      <c r="BQ488" t="s">
        <v>156</v>
      </c>
      <c r="BR488" s="3">
        <v>102940.02</v>
      </c>
      <c r="BS488" s="3">
        <v>55000</v>
      </c>
      <c r="BT488">
        <v>0</v>
      </c>
      <c r="BU488" s="3">
        <v>157940.01999999999</v>
      </c>
      <c r="BV488" s="3">
        <v>213000.02</v>
      </c>
      <c r="BX488">
        <v>0</v>
      </c>
      <c r="BZ488">
        <v>0</v>
      </c>
      <c r="CA488">
        <v>0</v>
      </c>
      <c r="CB488">
        <v>0</v>
      </c>
      <c r="CC488" s="3">
        <v>213000.02</v>
      </c>
      <c r="CD488" s="5">
        <v>0</v>
      </c>
      <c r="CF488" s="6">
        <v>46054</v>
      </c>
      <c r="CH488">
        <v>0</v>
      </c>
      <c r="CI488">
        <v>0</v>
      </c>
      <c r="CJ488">
        <v>0</v>
      </c>
      <c r="CK488">
        <v>0</v>
      </c>
      <c r="CL488">
        <v>0</v>
      </c>
      <c r="CM488">
        <v>0</v>
      </c>
      <c r="CN488">
        <v>0</v>
      </c>
      <c r="CO488">
        <v>0</v>
      </c>
      <c r="CP488">
        <v>0</v>
      </c>
      <c r="CQ488">
        <v>0</v>
      </c>
      <c r="CR488">
        <v>0</v>
      </c>
      <c r="CT488" t="s">
        <v>214</v>
      </c>
      <c r="CU488" t="s">
        <v>583</v>
      </c>
      <c r="CW488">
        <v>0</v>
      </c>
      <c r="CZ488" s="1">
        <v>46052</v>
      </c>
      <c r="DA488" t="s">
        <v>172</v>
      </c>
      <c r="DB488" t="s">
        <v>172</v>
      </c>
      <c r="DC488" t="s">
        <v>172</v>
      </c>
      <c r="DD488" t="s">
        <v>172</v>
      </c>
      <c r="DG488" s="1">
        <v>46052</v>
      </c>
      <c r="DH488">
        <v>0</v>
      </c>
      <c r="DI488">
        <v>0</v>
      </c>
      <c r="DL488" t="s">
        <v>215</v>
      </c>
      <c r="DM488" t="s">
        <v>172</v>
      </c>
      <c r="DN488" t="s">
        <v>201</v>
      </c>
      <c r="DV488" s="3">
        <v>213000.02</v>
      </c>
      <c r="DW488">
        <v>0</v>
      </c>
      <c r="DX488" s="3">
        <v>213000.02</v>
      </c>
      <c r="DY488">
        <v>0</v>
      </c>
      <c r="EN488" t="s">
        <v>537</v>
      </c>
      <c r="EU488" s="1">
        <v>46069</v>
      </c>
      <c r="EW488" s="1">
        <v>46056</v>
      </c>
    </row>
    <row r="489" spans="1:153" x14ac:dyDescent="0.35">
      <c r="A489" t="str">
        <f>HYPERLINK("https://7lm.cvcrm.com.br/gestor/comercial/reservas/6631/administrar","6631")</f>
        <v>6631</v>
      </c>
      <c r="B489" t="s">
        <v>172</v>
      </c>
      <c r="C489" s="1">
        <v>46052</v>
      </c>
      <c r="D489" s="2">
        <v>0.53447916666666662</v>
      </c>
      <c r="E489" t="s">
        <v>527</v>
      </c>
      <c r="F489" t="s">
        <v>458</v>
      </c>
      <c r="G489" t="s">
        <v>203</v>
      </c>
      <c r="H489" t="s">
        <v>391</v>
      </c>
      <c r="I489" t="s">
        <v>2077</v>
      </c>
      <c r="J489">
        <v>1</v>
      </c>
      <c r="L489">
        <v>20001</v>
      </c>
      <c r="M489" t="s">
        <v>2848</v>
      </c>
      <c r="R489" t="str">
        <f>HYPERLINK("https://7lm.cvcrm.com.br/gestor/relatorios/associado/html?q[1|r.idreserva]=6631","PEDRO HENRIQUE BRITO CAVALHIER")</f>
        <v>PEDRO HENRIQUE BRITO CAVALHIER</v>
      </c>
      <c r="S489">
        <v>4972536152</v>
      </c>
      <c r="T489">
        <v>556198530650</v>
      </c>
      <c r="V489" t="s">
        <v>3020</v>
      </c>
      <c r="W489" t="s">
        <v>187</v>
      </c>
      <c r="X489" t="s">
        <v>1401</v>
      </c>
      <c r="Y489" t="s">
        <v>165</v>
      </c>
      <c r="Z489" t="s">
        <v>257</v>
      </c>
      <c r="AA489" t="s">
        <v>1281</v>
      </c>
      <c r="AB489" t="s">
        <v>3021</v>
      </c>
      <c r="AC489" t="s">
        <v>633</v>
      </c>
      <c r="AF489" t="s">
        <v>413</v>
      </c>
      <c r="AG489" t="s">
        <v>195</v>
      </c>
      <c r="AH489" s="3">
        <v>218876.84</v>
      </c>
      <c r="AI489" s="3">
        <v>218876.84</v>
      </c>
      <c r="AJ489" s="1">
        <v>46096</v>
      </c>
      <c r="AN489" t="s">
        <v>172</v>
      </c>
      <c r="AO489" t="s">
        <v>2109</v>
      </c>
      <c r="AR489" t="s">
        <v>3022</v>
      </c>
      <c r="AT489" t="s">
        <v>196</v>
      </c>
      <c r="AU489" t="s">
        <v>197</v>
      </c>
      <c r="AW489">
        <v>0</v>
      </c>
      <c r="AX489" s="1">
        <v>46059</v>
      </c>
      <c r="AY489" s="2">
        <v>0.62785879629629626</v>
      </c>
      <c r="AZ489">
        <v>186459</v>
      </c>
      <c r="BA489" s="1">
        <v>46049</v>
      </c>
      <c r="BC489" t="s">
        <v>0</v>
      </c>
      <c r="BD489" s="1">
        <v>46052</v>
      </c>
      <c r="BE489" t="s">
        <v>276</v>
      </c>
      <c r="BL489" s="4">
        <v>0</v>
      </c>
      <c r="BM489" s="1">
        <v>46572</v>
      </c>
      <c r="BO489">
        <v>0</v>
      </c>
      <c r="BP489">
        <v>27959</v>
      </c>
      <c r="BQ489" t="s">
        <v>156</v>
      </c>
      <c r="BR489" s="3">
        <v>155101.34</v>
      </c>
      <c r="BS489" s="3">
        <v>10063</v>
      </c>
      <c r="BT489">
        <v>0</v>
      </c>
      <c r="BU489" s="3">
        <v>165164.34</v>
      </c>
      <c r="BV489" s="3">
        <v>218876.84</v>
      </c>
      <c r="BX489">
        <v>0</v>
      </c>
      <c r="BZ489">
        <v>0</v>
      </c>
      <c r="CA489">
        <v>0</v>
      </c>
      <c r="CB489">
        <v>0</v>
      </c>
      <c r="CC489" s="3">
        <v>218876.84</v>
      </c>
      <c r="CD489" s="5">
        <v>0</v>
      </c>
      <c r="CE489" t="s">
        <v>467</v>
      </c>
      <c r="CF489" s="6">
        <v>46054</v>
      </c>
      <c r="CH489">
        <v>0</v>
      </c>
      <c r="CI489">
        <v>0</v>
      </c>
      <c r="CJ489">
        <v>0</v>
      </c>
      <c r="CK489">
        <v>0</v>
      </c>
      <c r="CL489">
        <v>0</v>
      </c>
      <c r="CM489">
        <v>0</v>
      </c>
      <c r="CN489">
        <v>0</v>
      </c>
      <c r="CO489">
        <v>0</v>
      </c>
      <c r="CP489">
        <v>0</v>
      </c>
      <c r="CQ489">
        <v>0</v>
      </c>
      <c r="CR489">
        <v>0</v>
      </c>
      <c r="CT489" t="s">
        <v>214</v>
      </c>
      <c r="CU489" t="s">
        <v>2077</v>
      </c>
      <c r="CW489">
        <v>0</v>
      </c>
      <c r="CZ489" s="1">
        <v>46052</v>
      </c>
      <c r="DA489" t="s">
        <v>172</v>
      </c>
      <c r="DB489" t="s">
        <v>172</v>
      </c>
      <c r="DC489" t="s">
        <v>172</v>
      </c>
      <c r="DD489" t="s">
        <v>172</v>
      </c>
      <c r="DG489" s="1">
        <v>46052</v>
      </c>
      <c r="DH489">
        <v>0</v>
      </c>
      <c r="DI489">
        <v>0</v>
      </c>
      <c r="DL489" t="s">
        <v>200</v>
      </c>
      <c r="DM489" t="s">
        <v>172</v>
      </c>
      <c r="DN489" t="s">
        <v>201</v>
      </c>
      <c r="DU489" t="s">
        <v>1266</v>
      </c>
      <c r="DV489" s="3">
        <v>253923.16</v>
      </c>
      <c r="DW489">
        <v>-53.71</v>
      </c>
      <c r="DX489" s="3">
        <v>253923.16</v>
      </c>
      <c r="DY489">
        <v>-53.71</v>
      </c>
      <c r="EN489" t="s">
        <v>172</v>
      </c>
      <c r="ET489" t="s">
        <v>2040</v>
      </c>
      <c r="EW489" s="1">
        <v>46052</v>
      </c>
    </row>
    <row r="490" spans="1:153" x14ac:dyDescent="0.35">
      <c r="A490" t="str">
        <f>HYPERLINK("https://7lm.cvcrm.com.br/gestor/comercial/reservas/6630/administrar","6630")</f>
        <v>6630</v>
      </c>
      <c r="B490" t="s">
        <v>156</v>
      </c>
      <c r="C490" s="1">
        <v>46052</v>
      </c>
      <c r="D490" s="2">
        <v>0.51028935185185187</v>
      </c>
      <c r="E490" t="s">
        <v>527</v>
      </c>
      <c r="F490" t="s">
        <v>458</v>
      </c>
      <c r="G490" t="s">
        <v>203</v>
      </c>
      <c r="H490" t="s">
        <v>336</v>
      </c>
      <c r="I490" t="s">
        <v>780</v>
      </c>
      <c r="J490">
        <v>1</v>
      </c>
      <c r="L490">
        <v>20001</v>
      </c>
      <c r="M490" t="s">
        <v>1594</v>
      </c>
      <c r="N490" s="1">
        <v>46055</v>
      </c>
      <c r="O490" s="2">
        <v>0.77196759259259262</v>
      </c>
      <c r="R490" t="str">
        <f>HYPERLINK("https://7lm.cvcrm.com.br/gestor/relatorios/associado/html?q[1|r.idreserva]=6630","GABRIEL KAROL FERNANDES DO NASCIMENTO")</f>
        <v>GABRIEL KAROL FERNANDES DO NASCIMENTO</v>
      </c>
      <c r="S490">
        <v>47846454897</v>
      </c>
      <c r="T490">
        <v>5519993261391</v>
      </c>
      <c r="V490" t="s">
        <v>3023</v>
      </c>
      <c r="W490" t="s">
        <v>163</v>
      </c>
      <c r="X490" t="s">
        <v>3024</v>
      </c>
      <c r="Y490" t="s">
        <v>189</v>
      </c>
      <c r="Z490" t="s">
        <v>214</v>
      </c>
      <c r="AA490" t="s">
        <v>3025</v>
      </c>
      <c r="AB490" t="s">
        <v>3026</v>
      </c>
      <c r="AC490" t="s">
        <v>398</v>
      </c>
      <c r="AF490" t="s">
        <v>399</v>
      </c>
      <c r="AG490" t="s">
        <v>195</v>
      </c>
      <c r="AH490" s="3">
        <v>235004.93</v>
      </c>
      <c r="AI490" s="3">
        <v>235004.93</v>
      </c>
      <c r="AJ490" s="1">
        <v>46082</v>
      </c>
      <c r="AN490" t="s">
        <v>172</v>
      </c>
      <c r="AO490" t="s">
        <v>932</v>
      </c>
      <c r="AP490" t="s">
        <v>3027</v>
      </c>
      <c r="AR490" t="s">
        <v>3028</v>
      </c>
      <c r="AT490" t="s">
        <v>196</v>
      </c>
      <c r="AU490" t="s">
        <v>292</v>
      </c>
      <c r="AW490">
        <v>0</v>
      </c>
      <c r="AX490" s="1">
        <v>46059</v>
      </c>
      <c r="AY490" s="2">
        <v>0.63059027777777776</v>
      </c>
      <c r="AZ490">
        <v>145195</v>
      </c>
      <c r="BA490" s="1">
        <v>45670</v>
      </c>
      <c r="BC490" t="s">
        <v>0</v>
      </c>
      <c r="BD490" s="1">
        <v>46052</v>
      </c>
      <c r="BE490" t="s">
        <v>317</v>
      </c>
      <c r="BL490" s="4">
        <v>0</v>
      </c>
      <c r="BM490" s="1">
        <v>46572</v>
      </c>
      <c r="BO490">
        <v>0</v>
      </c>
      <c r="BP490">
        <v>28018</v>
      </c>
      <c r="BQ490" t="s">
        <v>156</v>
      </c>
      <c r="BR490" s="3">
        <v>138625.04999999999</v>
      </c>
      <c r="BS490" s="3">
        <v>26281</v>
      </c>
      <c r="BT490">
        <v>0</v>
      </c>
      <c r="BU490" s="3">
        <v>164906.04999999999</v>
      </c>
      <c r="BV490" s="3">
        <v>235004.93</v>
      </c>
      <c r="BX490">
        <v>0</v>
      </c>
      <c r="BZ490">
        <v>0</v>
      </c>
      <c r="CA490">
        <v>0</v>
      </c>
      <c r="CB490">
        <v>0</v>
      </c>
      <c r="CC490" s="3">
        <v>235004.93</v>
      </c>
      <c r="CD490" s="5">
        <v>0</v>
      </c>
      <c r="CE490" t="s">
        <v>467</v>
      </c>
      <c r="CF490" s="6">
        <v>46054</v>
      </c>
      <c r="CH490">
        <v>0</v>
      </c>
      <c r="CI490">
        <v>0</v>
      </c>
      <c r="CJ490">
        <v>0</v>
      </c>
      <c r="CK490">
        <v>0</v>
      </c>
      <c r="CL490">
        <v>0</v>
      </c>
      <c r="CM490">
        <v>0</v>
      </c>
      <c r="CN490">
        <v>0</v>
      </c>
      <c r="CO490">
        <v>0</v>
      </c>
      <c r="CP490">
        <v>0</v>
      </c>
      <c r="CQ490">
        <v>0</v>
      </c>
      <c r="CR490">
        <v>0</v>
      </c>
      <c r="CS490" t="s">
        <v>2497</v>
      </c>
      <c r="CT490" t="s">
        <v>214</v>
      </c>
      <c r="CU490" t="s">
        <v>780</v>
      </c>
      <c r="CW490">
        <v>413.1112</v>
      </c>
      <c r="CZ490" s="1">
        <v>46052</v>
      </c>
      <c r="DA490" t="s">
        <v>172</v>
      </c>
      <c r="DB490" t="s">
        <v>172</v>
      </c>
      <c r="DC490" t="s">
        <v>172</v>
      </c>
      <c r="DD490" t="s">
        <v>172</v>
      </c>
      <c r="DG490" s="1">
        <v>46052</v>
      </c>
      <c r="DH490">
        <v>0</v>
      </c>
      <c r="DI490">
        <v>0</v>
      </c>
      <c r="DL490" t="s">
        <v>200</v>
      </c>
      <c r="DM490" t="s">
        <v>172</v>
      </c>
      <c r="DN490" t="s">
        <v>525</v>
      </c>
      <c r="DV490" s="3">
        <v>235004.93</v>
      </c>
      <c r="DW490">
        <v>0</v>
      </c>
      <c r="DX490" s="3">
        <v>235004.93</v>
      </c>
      <c r="DY490">
        <v>0</v>
      </c>
      <c r="EN490" t="s">
        <v>537</v>
      </c>
      <c r="EU490" s="1">
        <v>46058</v>
      </c>
      <c r="EW490" s="1">
        <v>46052</v>
      </c>
    </row>
    <row r="491" spans="1:153" ht="246.5" x14ac:dyDescent="0.35">
      <c r="A491" t="str">
        <f>HYPERLINK("https://7lm.cvcrm.com.br/gestor/comercial/reservas/6629/administrar","6629")</f>
        <v>6629</v>
      </c>
      <c r="B491" t="s">
        <v>156</v>
      </c>
      <c r="C491" s="1">
        <v>46051</v>
      </c>
      <c r="D491" s="2">
        <v>0.74015046296296294</v>
      </c>
      <c r="E491" t="s">
        <v>294</v>
      </c>
      <c r="F491" t="s">
        <v>2451</v>
      </c>
      <c r="G491" t="s">
        <v>203</v>
      </c>
      <c r="H491" t="s">
        <v>319</v>
      </c>
      <c r="I491" t="s">
        <v>1127</v>
      </c>
      <c r="J491">
        <v>1</v>
      </c>
      <c r="L491">
        <v>30061</v>
      </c>
      <c r="M491" t="s">
        <v>3029</v>
      </c>
      <c r="N491" s="1">
        <v>46060</v>
      </c>
      <c r="O491" s="2">
        <v>0.56039351851851849</v>
      </c>
      <c r="R491" t="str">
        <f>HYPERLINK("https://7lm.cvcrm.com.br/gestor/relatorios/associado/html?q[1|r.idreserva]=6629","ELSON SANTANA CAVALCANTE")</f>
        <v>ELSON SANTANA CAVALCANTE</v>
      </c>
      <c r="S491">
        <v>7918805160</v>
      </c>
      <c r="T491">
        <v>559992258174</v>
      </c>
      <c r="V491" t="s">
        <v>3030</v>
      </c>
      <c r="W491" t="s">
        <v>163</v>
      </c>
      <c r="X491" t="s">
        <v>288</v>
      </c>
      <c r="Y491" t="s">
        <v>189</v>
      </c>
      <c r="Z491" t="s">
        <v>190</v>
      </c>
      <c r="AA491" t="s">
        <v>367</v>
      </c>
      <c r="AB491" t="s">
        <v>3031</v>
      </c>
      <c r="AC491" t="s">
        <v>665</v>
      </c>
      <c r="AD491" t="s">
        <v>665</v>
      </c>
      <c r="AF491" t="s">
        <v>250</v>
      </c>
      <c r="AG491" t="s">
        <v>251</v>
      </c>
      <c r="AH491" s="3">
        <v>246000</v>
      </c>
      <c r="AI491" s="3">
        <v>246000</v>
      </c>
      <c r="AJ491" s="1">
        <v>46073</v>
      </c>
      <c r="AN491" t="s">
        <v>172</v>
      </c>
      <c r="AR491" s="7" t="s">
        <v>353</v>
      </c>
      <c r="AT491" t="s">
        <v>261</v>
      </c>
      <c r="AU491" t="s">
        <v>175</v>
      </c>
      <c r="AW491">
        <v>0</v>
      </c>
      <c r="AX491" s="1">
        <v>46072</v>
      </c>
      <c r="AY491" s="2">
        <v>0.72362268518518513</v>
      </c>
      <c r="AZ491">
        <v>123474</v>
      </c>
      <c r="BA491" s="1">
        <v>45480</v>
      </c>
      <c r="BC491" t="s">
        <v>0</v>
      </c>
      <c r="BD491" s="1">
        <v>46051</v>
      </c>
      <c r="BE491" t="s">
        <v>317</v>
      </c>
      <c r="BL491" s="4">
        <v>0</v>
      </c>
      <c r="BM491" s="1">
        <v>46788</v>
      </c>
      <c r="BN491" s="1">
        <v>46072</v>
      </c>
      <c r="BO491">
        <v>0</v>
      </c>
      <c r="BP491">
        <v>28015</v>
      </c>
      <c r="BQ491" t="s">
        <v>156</v>
      </c>
      <c r="BR491">
        <v>0</v>
      </c>
      <c r="BS491">
        <v>0</v>
      </c>
      <c r="BT491">
        <v>0</v>
      </c>
      <c r="BU491">
        <v>0</v>
      </c>
      <c r="BV491" s="3">
        <v>246000</v>
      </c>
      <c r="BX491">
        <v>0</v>
      </c>
      <c r="BZ491">
        <v>0</v>
      </c>
      <c r="CA491">
        <v>0</v>
      </c>
      <c r="CB491">
        <v>0</v>
      </c>
      <c r="CC491" s="3">
        <v>246000</v>
      </c>
      <c r="CD491" s="5">
        <v>0</v>
      </c>
      <c r="CF491" s="6">
        <v>46054</v>
      </c>
      <c r="CH491">
        <v>0</v>
      </c>
      <c r="CI491">
        <v>0</v>
      </c>
      <c r="CJ491">
        <v>0</v>
      </c>
      <c r="CK491">
        <v>0</v>
      </c>
      <c r="CL491">
        <v>0</v>
      </c>
      <c r="CM491">
        <v>0</v>
      </c>
      <c r="CN491">
        <v>0</v>
      </c>
      <c r="CO491">
        <v>0</v>
      </c>
      <c r="CP491">
        <v>0</v>
      </c>
      <c r="CQ491">
        <v>0</v>
      </c>
      <c r="CR491">
        <v>0</v>
      </c>
      <c r="CS491" t="s">
        <v>599</v>
      </c>
      <c r="CT491" t="s">
        <v>190</v>
      </c>
      <c r="CU491" t="s">
        <v>1127</v>
      </c>
      <c r="CW491">
        <v>437.11790000000002</v>
      </c>
      <c r="CZ491" s="1">
        <v>46051</v>
      </c>
      <c r="DA491" t="s">
        <v>172</v>
      </c>
      <c r="DB491" t="s">
        <v>172</v>
      </c>
      <c r="DC491" t="s">
        <v>172</v>
      </c>
      <c r="DD491" t="s">
        <v>172</v>
      </c>
      <c r="DG491" s="1">
        <v>46051</v>
      </c>
      <c r="DH491">
        <v>0</v>
      </c>
      <c r="DI491">
        <v>0</v>
      </c>
      <c r="DL491" t="s">
        <v>2473</v>
      </c>
      <c r="DM491" t="s">
        <v>172</v>
      </c>
      <c r="DN491" t="s">
        <v>225</v>
      </c>
      <c r="DV491" s="3">
        <v>246000</v>
      </c>
      <c r="DW491">
        <v>0</v>
      </c>
      <c r="DX491" s="3">
        <v>246000</v>
      </c>
      <c r="DY491">
        <v>0</v>
      </c>
      <c r="EF491" s="1">
        <v>46065</v>
      </c>
      <c r="EG491" s="1">
        <v>46063</v>
      </c>
      <c r="EK491" s="1">
        <v>46065</v>
      </c>
      <c r="EL491" s="1">
        <v>46065</v>
      </c>
      <c r="EN491" t="s">
        <v>156</v>
      </c>
      <c r="ER491" s="1">
        <v>46065</v>
      </c>
      <c r="ES491" t="s">
        <v>3032</v>
      </c>
      <c r="ET491" t="s">
        <v>3033</v>
      </c>
      <c r="EU491" s="1">
        <v>46064</v>
      </c>
      <c r="EW491" s="1">
        <v>46051</v>
      </c>
    </row>
    <row r="492" spans="1:153" ht="246.5" x14ac:dyDescent="0.35">
      <c r="A492" t="str">
        <f>HYPERLINK("https://7lm.cvcrm.com.br/gestor/comercial/reservas/6628/administrar","6628")</f>
        <v>6628</v>
      </c>
      <c r="B492" t="s">
        <v>156</v>
      </c>
      <c r="C492" s="1">
        <v>46051</v>
      </c>
      <c r="D492" s="2">
        <v>0.71432870370370372</v>
      </c>
      <c r="E492" t="s">
        <v>294</v>
      </c>
      <c r="F492" t="s">
        <v>957</v>
      </c>
      <c r="G492" t="s">
        <v>159</v>
      </c>
      <c r="H492" t="s">
        <v>636</v>
      </c>
      <c r="I492" t="s">
        <v>1827</v>
      </c>
      <c r="J492">
        <v>1</v>
      </c>
      <c r="K492">
        <v>8114</v>
      </c>
      <c r="L492">
        <v>30121</v>
      </c>
      <c r="M492" t="s">
        <v>3034</v>
      </c>
      <c r="N492" s="1">
        <v>46072</v>
      </c>
      <c r="O492" s="2">
        <v>0.73053240740740744</v>
      </c>
      <c r="R492" t="str">
        <f>HYPERLINK("https://7lm.cvcrm.com.br/gestor/relatorios/associado/html?q[1|r.idreserva]=6628","ISABELLA LANDIM DE OLIVEIRA")</f>
        <v>ISABELLA LANDIM DE OLIVEIRA</v>
      </c>
      <c r="S492">
        <v>71658754174</v>
      </c>
      <c r="T492">
        <v>5562993167600</v>
      </c>
      <c r="V492" t="s">
        <v>3035</v>
      </c>
      <c r="W492" t="s">
        <v>187</v>
      </c>
      <c r="X492" t="s">
        <v>376</v>
      </c>
      <c r="Y492" t="s">
        <v>189</v>
      </c>
      <c r="Z492" t="s">
        <v>190</v>
      </c>
      <c r="AA492" t="s">
        <v>367</v>
      </c>
      <c r="AB492" t="s">
        <v>3031</v>
      </c>
      <c r="AC492" t="s">
        <v>665</v>
      </c>
      <c r="AD492" t="s">
        <v>665</v>
      </c>
      <c r="AF492" t="s">
        <v>250</v>
      </c>
      <c r="AG492" t="s">
        <v>251</v>
      </c>
      <c r="AH492" s="3">
        <v>256000</v>
      </c>
      <c r="AI492" s="3">
        <v>256000</v>
      </c>
      <c r="AJ492" s="1">
        <v>46073</v>
      </c>
      <c r="AN492" t="s">
        <v>172</v>
      </c>
      <c r="AR492" s="7" t="s">
        <v>353</v>
      </c>
      <c r="AT492" t="s">
        <v>173</v>
      </c>
      <c r="AU492" t="s">
        <v>175</v>
      </c>
      <c r="AW492">
        <v>0</v>
      </c>
      <c r="AX492" s="1">
        <v>46064</v>
      </c>
      <c r="AY492" s="2">
        <v>0.59258101851851852</v>
      </c>
      <c r="AZ492">
        <v>112133</v>
      </c>
      <c r="BA492" s="1">
        <v>45373</v>
      </c>
      <c r="BB492" s="1">
        <v>45614</v>
      </c>
      <c r="BC492" t="s">
        <v>0</v>
      </c>
      <c r="BD492" s="1">
        <v>46051</v>
      </c>
      <c r="BE492" t="s">
        <v>317</v>
      </c>
      <c r="BL492" s="4">
        <v>0</v>
      </c>
      <c r="BM492" s="1">
        <v>47031</v>
      </c>
      <c r="BN492" s="1">
        <v>46064</v>
      </c>
      <c r="BO492">
        <v>0</v>
      </c>
      <c r="BP492">
        <v>28016</v>
      </c>
      <c r="BQ492" t="s">
        <v>156</v>
      </c>
      <c r="BR492">
        <v>0</v>
      </c>
      <c r="BS492">
        <v>0</v>
      </c>
      <c r="BT492">
        <v>0</v>
      </c>
      <c r="BU492">
        <v>0</v>
      </c>
      <c r="BV492" s="3">
        <v>256000</v>
      </c>
      <c r="BX492">
        <v>0</v>
      </c>
      <c r="BZ492">
        <v>0</v>
      </c>
      <c r="CA492">
        <v>0</v>
      </c>
      <c r="CB492">
        <v>0</v>
      </c>
      <c r="CC492" s="3">
        <v>256000</v>
      </c>
      <c r="CD492" s="5">
        <v>0</v>
      </c>
      <c r="CF492" s="6">
        <v>46054</v>
      </c>
      <c r="CH492">
        <v>0</v>
      </c>
      <c r="CI492">
        <v>0</v>
      </c>
      <c r="CJ492">
        <v>0</v>
      </c>
      <c r="CK492">
        <v>0</v>
      </c>
      <c r="CL492">
        <v>0</v>
      </c>
      <c r="CM492">
        <v>0</v>
      </c>
      <c r="CN492">
        <v>0</v>
      </c>
      <c r="CO492">
        <v>0</v>
      </c>
      <c r="CP492">
        <v>0</v>
      </c>
      <c r="CQ492">
        <v>0</v>
      </c>
      <c r="CR492">
        <v>0</v>
      </c>
      <c r="CS492" t="s">
        <v>649</v>
      </c>
      <c r="CT492" t="s">
        <v>190</v>
      </c>
      <c r="CU492" t="s">
        <v>1827</v>
      </c>
      <c r="CW492">
        <v>-47.342399999999998</v>
      </c>
      <c r="CZ492" s="1">
        <v>46051</v>
      </c>
      <c r="DA492" t="s">
        <v>172</v>
      </c>
      <c r="DB492" t="s">
        <v>172</v>
      </c>
      <c r="DC492" t="s">
        <v>172</v>
      </c>
      <c r="DD492" t="s">
        <v>172</v>
      </c>
      <c r="DG492" s="1">
        <v>46051</v>
      </c>
      <c r="DH492">
        <v>0</v>
      </c>
      <c r="DI492">
        <v>0</v>
      </c>
      <c r="DL492" t="s">
        <v>963</v>
      </c>
      <c r="DM492" t="s">
        <v>172</v>
      </c>
      <c r="DN492" t="s">
        <v>525</v>
      </c>
      <c r="DV492" s="3">
        <v>256000</v>
      </c>
      <c r="DW492">
        <v>0</v>
      </c>
      <c r="DX492" s="3">
        <v>256000</v>
      </c>
      <c r="DY492">
        <v>0</v>
      </c>
      <c r="EG492" s="1">
        <v>46058</v>
      </c>
      <c r="EN492" t="s">
        <v>156</v>
      </c>
      <c r="ES492" t="s">
        <v>3036</v>
      </c>
      <c r="EU492" s="1">
        <v>46058</v>
      </c>
      <c r="EW492" s="1">
        <v>46052</v>
      </c>
    </row>
    <row r="493" spans="1:153" x14ac:dyDescent="0.35">
      <c r="A493" t="str">
        <f>HYPERLINK("https://7lm.cvcrm.com.br/gestor/comercial/reservas/6627/administrar","6627")</f>
        <v>6627</v>
      </c>
      <c r="B493" t="s">
        <v>156</v>
      </c>
      <c r="C493" s="1">
        <v>46051</v>
      </c>
      <c r="D493" s="2">
        <v>0.60442129629629626</v>
      </c>
      <c r="E493" t="s">
        <v>294</v>
      </c>
      <c r="F493" t="s">
        <v>2451</v>
      </c>
      <c r="G493" t="s">
        <v>203</v>
      </c>
      <c r="H493" t="s">
        <v>336</v>
      </c>
      <c r="I493" t="s">
        <v>337</v>
      </c>
      <c r="J493">
        <v>1</v>
      </c>
      <c r="L493">
        <v>30061</v>
      </c>
      <c r="M493" t="s">
        <v>3037</v>
      </c>
      <c r="N493" s="1">
        <v>46062</v>
      </c>
      <c r="O493" s="2">
        <v>0.47311342592592592</v>
      </c>
      <c r="R493" t="str">
        <f>HYPERLINK("https://7lm.cvcrm.com.br/gestor/relatorios/associado/html?q[1|r.idreserva]=6627","PRISCILA ALVES DA SILVA")</f>
        <v>PRISCILA ALVES DA SILVA</v>
      </c>
      <c r="S493">
        <v>70779992113</v>
      </c>
      <c r="T493">
        <v>5561999076714</v>
      </c>
      <c r="V493" t="s">
        <v>3038</v>
      </c>
      <c r="W493" t="s">
        <v>187</v>
      </c>
      <c r="X493" t="s">
        <v>366</v>
      </c>
      <c r="Y493" t="s">
        <v>189</v>
      </c>
      <c r="Z493" t="s">
        <v>190</v>
      </c>
      <c r="AA493" t="s">
        <v>2228</v>
      </c>
      <c r="AB493" t="s">
        <v>3039</v>
      </c>
      <c r="AC493" t="s">
        <v>2559</v>
      </c>
      <c r="AF493" t="s">
        <v>399</v>
      </c>
      <c r="AG493" t="s">
        <v>251</v>
      </c>
      <c r="AH493" s="3">
        <v>240256.99</v>
      </c>
      <c r="AI493" s="3">
        <v>240256.99</v>
      </c>
      <c r="AJ493" s="1">
        <v>46066</v>
      </c>
      <c r="AN493" t="s">
        <v>172</v>
      </c>
      <c r="AR493" t="s">
        <v>1203</v>
      </c>
      <c r="AT493" t="s">
        <v>196</v>
      </c>
      <c r="AU493" t="s">
        <v>292</v>
      </c>
      <c r="AW493">
        <v>0</v>
      </c>
      <c r="AX493" s="1">
        <v>46066</v>
      </c>
      <c r="AY493" s="2">
        <v>0.68996527777777783</v>
      </c>
      <c r="AZ493">
        <v>174267</v>
      </c>
      <c r="BA493" s="1">
        <v>45958</v>
      </c>
      <c r="BC493" t="s">
        <v>0</v>
      </c>
      <c r="BD493" s="1">
        <v>46051</v>
      </c>
      <c r="BE493" t="s">
        <v>176</v>
      </c>
      <c r="BL493" s="4">
        <v>0</v>
      </c>
      <c r="BM493" s="1">
        <v>46788</v>
      </c>
      <c r="BN493" s="1">
        <v>46066</v>
      </c>
      <c r="BO493">
        <v>0</v>
      </c>
      <c r="BP493">
        <v>27979</v>
      </c>
      <c r="BQ493" t="s">
        <v>156</v>
      </c>
      <c r="BR493" s="3">
        <v>133663.85999999999</v>
      </c>
      <c r="BS493" s="3">
        <v>26115</v>
      </c>
      <c r="BT493">
        <v>0</v>
      </c>
      <c r="BU493" s="3">
        <v>159778.85999999999</v>
      </c>
      <c r="BV493" s="3">
        <v>240256.99</v>
      </c>
      <c r="BX493">
        <v>0</v>
      </c>
      <c r="BZ493">
        <v>0</v>
      </c>
      <c r="CA493">
        <v>0</v>
      </c>
      <c r="CB493">
        <v>0</v>
      </c>
      <c r="CC493" s="3">
        <v>240256.99</v>
      </c>
      <c r="CD493" s="5">
        <v>0</v>
      </c>
      <c r="CF493" s="6">
        <v>46054</v>
      </c>
      <c r="CH493">
        <v>0</v>
      </c>
      <c r="CI493">
        <v>0</v>
      </c>
      <c r="CJ493">
        <v>0</v>
      </c>
      <c r="CK493">
        <v>0</v>
      </c>
      <c r="CL493">
        <v>0</v>
      </c>
      <c r="CM493">
        <v>0</v>
      </c>
      <c r="CN493">
        <v>0</v>
      </c>
      <c r="CO493">
        <v>0</v>
      </c>
      <c r="CP493">
        <v>0</v>
      </c>
      <c r="CQ493">
        <v>0</v>
      </c>
      <c r="CR493">
        <v>0</v>
      </c>
      <c r="CS493" t="s">
        <v>2497</v>
      </c>
      <c r="CT493" t="s">
        <v>190</v>
      </c>
      <c r="CU493" t="s">
        <v>337</v>
      </c>
      <c r="CW493">
        <v>424.57859999999999</v>
      </c>
      <c r="CZ493" s="1">
        <v>46051</v>
      </c>
      <c r="DA493" t="s">
        <v>172</v>
      </c>
      <c r="DB493" t="s">
        <v>172</v>
      </c>
      <c r="DC493" t="s">
        <v>172</v>
      </c>
      <c r="DD493" t="s">
        <v>172</v>
      </c>
      <c r="DG493" s="1">
        <v>46051</v>
      </c>
      <c r="DH493">
        <v>0</v>
      </c>
      <c r="DI493">
        <v>0</v>
      </c>
      <c r="DL493" t="s">
        <v>200</v>
      </c>
      <c r="DM493" t="s">
        <v>172</v>
      </c>
      <c r="DN493" t="s">
        <v>201</v>
      </c>
      <c r="DV493" s="3">
        <v>240256.99</v>
      </c>
      <c r="DW493">
        <v>0</v>
      </c>
      <c r="DX493" s="3">
        <v>240256.99</v>
      </c>
      <c r="DY493">
        <v>0</v>
      </c>
      <c r="EF493" s="1">
        <v>46056</v>
      </c>
      <c r="EG493" s="1">
        <v>46055</v>
      </c>
      <c r="EK493" s="1">
        <v>46056</v>
      </c>
      <c r="EL493" s="1">
        <v>46056</v>
      </c>
      <c r="EN493" t="s">
        <v>537</v>
      </c>
      <c r="EP493" s="1">
        <v>46056</v>
      </c>
      <c r="ER493" s="1">
        <v>46055</v>
      </c>
      <c r="ES493" t="s">
        <v>3040</v>
      </c>
      <c r="EU493" s="1">
        <v>46062</v>
      </c>
      <c r="EW493" s="1">
        <v>46051</v>
      </c>
    </row>
    <row r="494" spans="1:153" ht="203" x14ac:dyDescent="0.35">
      <c r="A494" t="str">
        <f>HYPERLINK("https://7lm.cvcrm.com.br/gestor/comercial/reservas/6626/administrar","6626")</f>
        <v>6626</v>
      </c>
      <c r="B494" t="s">
        <v>172</v>
      </c>
      <c r="C494" s="1">
        <v>46051</v>
      </c>
      <c r="D494" s="2">
        <v>0.53809027777777774</v>
      </c>
      <c r="E494" t="s">
        <v>527</v>
      </c>
      <c r="F494" t="s">
        <v>458</v>
      </c>
      <c r="G494" t="s">
        <v>203</v>
      </c>
      <c r="H494" t="s">
        <v>277</v>
      </c>
      <c r="I494" t="s">
        <v>382</v>
      </c>
      <c r="J494">
        <v>1</v>
      </c>
      <c r="L494">
        <v>20001</v>
      </c>
      <c r="M494" t="s">
        <v>2217</v>
      </c>
      <c r="R494" t="str">
        <f>HYPERLINK("https://7lm.cvcrm.com.br/gestor/relatorios/associado/html?q[1|r.idreserva]=6626","JÉSSICA MARIA DE LIMA DIAS")</f>
        <v>JÉSSICA MARIA DE LIMA DIAS</v>
      </c>
      <c r="S494">
        <v>3442618169</v>
      </c>
      <c r="T494">
        <v>5561986575200</v>
      </c>
      <c r="V494" t="s">
        <v>3041</v>
      </c>
      <c r="W494" t="s">
        <v>187</v>
      </c>
      <c r="Y494" t="s">
        <v>165</v>
      </c>
      <c r="Z494" t="s">
        <v>385</v>
      </c>
      <c r="AA494" t="s">
        <v>3042</v>
      </c>
      <c r="AB494" t="s">
        <v>3043</v>
      </c>
      <c r="AC494" t="s">
        <v>1091</v>
      </c>
      <c r="AD494" t="s">
        <v>1092</v>
      </c>
      <c r="AF494" t="s">
        <v>212</v>
      </c>
      <c r="AG494" t="s">
        <v>284</v>
      </c>
      <c r="AH494" s="3">
        <v>217003.76</v>
      </c>
      <c r="AI494" s="3">
        <v>217003.76</v>
      </c>
      <c r="AJ494" s="1">
        <v>46096</v>
      </c>
      <c r="AN494" t="s">
        <v>172</v>
      </c>
      <c r="AO494" t="s">
        <v>816</v>
      </c>
      <c r="AR494" s="7" t="s">
        <v>3044</v>
      </c>
      <c r="AT494" t="s">
        <v>196</v>
      </c>
      <c r="AU494" t="s">
        <v>175</v>
      </c>
      <c r="AW494">
        <v>0</v>
      </c>
      <c r="AX494" s="1">
        <v>46055</v>
      </c>
      <c r="AY494" s="2">
        <v>0.65087962962962964</v>
      </c>
      <c r="AZ494">
        <v>186706</v>
      </c>
      <c r="BA494" s="1">
        <v>46051</v>
      </c>
      <c r="BC494" t="s">
        <v>0</v>
      </c>
      <c r="BD494" s="1">
        <v>46051</v>
      </c>
      <c r="BE494" t="s">
        <v>175</v>
      </c>
      <c r="BL494" s="4">
        <v>0</v>
      </c>
      <c r="BM494" s="1">
        <v>46572</v>
      </c>
      <c r="BO494">
        <v>0</v>
      </c>
      <c r="BP494">
        <v>28027</v>
      </c>
      <c r="BQ494" t="s">
        <v>156</v>
      </c>
      <c r="BR494" s="3">
        <v>132346.66</v>
      </c>
      <c r="BS494" s="3">
        <v>30515</v>
      </c>
      <c r="BT494">
        <v>0</v>
      </c>
      <c r="BU494" s="3">
        <v>162861.66</v>
      </c>
      <c r="BV494" s="3">
        <v>217003.76</v>
      </c>
      <c r="BX494">
        <v>0</v>
      </c>
      <c r="BZ494">
        <v>0</v>
      </c>
      <c r="CA494">
        <v>0</v>
      </c>
      <c r="CB494">
        <v>0</v>
      </c>
      <c r="CC494" s="3">
        <v>217003.76</v>
      </c>
      <c r="CD494" s="5">
        <v>0</v>
      </c>
      <c r="CE494" t="s">
        <v>467</v>
      </c>
      <c r="CF494" s="6">
        <v>46054</v>
      </c>
      <c r="CH494">
        <v>0</v>
      </c>
      <c r="CI494">
        <v>0</v>
      </c>
      <c r="CJ494">
        <v>0</v>
      </c>
      <c r="CK494">
        <v>0</v>
      </c>
      <c r="CL494">
        <v>0</v>
      </c>
      <c r="CM494">
        <v>0</v>
      </c>
      <c r="CN494">
        <v>0</v>
      </c>
      <c r="CO494">
        <v>0</v>
      </c>
      <c r="CP494">
        <v>0</v>
      </c>
      <c r="CQ494">
        <v>0</v>
      </c>
      <c r="CR494">
        <v>0</v>
      </c>
      <c r="CT494" t="s">
        <v>214</v>
      </c>
      <c r="CU494" t="s">
        <v>382</v>
      </c>
      <c r="CW494">
        <v>0</v>
      </c>
      <c r="CZ494" s="1">
        <v>46051</v>
      </c>
      <c r="DA494" t="s">
        <v>172</v>
      </c>
      <c r="DB494" t="s">
        <v>172</v>
      </c>
      <c r="DC494" t="s">
        <v>172</v>
      </c>
      <c r="DD494" t="s">
        <v>172</v>
      </c>
      <c r="DG494" s="1">
        <v>46051</v>
      </c>
      <c r="DH494">
        <v>0</v>
      </c>
      <c r="DI494">
        <v>0</v>
      </c>
      <c r="DL494" t="s">
        <v>200</v>
      </c>
      <c r="DM494" t="s">
        <v>172</v>
      </c>
      <c r="DN494" t="s">
        <v>201</v>
      </c>
      <c r="DV494" s="3">
        <v>217003.76</v>
      </c>
      <c r="DW494">
        <v>0</v>
      </c>
      <c r="DX494" s="3">
        <v>217003.76</v>
      </c>
      <c r="DY494">
        <v>0</v>
      </c>
      <c r="EN494" t="s">
        <v>537</v>
      </c>
      <c r="EU494" s="1">
        <v>46059</v>
      </c>
      <c r="EW494" s="1">
        <v>46051</v>
      </c>
    </row>
    <row r="495" spans="1:153" ht="72.5" x14ac:dyDescent="0.35">
      <c r="A495" t="str">
        <f>HYPERLINK("https://7lm.cvcrm.com.br/gestor/comercial/reservas/6625/administrar","6625")</f>
        <v>6625</v>
      </c>
      <c r="B495" t="s">
        <v>172</v>
      </c>
      <c r="C495" s="1">
        <v>46051</v>
      </c>
      <c r="D495" s="2">
        <v>0.45467592592592593</v>
      </c>
      <c r="E495" t="s">
        <v>527</v>
      </c>
      <c r="F495" t="s">
        <v>2451</v>
      </c>
      <c r="G495" t="s">
        <v>203</v>
      </c>
      <c r="H495" t="s">
        <v>404</v>
      </c>
      <c r="I495" t="s">
        <v>1027</v>
      </c>
      <c r="J495">
        <v>1</v>
      </c>
      <c r="L495">
        <v>30061</v>
      </c>
      <c r="M495" t="s">
        <v>3045</v>
      </c>
      <c r="R495" t="str">
        <f>HYPERLINK("https://7lm.cvcrm.com.br/gestor/relatorios/associado/html?q[1|r.idreserva]=6625","FABIA SILVA BATISTA")</f>
        <v>FABIA SILVA BATISTA</v>
      </c>
      <c r="S495">
        <v>4957845166</v>
      </c>
      <c r="T495">
        <v>5561999015183</v>
      </c>
      <c r="V495" t="s">
        <v>3046</v>
      </c>
      <c r="W495" t="s">
        <v>187</v>
      </c>
      <c r="X495" t="s">
        <v>3047</v>
      </c>
      <c r="Y495" t="s">
        <v>189</v>
      </c>
      <c r="Z495" t="s">
        <v>190</v>
      </c>
      <c r="AA495" t="s">
        <v>3048</v>
      </c>
      <c r="AB495" t="s">
        <v>3049</v>
      </c>
      <c r="AC495" t="s">
        <v>896</v>
      </c>
      <c r="AF495" t="s">
        <v>194</v>
      </c>
      <c r="AG495" t="s">
        <v>251</v>
      </c>
      <c r="AH495" s="3">
        <v>264600</v>
      </c>
      <c r="AI495" s="3">
        <v>264600</v>
      </c>
      <c r="AJ495" s="1">
        <v>46051</v>
      </c>
      <c r="AN495" t="s">
        <v>172</v>
      </c>
      <c r="AO495" t="s">
        <v>816</v>
      </c>
      <c r="AR495" s="7" t="s">
        <v>3050</v>
      </c>
      <c r="AT495" t="s">
        <v>261</v>
      </c>
      <c r="AU495" t="s">
        <v>335</v>
      </c>
      <c r="AW495">
        <v>0</v>
      </c>
      <c r="AX495" s="1">
        <v>46071</v>
      </c>
      <c r="AY495" s="2">
        <v>0.72876157407407405</v>
      </c>
      <c r="AZ495">
        <v>186007</v>
      </c>
      <c r="BA495" s="1">
        <v>46046</v>
      </c>
      <c r="BC495" t="s">
        <v>0</v>
      </c>
      <c r="BD495" s="1">
        <v>46051</v>
      </c>
      <c r="BE495" t="s">
        <v>198</v>
      </c>
      <c r="BL495" s="4">
        <v>0</v>
      </c>
      <c r="BM495" s="1">
        <v>46788</v>
      </c>
      <c r="BO495">
        <v>0</v>
      </c>
      <c r="BP495">
        <v>27974</v>
      </c>
      <c r="BQ495" t="s">
        <v>156</v>
      </c>
      <c r="BR495" s="3">
        <v>139872.47</v>
      </c>
      <c r="BS495" s="3">
        <v>21567</v>
      </c>
      <c r="BT495">
        <v>0</v>
      </c>
      <c r="BU495" s="3">
        <v>161439.47</v>
      </c>
      <c r="BV495" s="3">
        <v>264600</v>
      </c>
      <c r="BX495">
        <v>0</v>
      </c>
      <c r="BZ495">
        <v>0</v>
      </c>
      <c r="CA495">
        <v>0</v>
      </c>
      <c r="CB495">
        <v>0</v>
      </c>
      <c r="CC495" s="3">
        <v>264600</v>
      </c>
      <c r="CD495" s="5">
        <v>0</v>
      </c>
      <c r="CF495" s="6">
        <v>46054</v>
      </c>
      <c r="CH495">
        <v>0</v>
      </c>
      <c r="CI495">
        <v>0</v>
      </c>
      <c r="CJ495">
        <v>0</v>
      </c>
      <c r="CK495">
        <v>0</v>
      </c>
      <c r="CL495">
        <v>0</v>
      </c>
      <c r="CM495">
        <v>0</v>
      </c>
      <c r="CN495">
        <v>0</v>
      </c>
      <c r="CO495">
        <v>0</v>
      </c>
      <c r="CP495">
        <v>0</v>
      </c>
      <c r="CQ495">
        <v>0</v>
      </c>
      <c r="CR495">
        <v>0</v>
      </c>
      <c r="CT495" t="s">
        <v>190</v>
      </c>
      <c r="CU495" t="s">
        <v>1027</v>
      </c>
      <c r="CW495">
        <v>0</v>
      </c>
      <c r="CZ495" s="1">
        <v>46051</v>
      </c>
      <c r="DA495" t="s">
        <v>172</v>
      </c>
      <c r="DB495" t="s">
        <v>172</v>
      </c>
      <c r="DC495" t="s">
        <v>172</v>
      </c>
      <c r="DD495" t="s">
        <v>172</v>
      </c>
      <c r="DG495" s="1">
        <v>46051</v>
      </c>
      <c r="DH495">
        <v>0</v>
      </c>
      <c r="DI495">
        <v>0</v>
      </c>
      <c r="DL495" t="s">
        <v>2473</v>
      </c>
      <c r="DM495" t="s">
        <v>172</v>
      </c>
      <c r="DN495" t="s">
        <v>511</v>
      </c>
      <c r="DV495" s="3">
        <v>264600</v>
      </c>
      <c r="DW495">
        <v>0</v>
      </c>
      <c r="DX495" s="3">
        <v>264600</v>
      </c>
      <c r="DY495">
        <v>0</v>
      </c>
      <c r="EN495" t="s">
        <v>537</v>
      </c>
      <c r="ET495" t="s">
        <v>3051</v>
      </c>
      <c r="EU495" s="1">
        <v>46071</v>
      </c>
      <c r="EW495" s="1">
        <v>46051</v>
      </c>
    </row>
    <row r="496" spans="1:153" x14ac:dyDescent="0.35">
      <c r="A496" t="str">
        <f>HYPERLINK("https://7lm.cvcrm.com.br/gestor/comercial/reservas/6624/administrar","6624")</f>
        <v>6624</v>
      </c>
      <c r="B496" t="s">
        <v>172</v>
      </c>
      <c r="C496" s="1">
        <v>46050</v>
      </c>
      <c r="D496" s="2">
        <v>0.66416666666666668</v>
      </c>
      <c r="E496" t="s">
        <v>527</v>
      </c>
      <c r="F496" t="s">
        <v>957</v>
      </c>
      <c r="G496" t="s">
        <v>159</v>
      </c>
      <c r="H496" t="s">
        <v>183</v>
      </c>
      <c r="I496" t="s">
        <v>2882</v>
      </c>
      <c r="J496">
        <v>1</v>
      </c>
      <c r="L496">
        <v>30121</v>
      </c>
      <c r="M496" t="s">
        <v>2883</v>
      </c>
      <c r="R496" t="str">
        <f>HYPERLINK("https://7lm.cvcrm.com.br/gestor/relatorios/associado/html?q[1|r.idreserva]=6624","GUSTAVO SILVA FARIAS")</f>
        <v>GUSTAVO SILVA FARIAS</v>
      </c>
      <c r="S496">
        <v>11285722140</v>
      </c>
      <c r="T496">
        <v>5561999820929</v>
      </c>
      <c r="V496" t="s">
        <v>3052</v>
      </c>
      <c r="W496" t="s">
        <v>163</v>
      </c>
      <c r="Y496" t="s">
        <v>189</v>
      </c>
      <c r="Z496" t="s">
        <v>190</v>
      </c>
      <c r="AA496" t="s">
        <v>3053</v>
      </c>
      <c r="AB496" t="s">
        <v>3054</v>
      </c>
      <c r="AC496" t="s">
        <v>665</v>
      </c>
      <c r="AD496" t="s">
        <v>665</v>
      </c>
      <c r="AF496" t="s">
        <v>250</v>
      </c>
      <c r="AG496" t="s">
        <v>251</v>
      </c>
      <c r="AH496" s="3">
        <v>246000.02</v>
      </c>
      <c r="AI496" s="3">
        <v>246000.02</v>
      </c>
      <c r="AJ496" s="1">
        <v>46081</v>
      </c>
      <c r="AN496" t="s">
        <v>172</v>
      </c>
      <c r="AO496" t="s">
        <v>816</v>
      </c>
      <c r="AR496" t="s">
        <v>3055</v>
      </c>
      <c r="AT496" t="s">
        <v>173</v>
      </c>
      <c r="AU496" t="s">
        <v>175</v>
      </c>
      <c r="AW496">
        <v>0</v>
      </c>
      <c r="AX496" s="1">
        <v>46058</v>
      </c>
      <c r="AY496" s="2">
        <v>0.48648148148148146</v>
      </c>
      <c r="AZ496">
        <v>186612</v>
      </c>
      <c r="BA496" s="1">
        <v>46050</v>
      </c>
      <c r="BC496" t="s">
        <v>0</v>
      </c>
      <c r="BD496" s="1">
        <v>46050</v>
      </c>
      <c r="BE496" t="s">
        <v>176</v>
      </c>
      <c r="BL496" s="4">
        <v>0</v>
      </c>
      <c r="BM496" s="1">
        <v>47031</v>
      </c>
      <c r="BO496">
        <v>0</v>
      </c>
      <c r="BP496">
        <v>27997</v>
      </c>
      <c r="BQ496" t="s">
        <v>156</v>
      </c>
      <c r="BR496">
        <v>0</v>
      </c>
      <c r="BS496">
        <v>0</v>
      </c>
      <c r="BT496">
        <v>0</v>
      </c>
      <c r="BU496">
        <v>0</v>
      </c>
      <c r="BV496" s="3">
        <v>246000.02</v>
      </c>
      <c r="BX496">
        <v>0</v>
      </c>
      <c r="BZ496">
        <v>0</v>
      </c>
      <c r="CA496">
        <v>0</v>
      </c>
      <c r="CB496">
        <v>0</v>
      </c>
      <c r="CC496" s="3">
        <v>246000.02</v>
      </c>
      <c r="CD496" s="5">
        <v>0</v>
      </c>
      <c r="CF496" s="6">
        <v>46054</v>
      </c>
      <c r="CH496">
        <v>0</v>
      </c>
      <c r="CI496">
        <v>0</v>
      </c>
      <c r="CJ496">
        <v>0</v>
      </c>
      <c r="CK496">
        <v>0</v>
      </c>
      <c r="CL496">
        <v>0</v>
      </c>
      <c r="CM496">
        <v>0</v>
      </c>
      <c r="CN496">
        <v>0</v>
      </c>
      <c r="CO496">
        <v>0</v>
      </c>
      <c r="CP496">
        <v>0</v>
      </c>
      <c r="CQ496">
        <v>0</v>
      </c>
      <c r="CR496">
        <v>0</v>
      </c>
      <c r="CT496" t="s">
        <v>190</v>
      </c>
      <c r="CU496" t="s">
        <v>2882</v>
      </c>
      <c r="CW496">
        <v>0</v>
      </c>
      <c r="CZ496" s="1">
        <v>46050</v>
      </c>
      <c r="DA496" t="s">
        <v>172</v>
      </c>
      <c r="DB496" t="s">
        <v>172</v>
      </c>
      <c r="DC496" t="s">
        <v>172</v>
      </c>
      <c r="DD496" t="s">
        <v>172</v>
      </c>
      <c r="DG496" s="1">
        <v>46050</v>
      </c>
      <c r="DH496">
        <v>0</v>
      </c>
      <c r="DI496">
        <v>0</v>
      </c>
      <c r="DL496" t="s">
        <v>963</v>
      </c>
      <c r="DM496" t="s">
        <v>172</v>
      </c>
      <c r="DN496" t="s">
        <v>201</v>
      </c>
      <c r="DV496" s="3">
        <v>246000.02</v>
      </c>
      <c r="DW496">
        <v>0</v>
      </c>
      <c r="DX496" s="3">
        <v>246000.02</v>
      </c>
      <c r="DY496">
        <v>0</v>
      </c>
      <c r="EN496" t="s">
        <v>537</v>
      </c>
      <c r="ET496" t="s">
        <v>3056</v>
      </c>
      <c r="EU496" s="1">
        <v>46058</v>
      </c>
      <c r="EW496" s="1">
        <v>46050</v>
      </c>
    </row>
    <row r="497" spans="1:153" ht="246.5" x14ac:dyDescent="0.35">
      <c r="A497" t="str">
        <f>HYPERLINK("https://7lm.cvcrm.com.br/gestor/comercial/reservas/6623/administrar","6623")</f>
        <v>6623</v>
      </c>
      <c r="B497" t="s">
        <v>156</v>
      </c>
      <c r="C497" s="1">
        <v>46050</v>
      </c>
      <c r="D497" s="2">
        <v>0.5696296296296296</v>
      </c>
      <c r="E497" t="s">
        <v>294</v>
      </c>
      <c r="F497" t="s">
        <v>458</v>
      </c>
      <c r="G497" t="s">
        <v>203</v>
      </c>
      <c r="H497" t="s">
        <v>306</v>
      </c>
      <c r="I497" t="s">
        <v>242</v>
      </c>
      <c r="J497">
        <v>1</v>
      </c>
      <c r="L497">
        <v>20001</v>
      </c>
      <c r="M497" t="s">
        <v>3057</v>
      </c>
      <c r="N497" s="1">
        <v>46059</v>
      </c>
      <c r="O497" s="2">
        <v>0.42775462962962962</v>
      </c>
      <c r="R497" t="str">
        <f>HYPERLINK("https://7lm.cvcrm.com.br/gestor/relatorios/associado/html?q[1|r.idreserva]=6623","ISAIAS SOUSA DA SILVA")</f>
        <v>ISAIAS SOUSA DA SILVA</v>
      </c>
      <c r="S497">
        <v>66406439368</v>
      </c>
      <c r="T497">
        <v>5594984354321</v>
      </c>
      <c r="V497" t="s">
        <v>3058</v>
      </c>
      <c r="W497" t="s">
        <v>163</v>
      </c>
      <c r="X497" t="s">
        <v>3059</v>
      </c>
      <c r="AA497" t="s">
        <v>3060</v>
      </c>
      <c r="AB497" t="s">
        <v>3061</v>
      </c>
      <c r="AC497" t="s">
        <v>388</v>
      </c>
      <c r="AF497" t="s">
        <v>389</v>
      </c>
      <c r="AG497" t="s">
        <v>195</v>
      </c>
      <c r="AH497" s="3">
        <v>213851.7</v>
      </c>
      <c r="AI497" s="3">
        <v>213851.7</v>
      </c>
      <c r="AJ497" s="1">
        <v>46081</v>
      </c>
      <c r="AN497" t="s">
        <v>172</v>
      </c>
      <c r="AR497" s="7" t="s">
        <v>353</v>
      </c>
      <c r="AT497" t="s">
        <v>261</v>
      </c>
      <c r="AU497" t="s">
        <v>292</v>
      </c>
      <c r="AW497">
        <v>0</v>
      </c>
      <c r="AX497" s="1">
        <v>46064</v>
      </c>
      <c r="AY497" s="2">
        <v>0.62237268518518518</v>
      </c>
      <c r="AZ497">
        <v>85972</v>
      </c>
      <c r="BA497" s="1">
        <v>45023</v>
      </c>
      <c r="BB497" s="1">
        <v>46047</v>
      </c>
      <c r="BC497" t="s">
        <v>0</v>
      </c>
      <c r="BD497" s="1">
        <v>46050</v>
      </c>
      <c r="BE497" t="s">
        <v>317</v>
      </c>
      <c r="BL497" s="4">
        <v>0</v>
      </c>
      <c r="BM497" s="1">
        <v>46572</v>
      </c>
      <c r="BN497" s="1">
        <v>46064</v>
      </c>
      <c r="BO497">
        <v>0</v>
      </c>
      <c r="BP497">
        <v>27926</v>
      </c>
      <c r="BQ497" t="s">
        <v>156</v>
      </c>
      <c r="BR497" s="3">
        <v>155177.70000000001</v>
      </c>
      <c r="BS497" s="3">
        <v>7906</v>
      </c>
      <c r="BT497">
        <v>0</v>
      </c>
      <c r="BU497" s="3">
        <v>163083.70000000001</v>
      </c>
      <c r="BV497" s="3">
        <v>213851.7</v>
      </c>
      <c r="BX497">
        <v>0</v>
      </c>
      <c r="BZ497">
        <v>0</v>
      </c>
      <c r="CA497">
        <v>0</v>
      </c>
      <c r="CB497">
        <v>0</v>
      </c>
      <c r="CC497" s="3">
        <v>213851.7</v>
      </c>
      <c r="CD497" s="5">
        <v>0</v>
      </c>
      <c r="CE497" t="s">
        <v>467</v>
      </c>
      <c r="CF497" s="6">
        <v>46054</v>
      </c>
      <c r="CH497">
        <v>0</v>
      </c>
      <c r="CI497">
        <v>0</v>
      </c>
      <c r="CJ497">
        <v>0</v>
      </c>
      <c r="CK497">
        <v>0</v>
      </c>
      <c r="CL497">
        <v>0</v>
      </c>
      <c r="CM497">
        <v>0</v>
      </c>
      <c r="CN497">
        <v>0</v>
      </c>
      <c r="CO497">
        <v>0</v>
      </c>
      <c r="CP497">
        <v>0</v>
      </c>
      <c r="CQ497">
        <v>0</v>
      </c>
      <c r="CR497">
        <v>0</v>
      </c>
      <c r="CS497" t="s">
        <v>2497</v>
      </c>
      <c r="CT497" t="s">
        <v>214</v>
      </c>
      <c r="CU497" t="s">
        <v>242</v>
      </c>
      <c r="CW497">
        <v>366.92509999999999</v>
      </c>
      <c r="CZ497" s="1">
        <v>46050</v>
      </c>
      <c r="DA497" t="s">
        <v>172</v>
      </c>
      <c r="DB497" t="s">
        <v>172</v>
      </c>
      <c r="DC497" t="s">
        <v>172</v>
      </c>
      <c r="DD497" t="s">
        <v>172</v>
      </c>
      <c r="DG497" s="1">
        <v>46050</v>
      </c>
      <c r="DH497">
        <v>0</v>
      </c>
      <c r="DI497">
        <v>0</v>
      </c>
      <c r="DL497" t="s">
        <v>200</v>
      </c>
      <c r="DM497" t="s">
        <v>172</v>
      </c>
      <c r="DN497" t="s">
        <v>201</v>
      </c>
      <c r="DV497" s="3">
        <v>213851.7</v>
      </c>
      <c r="DW497">
        <v>0</v>
      </c>
      <c r="DX497" s="3">
        <v>213851.7</v>
      </c>
      <c r="DY497">
        <v>0</v>
      </c>
      <c r="EF497" s="1">
        <v>46057</v>
      </c>
      <c r="EG497" s="1">
        <v>46056</v>
      </c>
      <c r="EK497" s="1">
        <v>46057</v>
      </c>
      <c r="EL497" s="1">
        <v>46057</v>
      </c>
      <c r="EM497" s="1">
        <v>46057</v>
      </c>
      <c r="EN497" t="s">
        <v>156</v>
      </c>
      <c r="EP497" s="1">
        <v>46056</v>
      </c>
      <c r="EU497" s="1">
        <v>46063</v>
      </c>
      <c r="EW497" s="1">
        <v>46050</v>
      </c>
    </row>
    <row r="498" spans="1:153" x14ac:dyDescent="0.35">
      <c r="A498" t="str">
        <f>HYPERLINK("https://7lm.cvcrm.com.br/gestor/comercial/reservas/6622/administrar","6622")</f>
        <v>6622</v>
      </c>
      <c r="B498" t="s">
        <v>172</v>
      </c>
      <c r="C498" s="1">
        <v>46050</v>
      </c>
      <c r="D498" s="2">
        <v>0.47539351851851852</v>
      </c>
      <c r="E498" t="s">
        <v>527</v>
      </c>
      <c r="F498" t="s">
        <v>2451</v>
      </c>
      <c r="G498" t="s">
        <v>203</v>
      </c>
      <c r="H498" t="s">
        <v>319</v>
      </c>
      <c r="I498" t="s">
        <v>1039</v>
      </c>
      <c r="J498">
        <v>1</v>
      </c>
      <c r="L498">
        <v>30061</v>
      </c>
      <c r="M498" t="s">
        <v>2707</v>
      </c>
      <c r="R498" t="str">
        <f>HYPERLINK("https://7lm.cvcrm.com.br/gestor/relatorios/associado/html?q[1|r.idreserva]=6622","FABRICIO DOS SANTOS")</f>
        <v>FABRICIO DOS SANTOS</v>
      </c>
      <c r="S498">
        <v>14195463416</v>
      </c>
      <c r="T498">
        <v>5561994639020</v>
      </c>
      <c r="V498" t="s">
        <v>3062</v>
      </c>
      <c r="W498" t="s">
        <v>163</v>
      </c>
      <c r="X498" t="s">
        <v>3063</v>
      </c>
      <c r="Y498" t="s">
        <v>189</v>
      </c>
      <c r="Z498" t="s">
        <v>190</v>
      </c>
      <c r="AA498" t="s">
        <v>3064</v>
      </c>
      <c r="AB498" t="s">
        <v>3065</v>
      </c>
      <c r="AC498" t="s">
        <v>665</v>
      </c>
      <c r="AD498" t="s">
        <v>665</v>
      </c>
      <c r="AF498" t="s">
        <v>250</v>
      </c>
      <c r="AG498" t="s">
        <v>251</v>
      </c>
      <c r="AH498" s="3">
        <v>246000.72</v>
      </c>
      <c r="AI498" s="3">
        <v>246000.72</v>
      </c>
      <c r="AJ498" s="1">
        <v>46081</v>
      </c>
      <c r="AN498" t="s">
        <v>172</v>
      </c>
      <c r="AO498" t="s">
        <v>657</v>
      </c>
      <c r="AR498" t="s">
        <v>3066</v>
      </c>
      <c r="AU498" t="s">
        <v>175</v>
      </c>
      <c r="AW498">
        <v>0</v>
      </c>
      <c r="AX498" s="1">
        <v>46058</v>
      </c>
      <c r="AY498" s="2">
        <v>0.48546296296296299</v>
      </c>
      <c r="AZ498">
        <v>125302</v>
      </c>
      <c r="BA498" s="1">
        <v>45495</v>
      </c>
      <c r="BC498" t="s">
        <v>0</v>
      </c>
      <c r="BD498" s="1">
        <v>46050</v>
      </c>
      <c r="BE498" t="s">
        <v>317</v>
      </c>
      <c r="BL498" s="4">
        <v>0</v>
      </c>
      <c r="BM498" s="1">
        <v>46788</v>
      </c>
      <c r="BO498">
        <v>0</v>
      </c>
      <c r="BP498">
        <v>27973</v>
      </c>
      <c r="BQ498" t="s">
        <v>156</v>
      </c>
      <c r="BR498">
        <v>0</v>
      </c>
      <c r="BS498">
        <v>0</v>
      </c>
      <c r="BT498">
        <v>0</v>
      </c>
      <c r="BU498">
        <v>0</v>
      </c>
      <c r="BV498" s="3">
        <v>246000.72</v>
      </c>
      <c r="BX498">
        <v>0</v>
      </c>
      <c r="BZ498">
        <v>0</v>
      </c>
      <c r="CA498">
        <v>0</v>
      </c>
      <c r="CB498">
        <v>0</v>
      </c>
      <c r="CC498" s="3">
        <v>246000.72</v>
      </c>
      <c r="CD498" s="5">
        <v>0</v>
      </c>
      <c r="CF498" s="6">
        <v>46054</v>
      </c>
      <c r="CH498">
        <v>0</v>
      </c>
      <c r="CI498">
        <v>0</v>
      </c>
      <c r="CJ498">
        <v>0</v>
      </c>
      <c r="CK498">
        <v>0</v>
      </c>
      <c r="CL498">
        <v>0</v>
      </c>
      <c r="CM498">
        <v>0</v>
      </c>
      <c r="CN498">
        <v>0</v>
      </c>
      <c r="CO498">
        <v>0</v>
      </c>
      <c r="CP498">
        <v>0</v>
      </c>
      <c r="CQ498">
        <v>0</v>
      </c>
      <c r="CR498">
        <v>0</v>
      </c>
      <c r="CT498" t="s">
        <v>190</v>
      </c>
      <c r="CU498" t="s">
        <v>1039</v>
      </c>
      <c r="CW498">
        <v>0</v>
      </c>
      <c r="CZ498" s="1">
        <v>46050</v>
      </c>
      <c r="DA498" t="s">
        <v>172</v>
      </c>
      <c r="DB498" t="s">
        <v>172</v>
      </c>
      <c r="DC498" t="s">
        <v>172</v>
      </c>
      <c r="DD498" t="s">
        <v>172</v>
      </c>
      <c r="DF498" t="s">
        <v>495</v>
      </c>
      <c r="DG498" s="1">
        <v>46050</v>
      </c>
      <c r="DH498">
        <v>0</v>
      </c>
      <c r="DI498">
        <v>0</v>
      </c>
      <c r="DL498" t="s">
        <v>2473</v>
      </c>
      <c r="DM498" t="s">
        <v>172</v>
      </c>
      <c r="DN498" t="s">
        <v>225</v>
      </c>
      <c r="DV498" s="3">
        <v>246000.72</v>
      </c>
      <c r="DW498">
        <v>0</v>
      </c>
      <c r="DX498" s="3">
        <v>246000.72</v>
      </c>
      <c r="DY498">
        <v>0</v>
      </c>
      <c r="EN498" t="s">
        <v>537</v>
      </c>
      <c r="ET498" t="s">
        <v>3067</v>
      </c>
      <c r="EU498" s="1">
        <v>46058</v>
      </c>
      <c r="EW498" s="1">
        <v>46050</v>
      </c>
    </row>
    <row r="499" spans="1:153" ht="246.5" x14ac:dyDescent="0.35">
      <c r="A499" t="str">
        <f>HYPERLINK("https://7lm.cvcrm.com.br/gestor/comercial/reservas/6621/administrar","6621")</f>
        <v>6621</v>
      </c>
      <c r="B499" t="s">
        <v>156</v>
      </c>
      <c r="C499" s="1">
        <v>46050</v>
      </c>
      <c r="D499" s="2">
        <v>0.4105787037037037</v>
      </c>
      <c r="E499" t="s">
        <v>294</v>
      </c>
      <c r="F499" t="s">
        <v>458</v>
      </c>
      <c r="G499" t="s">
        <v>203</v>
      </c>
      <c r="H499" t="s">
        <v>391</v>
      </c>
      <c r="I499" t="s">
        <v>2886</v>
      </c>
      <c r="J499">
        <v>1</v>
      </c>
      <c r="L499">
        <v>20001</v>
      </c>
      <c r="M499" t="s">
        <v>3068</v>
      </c>
      <c r="N499" s="1">
        <v>46051</v>
      </c>
      <c r="O499" s="2">
        <v>0.42313657407407407</v>
      </c>
      <c r="R499" t="str">
        <f>HYPERLINK("https://7lm.cvcrm.com.br/gestor/relatorios/associado/html?q[1|r.idreserva]=6621","LARISSA ALVES MOREIRA")</f>
        <v>LARISSA ALVES MOREIRA</v>
      </c>
      <c r="S499">
        <v>10076910180</v>
      </c>
      <c r="T499">
        <v>5561995755163</v>
      </c>
      <c r="V499" t="s">
        <v>3069</v>
      </c>
      <c r="W499" t="s">
        <v>187</v>
      </c>
      <c r="X499" t="s">
        <v>521</v>
      </c>
      <c r="Y499" t="s">
        <v>165</v>
      </c>
      <c r="Z499" t="s">
        <v>385</v>
      </c>
      <c r="AA499" t="s">
        <v>2587</v>
      </c>
      <c r="AB499" t="s">
        <v>3070</v>
      </c>
      <c r="AC499" t="s">
        <v>1056</v>
      </c>
      <c r="AF499" t="s">
        <v>399</v>
      </c>
      <c r="AG499" t="s">
        <v>195</v>
      </c>
      <c r="AH499" s="3">
        <v>225000</v>
      </c>
      <c r="AI499" s="3">
        <v>225000</v>
      </c>
      <c r="AJ499" s="1">
        <v>46081</v>
      </c>
      <c r="AN499" t="s">
        <v>172</v>
      </c>
      <c r="AR499" s="7" t="s">
        <v>353</v>
      </c>
      <c r="AT499" t="s">
        <v>196</v>
      </c>
      <c r="AU499" t="s">
        <v>292</v>
      </c>
      <c r="AW499">
        <v>0</v>
      </c>
      <c r="AX499" s="1">
        <v>46066</v>
      </c>
      <c r="AY499" s="2">
        <v>0.64018518518518519</v>
      </c>
      <c r="AZ499">
        <v>185602</v>
      </c>
      <c r="BA499" s="1">
        <v>46044</v>
      </c>
      <c r="BC499" t="s">
        <v>0</v>
      </c>
      <c r="BD499" s="1">
        <v>46050</v>
      </c>
      <c r="BE499" t="s">
        <v>786</v>
      </c>
      <c r="BL499" s="4">
        <v>0</v>
      </c>
      <c r="BM499" s="1">
        <v>46572</v>
      </c>
      <c r="BN499" s="1">
        <v>46066</v>
      </c>
      <c r="BO499">
        <v>0</v>
      </c>
      <c r="BP499">
        <v>27833</v>
      </c>
      <c r="BQ499" t="s">
        <v>156</v>
      </c>
      <c r="BR499" s="3">
        <v>116286.6</v>
      </c>
      <c r="BS499" s="3">
        <v>47542</v>
      </c>
      <c r="BT499">
        <v>0</v>
      </c>
      <c r="BU499" s="3">
        <v>163828.6</v>
      </c>
      <c r="BV499" s="3">
        <v>225000</v>
      </c>
      <c r="BX499">
        <v>0</v>
      </c>
      <c r="BZ499">
        <v>0</v>
      </c>
      <c r="CA499">
        <v>0</v>
      </c>
      <c r="CB499">
        <v>0</v>
      </c>
      <c r="CC499" s="3">
        <v>225000</v>
      </c>
      <c r="CD499" s="5">
        <v>0</v>
      </c>
      <c r="CE499" t="s">
        <v>467</v>
      </c>
      <c r="CF499" s="6">
        <v>46054</v>
      </c>
      <c r="CH499">
        <v>0</v>
      </c>
      <c r="CI499">
        <v>0</v>
      </c>
      <c r="CJ499">
        <v>0</v>
      </c>
      <c r="CK499">
        <v>0</v>
      </c>
      <c r="CL499">
        <v>0</v>
      </c>
      <c r="CM499">
        <v>0</v>
      </c>
      <c r="CN499">
        <v>0</v>
      </c>
      <c r="CO499">
        <v>0</v>
      </c>
      <c r="CP499">
        <v>0</v>
      </c>
      <c r="CQ499">
        <v>0</v>
      </c>
      <c r="CR499">
        <v>0</v>
      </c>
      <c r="CS499" t="s">
        <v>2497</v>
      </c>
      <c r="CT499" t="s">
        <v>214</v>
      </c>
      <c r="CU499" t="s">
        <v>2886</v>
      </c>
      <c r="CW499">
        <v>391.26639999999998</v>
      </c>
      <c r="CZ499" s="1">
        <v>46050</v>
      </c>
      <c r="DA499" t="s">
        <v>172</v>
      </c>
      <c r="DB499" t="s">
        <v>172</v>
      </c>
      <c r="DC499" t="s">
        <v>172</v>
      </c>
      <c r="DD499" t="s">
        <v>172</v>
      </c>
      <c r="DG499" s="1">
        <v>46050</v>
      </c>
      <c r="DH499">
        <v>0</v>
      </c>
      <c r="DI499">
        <v>0</v>
      </c>
      <c r="DL499" t="s">
        <v>200</v>
      </c>
      <c r="DM499" t="s">
        <v>172</v>
      </c>
      <c r="DN499" t="s">
        <v>201</v>
      </c>
      <c r="DV499" s="3">
        <v>225000</v>
      </c>
      <c r="DW499">
        <v>0</v>
      </c>
      <c r="DX499" s="3">
        <v>225000</v>
      </c>
      <c r="DY499">
        <v>0</v>
      </c>
      <c r="EF499" s="1">
        <v>46063</v>
      </c>
      <c r="EG499" s="1">
        <v>46059</v>
      </c>
      <c r="EK499" s="1">
        <v>46063</v>
      </c>
      <c r="EL499" s="1">
        <v>46063</v>
      </c>
      <c r="EN499" t="s">
        <v>156</v>
      </c>
      <c r="EP499" s="1">
        <v>46063</v>
      </c>
      <c r="EU499" s="1">
        <v>46062</v>
      </c>
      <c r="EW499" s="1">
        <v>46051</v>
      </c>
    </row>
    <row r="500" spans="1:153" ht="246.5" x14ac:dyDescent="0.35">
      <c r="A500" t="str">
        <f>HYPERLINK("https://7lm.cvcrm.com.br/gestor/comercial/reservas/6620/administrar","6620")</f>
        <v>6620</v>
      </c>
      <c r="B500" t="s">
        <v>156</v>
      </c>
      <c r="C500" s="1">
        <v>46049</v>
      </c>
      <c r="D500" s="2">
        <v>0.68733796296296301</v>
      </c>
      <c r="E500" t="s">
        <v>294</v>
      </c>
      <c r="F500" t="s">
        <v>957</v>
      </c>
      <c r="G500" t="s">
        <v>159</v>
      </c>
      <c r="H500" t="s">
        <v>2907</v>
      </c>
      <c r="I500" t="s">
        <v>3071</v>
      </c>
      <c r="J500">
        <v>1</v>
      </c>
      <c r="L500">
        <v>30121</v>
      </c>
      <c r="M500" t="s">
        <v>3072</v>
      </c>
      <c r="N500" s="1">
        <v>46080</v>
      </c>
      <c r="O500" s="2">
        <v>0.4026851851851852</v>
      </c>
      <c r="R500" t="str">
        <f>HYPERLINK("https://7lm.cvcrm.com.br/gestor/relatorios/associado/html?q[1|r.idreserva]=6620","MARCELO DA SILVA LEITE")</f>
        <v>MARCELO DA SILVA LEITE</v>
      </c>
      <c r="S500">
        <v>3525979177</v>
      </c>
      <c r="T500">
        <v>5561998668912</v>
      </c>
      <c r="V500" t="s">
        <v>3073</v>
      </c>
      <c r="W500" t="s">
        <v>163</v>
      </c>
      <c r="X500" t="s">
        <v>288</v>
      </c>
      <c r="Y500" t="s">
        <v>189</v>
      </c>
      <c r="Z500" t="s">
        <v>190</v>
      </c>
      <c r="AA500" t="s">
        <v>480</v>
      </c>
      <c r="AB500" t="s">
        <v>3074</v>
      </c>
      <c r="AC500" t="s">
        <v>193</v>
      </c>
      <c r="AF500" t="s">
        <v>194</v>
      </c>
      <c r="AG500" t="s">
        <v>251</v>
      </c>
      <c r="AH500" s="3">
        <v>244818.08</v>
      </c>
      <c r="AI500" s="3">
        <v>244818.08</v>
      </c>
      <c r="AJ500" s="1">
        <v>46106</v>
      </c>
      <c r="AN500" t="s">
        <v>172</v>
      </c>
      <c r="AR500" s="7" t="s">
        <v>353</v>
      </c>
      <c r="AT500" t="s">
        <v>196</v>
      </c>
      <c r="AU500" t="s">
        <v>1755</v>
      </c>
      <c r="AW500">
        <v>0</v>
      </c>
      <c r="AX500" s="1">
        <v>46062</v>
      </c>
      <c r="AY500" s="2">
        <v>0.64353009259259264</v>
      </c>
      <c r="AZ500">
        <v>155150</v>
      </c>
      <c r="BA500" s="1">
        <v>45754</v>
      </c>
      <c r="BB500" s="1">
        <v>45915</v>
      </c>
      <c r="BC500" t="s">
        <v>0</v>
      </c>
      <c r="BD500" s="1">
        <v>46049</v>
      </c>
      <c r="BE500" t="s">
        <v>276</v>
      </c>
      <c r="BL500" s="4">
        <v>0</v>
      </c>
      <c r="BM500" s="1">
        <v>47031</v>
      </c>
      <c r="BN500" s="1">
        <v>46062</v>
      </c>
      <c r="BO500">
        <v>0</v>
      </c>
      <c r="BP500">
        <v>27421</v>
      </c>
      <c r="BQ500" t="s">
        <v>156</v>
      </c>
      <c r="BR500" s="3">
        <v>105926.61</v>
      </c>
      <c r="BS500" s="3">
        <v>48347</v>
      </c>
      <c r="BT500">
        <v>0</v>
      </c>
      <c r="BU500" s="3">
        <v>154273.60999999999</v>
      </c>
      <c r="BV500" s="3">
        <v>244818.08</v>
      </c>
      <c r="BX500">
        <v>0</v>
      </c>
      <c r="BZ500">
        <v>0</v>
      </c>
      <c r="CA500">
        <v>0</v>
      </c>
      <c r="CB500">
        <v>0</v>
      </c>
      <c r="CC500" s="3">
        <v>244818.08</v>
      </c>
      <c r="CD500" s="5">
        <v>0</v>
      </c>
      <c r="CF500" s="6">
        <v>46054</v>
      </c>
      <c r="CH500">
        <v>0</v>
      </c>
      <c r="CI500">
        <v>0</v>
      </c>
      <c r="CJ500">
        <v>0</v>
      </c>
      <c r="CK500">
        <v>0</v>
      </c>
      <c r="CL500">
        <v>0</v>
      </c>
      <c r="CM500">
        <v>0</v>
      </c>
      <c r="CN500">
        <v>0</v>
      </c>
      <c r="CO500">
        <v>0</v>
      </c>
      <c r="CP500">
        <v>0</v>
      </c>
      <c r="CQ500">
        <v>0</v>
      </c>
      <c r="CR500">
        <v>0</v>
      </c>
      <c r="CS500" t="s">
        <v>360</v>
      </c>
      <c r="CT500" t="s">
        <v>190</v>
      </c>
      <c r="CU500" t="s">
        <v>3071</v>
      </c>
      <c r="CW500">
        <v>-48.274900000000002</v>
      </c>
      <c r="CZ500" s="1">
        <v>46049</v>
      </c>
      <c r="DA500" t="s">
        <v>172</v>
      </c>
      <c r="DB500" t="s">
        <v>172</v>
      </c>
      <c r="DC500" t="s">
        <v>172</v>
      </c>
      <c r="DD500" t="s">
        <v>172</v>
      </c>
      <c r="DG500" s="1">
        <v>46049</v>
      </c>
      <c r="DH500">
        <v>0</v>
      </c>
      <c r="DI500">
        <v>0</v>
      </c>
      <c r="DJ500" s="1">
        <v>46062</v>
      </c>
      <c r="DL500" t="s">
        <v>963</v>
      </c>
      <c r="DM500" t="s">
        <v>172</v>
      </c>
      <c r="DN500" t="s">
        <v>201</v>
      </c>
      <c r="DV500" s="3">
        <v>244818.08</v>
      </c>
      <c r="DW500">
        <v>0</v>
      </c>
      <c r="DX500" s="3">
        <v>244818.08</v>
      </c>
      <c r="DY500">
        <v>0</v>
      </c>
      <c r="EG500" s="1">
        <v>46056</v>
      </c>
      <c r="EH500" s="1">
        <v>46056</v>
      </c>
      <c r="EN500" t="s">
        <v>156</v>
      </c>
      <c r="EP500" s="1">
        <v>46057</v>
      </c>
      <c r="ER500" s="1">
        <v>46056</v>
      </c>
      <c r="ES500" t="s">
        <v>3075</v>
      </c>
      <c r="EW500" s="1">
        <v>46049</v>
      </c>
    </row>
    <row r="501" spans="1:153" x14ac:dyDescent="0.35">
      <c r="A501" t="str">
        <f>HYPERLINK("https://7lm.cvcrm.com.br/gestor/comercial/reservas/6619/administrar","6619")</f>
        <v>6619</v>
      </c>
      <c r="B501" t="s">
        <v>172</v>
      </c>
      <c r="C501" s="1">
        <v>46049</v>
      </c>
      <c r="D501" s="2">
        <v>0.54628472222222224</v>
      </c>
      <c r="E501" t="s">
        <v>527</v>
      </c>
      <c r="F501" t="s">
        <v>2451</v>
      </c>
      <c r="G501" t="s">
        <v>203</v>
      </c>
      <c r="H501" t="s">
        <v>319</v>
      </c>
      <c r="I501" t="s">
        <v>976</v>
      </c>
      <c r="J501">
        <v>1</v>
      </c>
      <c r="L501">
        <v>30061</v>
      </c>
      <c r="M501" t="s">
        <v>2694</v>
      </c>
      <c r="R501" t="str">
        <f>HYPERLINK("https://7lm.cvcrm.com.br/gestor/relatorios/associado/html?q[1|r.idreserva]=6619","JEAN RODRIGUES DA SILVA")</f>
        <v>JEAN RODRIGUES DA SILVA</v>
      </c>
      <c r="S501">
        <v>8656140167</v>
      </c>
      <c r="T501">
        <v>5561999996553</v>
      </c>
      <c r="V501" t="s">
        <v>3076</v>
      </c>
      <c r="W501" t="s">
        <v>163</v>
      </c>
      <c r="X501" t="s">
        <v>3077</v>
      </c>
      <c r="Y501" t="s">
        <v>189</v>
      </c>
      <c r="Z501" t="s">
        <v>190</v>
      </c>
      <c r="AA501" t="s">
        <v>1632</v>
      </c>
      <c r="AB501" t="s">
        <v>3078</v>
      </c>
      <c r="AC501" t="s">
        <v>3079</v>
      </c>
      <c r="AD501" t="s">
        <v>3080</v>
      </c>
      <c r="AF501" t="s">
        <v>250</v>
      </c>
      <c r="AG501" t="s">
        <v>251</v>
      </c>
      <c r="AH501" s="3">
        <v>246000.04</v>
      </c>
      <c r="AI501" s="3">
        <v>246000.04</v>
      </c>
      <c r="AJ501" s="1">
        <v>46080</v>
      </c>
      <c r="AN501" t="s">
        <v>172</v>
      </c>
      <c r="AO501" t="s">
        <v>2471</v>
      </c>
      <c r="AR501" t="s">
        <v>3081</v>
      </c>
      <c r="AU501" t="s">
        <v>175</v>
      </c>
      <c r="AW501">
        <v>0</v>
      </c>
      <c r="AX501" s="1">
        <v>46057</v>
      </c>
      <c r="AY501" s="2">
        <v>0.66800925925925925</v>
      </c>
      <c r="AZ501">
        <v>186324</v>
      </c>
      <c r="BA501" s="1">
        <v>46048</v>
      </c>
      <c r="BC501" t="s">
        <v>0</v>
      </c>
      <c r="BD501" s="1">
        <v>46049</v>
      </c>
      <c r="BE501" t="s">
        <v>176</v>
      </c>
      <c r="BL501" s="4">
        <v>0</v>
      </c>
      <c r="BM501" s="1">
        <v>46788</v>
      </c>
      <c r="BO501">
        <v>0</v>
      </c>
      <c r="BP501">
        <v>27917</v>
      </c>
      <c r="BQ501" t="s">
        <v>156</v>
      </c>
      <c r="BR501" s="3">
        <v>144980.84</v>
      </c>
      <c r="BS501" s="3">
        <v>23140</v>
      </c>
      <c r="BT501">
        <v>0</v>
      </c>
      <c r="BU501" s="3">
        <v>168120.84</v>
      </c>
      <c r="BV501" s="3">
        <v>246000.04</v>
      </c>
      <c r="BX501">
        <v>0</v>
      </c>
      <c r="BZ501">
        <v>0</v>
      </c>
      <c r="CA501">
        <v>0</v>
      </c>
      <c r="CB501">
        <v>0</v>
      </c>
      <c r="CC501" s="3">
        <v>246000.04</v>
      </c>
      <c r="CD501" s="5">
        <v>0</v>
      </c>
      <c r="CF501" s="6">
        <v>46054</v>
      </c>
      <c r="CH501">
        <v>0</v>
      </c>
      <c r="CI501">
        <v>0</v>
      </c>
      <c r="CJ501">
        <v>0</v>
      </c>
      <c r="CK501">
        <v>0</v>
      </c>
      <c r="CL501">
        <v>0</v>
      </c>
      <c r="CM501">
        <v>0</v>
      </c>
      <c r="CN501">
        <v>0</v>
      </c>
      <c r="CO501">
        <v>0</v>
      </c>
      <c r="CP501">
        <v>0</v>
      </c>
      <c r="CQ501">
        <v>0</v>
      </c>
      <c r="CR501">
        <v>0</v>
      </c>
      <c r="CT501" t="s">
        <v>190</v>
      </c>
      <c r="CU501" t="s">
        <v>976</v>
      </c>
      <c r="CW501">
        <v>0</v>
      </c>
      <c r="CZ501" s="1">
        <v>46049</v>
      </c>
      <c r="DA501" t="s">
        <v>172</v>
      </c>
      <c r="DB501" t="s">
        <v>172</v>
      </c>
      <c r="DC501" t="s">
        <v>172</v>
      </c>
      <c r="DD501" t="s">
        <v>172</v>
      </c>
      <c r="DF501" t="s">
        <v>2532</v>
      </c>
      <c r="DG501" s="1">
        <v>46049</v>
      </c>
      <c r="DH501">
        <v>0</v>
      </c>
      <c r="DI501">
        <v>0</v>
      </c>
      <c r="DL501" t="s">
        <v>2473</v>
      </c>
      <c r="DM501" t="s">
        <v>172</v>
      </c>
      <c r="DN501" t="s">
        <v>201</v>
      </c>
      <c r="DV501" s="3">
        <v>246000.04</v>
      </c>
      <c r="DW501">
        <v>0</v>
      </c>
      <c r="DX501" s="3">
        <v>246000.04</v>
      </c>
      <c r="DY501">
        <v>0</v>
      </c>
      <c r="EN501" t="s">
        <v>537</v>
      </c>
      <c r="ET501" t="s">
        <v>3082</v>
      </c>
      <c r="EU501" s="1">
        <v>46059</v>
      </c>
    </row>
    <row r="502" spans="1:153" x14ac:dyDescent="0.35">
      <c r="A502" t="str">
        <f>HYPERLINK("https://7lm.cvcrm.com.br/gestor/comercial/reservas/6618/administrar","6618")</f>
        <v>6618</v>
      </c>
      <c r="B502" t="s">
        <v>156</v>
      </c>
      <c r="C502" s="1">
        <v>46049</v>
      </c>
      <c r="D502" s="2">
        <v>0.49611111111111111</v>
      </c>
      <c r="E502" t="s">
        <v>527</v>
      </c>
      <c r="F502" t="s">
        <v>458</v>
      </c>
      <c r="G502" t="s">
        <v>203</v>
      </c>
      <c r="H502" t="s">
        <v>391</v>
      </c>
      <c r="I502" t="s">
        <v>266</v>
      </c>
      <c r="J502">
        <v>1</v>
      </c>
      <c r="L502">
        <v>20001</v>
      </c>
      <c r="M502" t="s">
        <v>2410</v>
      </c>
      <c r="N502" s="1">
        <v>46049</v>
      </c>
      <c r="O502" s="2">
        <v>0.56854166666666661</v>
      </c>
      <c r="R502" t="str">
        <f>HYPERLINK("https://7lm.cvcrm.com.br/gestor/relatorios/associado/html?q[1|r.idreserva]=6618","DIEGO LIMA DE SOUSA")</f>
        <v>DIEGO LIMA DE SOUSA</v>
      </c>
      <c r="S502">
        <v>71279705132</v>
      </c>
      <c r="T502">
        <v>5561998360424</v>
      </c>
      <c r="V502" t="s">
        <v>3083</v>
      </c>
      <c r="W502" t="s">
        <v>163</v>
      </c>
      <c r="X502" t="s">
        <v>521</v>
      </c>
      <c r="Y502" t="s">
        <v>189</v>
      </c>
      <c r="Z502" t="s">
        <v>214</v>
      </c>
      <c r="AA502" t="s">
        <v>3084</v>
      </c>
      <c r="AB502" t="s">
        <v>3085</v>
      </c>
      <c r="AC502" t="s">
        <v>455</v>
      </c>
      <c r="AF502" t="s">
        <v>389</v>
      </c>
      <c r="AG502" t="s">
        <v>195</v>
      </c>
      <c r="AH502" s="3">
        <v>222000.75</v>
      </c>
      <c r="AI502" s="3">
        <v>222000.75</v>
      </c>
      <c r="AJ502" s="1">
        <v>46080</v>
      </c>
      <c r="AN502" t="s">
        <v>172</v>
      </c>
      <c r="AO502" t="s">
        <v>1334</v>
      </c>
      <c r="AR502" t="s">
        <v>3019</v>
      </c>
      <c r="AT502" t="s">
        <v>196</v>
      </c>
      <c r="AU502" t="s">
        <v>292</v>
      </c>
      <c r="AW502">
        <v>0</v>
      </c>
      <c r="AX502" s="1">
        <v>46059</v>
      </c>
      <c r="AY502" s="2">
        <v>0.62586805555555558</v>
      </c>
      <c r="AZ502">
        <v>186296</v>
      </c>
      <c r="BA502" s="1">
        <v>46048</v>
      </c>
      <c r="BB502" s="1">
        <v>46048</v>
      </c>
      <c r="BC502" t="s">
        <v>0</v>
      </c>
      <c r="BD502" s="1">
        <v>46049</v>
      </c>
      <c r="BE502" t="s">
        <v>317</v>
      </c>
      <c r="BL502" s="4">
        <v>0</v>
      </c>
      <c r="BM502" s="1">
        <v>46572</v>
      </c>
      <c r="BO502">
        <v>0</v>
      </c>
      <c r="BP502">
        <v>27900</v>
      </c>
      <c r="BQ502" t="s">
        <v>156</v>
      </c>
      <c r="BR502" s="3">
        <v>130108.55</v>
      </c>
      <c r="BS502" s="3">
        <v>32613</v>
      </c>
      <c r="BT502">
        <v>0</v>
      </c>
      <c r="BU502" s="3">
        <v>162721.54999999999</v>
      </c>
      <c r="BV502" s="3">
        <v>222000.75</v>
      </c>
      <c r="BX502">
        <v>0</v>
      </c>
      <c r="BZ502">
        <v>0</v>
      </c>
      <c r="CA502">
        <v>0</v>
      </c>
      <c r="CB502">
        <v>0</v>
      </c>
      <c r="CC502" s="3">
        <v>222000.75</v>
      </c>
      <c r="CD502" s="5">
        <v>0</v>
      </c>
      <c r="CE502" t="s">
        <v>467</v>
      </c>
      <c r="CF502" s="6">
        <v>46054</v>
      </c>
      <c r="CH502">
        <v>0</v>
      </c>
      <c r="CI502">
        <v>0</v>
      </c>
      <c r="CJ502">
        <v>0</v>
      </c>
      <c r="CK502">
        <v>0</v>
      </c>
      <c r="CL502">
        <v>0</v>
      </c>
      <c r="CM502">
        <v>0</v>
      </c>
      <c r="CN502">
        <v>0</v>
      </c>
      <c r="CO502">
        <v>0</v>
      </c>
      <c r="CP502">
        <v>0</v>
      </c>
      <c r="CQ502">
        <v>0</v>
      </c>
      <c r="CR502">
        <v>0</v>
      </c>
      <c r="CS502" t="s">
        <v>2497</v>
      </c>
      <c r="CT502" t="s">
        <v>214</v>
      </c>
      <c r="CU502" t="s">
        <v>266</v>
      </c>
      <c r="CW502">
        <v>384.71780000000001</v>
      </c>
      <c r="CZ502" s="1">
        <v>46049</v>
      </c>
      <c r="DA502" t="s">
        <v>172</v>
      </c>
      <c r="DB502" t="s">
        <v>172</v>
      </c>
      <c r="DC502" t="s">
        <v>172</v>
      </c>
      <c r="DD502" t="s">
        <v>172</v>
      </c>
      <c r="DG502" s="1">
        <v>46049</v>
      </c>
      <c r="DH502">
        <v>0</v>
      </c>
      <c r="DI502">
        <v>0</v>
      </c>
      <c r="DL502" t="s">
        <v>200</v>
      </c>
      <c r="DM502" t="s">
        <v>172</v>
      </c>
      <c r="DN502" t="s">
        <v>201</v>
      </c>
      <c r="DV502" s="3">
        <v>222000.75</v>
      </c>
      <c r="DW502">
        <v>0</v>
      </c>
      <c r="DX502" s="3">
        <v>222000.75</v>
      </c>
      <c r="DY502">
        <v>0</v>
      </c>
      <c r="EN502" t="s">
        <v>537</v>
      </c>
      <c r="EU502" s="1">
        <v>46071</v>
      </c>
      <c r="EW502" s="1">
        <v>46050</v>
      </c>
    </row>
    <row r="503" spans="1:153" ht="246.5" x14ac:dyDescent="0.35">
      <c r="A503" t="str">
        <f>HYPERLINK("https://7lm.cvcrm.com.br/gestor/comercial/reservas/6617/administrar","6617")</f>
        <v>6617</v>
      </c>
      <c r="B503" t="s">
        <v>156</v>
      </c>
      <c r="C503" s="1">
        <v>46049</v>
      </c>
      <c r="D503" s="2">
        <v>0.42966435185185187</v>
      </c>
      <c r="E503" t="s">
        <v>294</v>
      </c>
      <c r="F503" t="s">
        <v>957</v>
      </c>
      <c r="G503" t="s">
        <v>159</v>
      </c>
      <c r="H503" t="s">
        <v>538</v>
      </c>
      <c r="I503" t="s">
        <v>3086</v>
      </c>
      <c r="J503">
        <v>1</v>
      </c>
      <c r="L503">
        <v>30121</v>
      </c>
      <c r="M503" t="s">
        <v>3087</v>
      </c>
      <c r="N503" s="1">
        <v>46057</v>
      </c>
      <c r="O503" s="2">
        <v>0.72289351851851846</v>
      </c>
      <c r="R503" t="str">
        <f>HYPERLINK("https://7lm.cvcrm.com.br/gestor/relatorios/associado/html?q[1|r.idreserva]=6617","NATHALLY LORRANE ORNELAS PEREIRA")</f>
        <v>NATHALLY LORRANE ORNELAS PEREIRA</v>
      </c>
      <c r="S503">
        <v>71322688133</v>
      </c>
      <c r="T503">
        <v>5561999749346</v>
      </c>
      <c r="V503" t="s">
        <v>3088</v>
      </c>
      <c r="W503" t="s">
        <v>187</v>
      </c>
      <c r="X503" t="s">
        <v>376</v>
      </c>
      <c r="Y503" t="s">
        <v>189</v>
      </c>
      <c r="Z503" t="s">
        <v>190</v>
      </c>
      <c r="AA503" t="s">
        <v>532</v>
      </c>
      <c r="AB503" t="s">
        <v>3089</v>
      </c>
      <c r="AC503" t="s">
        <v>534</v>
      </c>
      <c r="AF503" t="s">
        <v>352</v>
      </c>
      <c r="AG503" t="s">
        <v>251</v>
      </c>
      <c r="AH503" s="3">
        <v>242849.4</v>
      </c>
      <c r="AI503" s="3">
        <v>242849.4</v>
      </c>
      <c r="AJ503" s="1">
        <v>46096</v>
      </c>
      <c r="AN503" t="s">
        <v>172</v>
      </c>
      <c r="AR503" s="7" t="s">
        <v>353</v>
      </c>
      <c r="AT503" t="s">
        <v>196</v>
      </c>
      <c r="AU503" t="s">
        <v>292</v>
      </c>
      <c r="AW503">
        <v>0</v>
      </c>
      <c r="AX503" s="1">
        <v>46057</v>
      </c>
      <c r="AY503" s="2">
        <v>0.72812500000000002</v>
      </c>
      <c r="AZ503">
        <v>183688</v>
      </c>
      <c r="BA503" s="1">
        <v>46034</v>
      </c>
      <c r="BC503" t="s">
        <v>0</v>
      </c>
      <c r="BD503" s="1">
        <v>46049</v>
      </c>
      <c r="BE503" t="s">
        <v>176</v>
      </c>
      <c r="BL503" s="4">
        <v>0</v>
      </c>
      <c r="BM503" s="1">
        <v>47031</v>
      </c>
      <c r="BN503" s="1">
        <v>46057</v>
      </c>
      <c r="BO503">
        <v>0</v>
      </c>
      <c r="BP503">
        <v>27402</v>
      </c>
      <c r="BQ503" t="s">
        <v>156</v>
      </c>
      <c r="BR503" s="3">
        <v>117495.72</v>
      </c>
      <c r="BS503" s="3">
        <v>43762</v>
      </c>
      <c r="BT503">
        <v>0</v>
      </c>
      <c r="BU503" s="3">
        <v>161257.72</v>
      </c>
      <c r="BV503" s="3">
        <v>242849.4</v>
      </c>
      <c r="BX503">
        <v>0</v>
      </c>
      <c r="BZ503">
        <v>0</v>
      </c>
      <c r="CA503">
        <v>0</v>
      </c>
      <c r="CB503">
        <v>0</v>
      </c>
      <c r="CC503" s="3">
        <v>242849.4</v>
      </c>
      <c r="CD503" s="5">
        <v>0</v>
      </c>
      <c r="CF503" s="6">
        <v>46054</v>
      </c>
      <c r="CH503">
        <v>0</v>
      </c>
      <c r="CI503">
        <v>0</v>
      </c>
      <c r="CJ503">
        <v>0</v>
      </c>
      <c r="CK503">
        <v>0</v>
      </c>
      <c r="CL503">
        <v>0</v>
      </c>
      <c r="CM503">
        <v>0</v>
      </c>
      <c r="CN503">
        <v>0</v>
      </c>
      <c r="CO503">
        <v>0</v>
      </c>
      <c r="CP503">
        <v>0</v>
      </c>
      <c r="CQ503">
        <v>0</v>
      </c>
      <c r="CR503">
        <v>0</v>
      </c>
      <c r="CS503" t="s">
        <v>649</v>
      </c>
      <c r="CT503" t="s">
        <v>190</v>
      </c>
      <c r="CU503" t="s">
        <v>3086</v>
      </c>
      <c r="CW503">
        <v>412.34050000000002</v>
      </c>
      <c r="CZ503" s="1">
        <v>46049</v>
      </c>
      <c r="DA503" t="s">
        <v>172</v>
      </c>
      <c r="DB503" t="s">
        <v>172</v>
      </c>
      <c r="DC503" t="s">
        <v>172</v>
      </c>
      <c r="DD503" t="s">
        <v>172</v>
      </c>
      <c r="DG503" s="1">
        <v>46049</v>
      </c>
      <c r="DH503">
        <v>0</v>
      </c>
      <c r="DI503">
        <v>0</v>
      </c>
      <c r="DJ503" s="1">
        <v>46057</v>
      </c>
      <c r="DL503" t="s">
        <v>963</v>
      </c>
      <c r="DM503" t="s">
        <v>172</v>
      </c>
      <c r="DN503" t="s">
        <v>201</v>
      </c>
      <c r="DP503" s="4">
        <v>1.2E-2</v>
      </c>
      <c r="DV503" s="3">
        <v>242849.4</v>
      </c>
      <c r="DW503">
        <v>0</v>
      </c>
      <c r="DX503" s="3">
        <v>242849.4</v>
      </c>
      <c r="DY503">
        <v>0</v>
      </c>
      <c r="EG503" s="1">
        <v>46055</v>
      </c>
      <c r="EN503" t="s">
        <v>156</v>
      </c>
      <c r="EP503" s="1">
        <v>46055</v>
      </c>
      <c r="ER503" s="1">
        <v>46052</v>
      </c>
      <c r="ES503" t="s">
        <v>3090</v>
      </c>
      <c r="EU503" s="1">
        <v>46052</v>
      </c>
      <c r="EW503" s="1">
        <v>46049</v>
      </c>
    </row>
    <row r="504" spans="1:153" ht="246.5" x14ac:dyDescent="0.35">
      <c r="A504" t="str">
        <f>HYPERLINK("https://7lm.cvcrm.com.br/gestor/comercial/reservas/6616/administrar","6616")</f>
        <v>6616</v>
      </c>
      <c r="B504" t="s">
        <v>156</v>
      </c>
      <c r="C504" s="1">
        <v>46048</v>
      </c>
      <c r="D504" s="2">
        <v>0.82715277777777774</v>
      </c>
      <c r="E504" t="s">
        <v>294</v>
      </c>
      <c r="F504" t="s">
        <v>957</v>
      </c>
      <c r="G504" t="s">
        <v>159</v>
      </c>
      <c r="H504" t="s">
        <v>1376</v>
      </c>
      <c r="I504" t="s">
        <v>3091</v>
      </c>
      <c r="J504">
        <v>1</v>
      </c>
      <c r="L504">
        <v>30121</v>
      </c>
      <c r="M504" t="s">
        <v>3092</v>
      </c>
      <c r="N504" s="1">
        <v>46052</v>
      </c>
      <c r="O504" s="2">
        <v>0.43512731481481481</v>
      </c>
      <c r="R504" t="str">
        <f>HYPERLINK("https://7lm.cvcrm.com.br/gestor/relatorios/associado/html?q[1|r.idreserva]=6616","RAFAEL ALVES DE ASSUNÇAO NETO")</f>
        <v>RAFAEL ALVES DE ASSUNÇAO NETO</v>
      </c>
      <c r="S504">
        <v>70911333150</v>
      </c>
      <c r="T504">
        <v>5561996484763</v>
      </c>
      <c r="V504" t="s">
        <v>3093</v>
      </c>
      <c r="W504" t="s">
        <v>163</v>
      </c>
      <c r="X504" t="s">
        <v>376</v>
      </c>
      <c r="Y504" t="s">
        <v>189</v>
      </c>
      <c r="Z504" t="s">
        <v>190</v>
      </c>
      <c r="AA504" t="s">
        <v>377</v>
      </c>
      <c r="AB504" t="s">
        <v>3094</v>
      </c>
      <c r="AC504" t="s">
        <v>881</v>
      </c>
      <c r="AD504" t="s">
        <v>881</v>
      </c>
      <c r="AF504" t="s">
        <v>303</v>
      </c>
      <c r="AG504" t="s">
        <v>251</v>
      </c>
      <c r="AH504" s="3">
        <v>265000.06</v>
      </c>
      <c r="AI504" s="3">
        <v>265000.06</v>
      </c>
      <c r="AJ504" s="1">
        <v>46106</v>
      </c>
      <c r="AN504" t="s">
        <v>172</v>
      </c>
      <c r="AR504" s="7" t="s">
        <v>353</v>
      </c>
      <c r="AT504" t="s">
        <v>1350</v>
      </c>
      <c r="AU504" t="s">
        <v>292</v>
      </c>
      <c r="AW504">
        <v>0</v>
      </c>
      <c r="AX504" s="1">
        <v>46062</v>
      </c>
      <c r="AY504" s="2">
        <v>0.65013888888888893</v>
      </c>
      <c r="AZ504">
        <v>171816</v>
      </c>
      <c r="BA504" s="1">
        <v>45937</v>
      </c>
      <c r="BC504" t="s">
        <v>0</v>
      </c>
      <c r="BD504" s="1">
        <v>46048</v>
      </c>
      <c r="BE504" t="s">
        <v>466</v>
      </c>
      <c r="BL504" s="4">
        <v>0</v>
      </c>
      <c r="BM504" s="1">
        <v>47031</v>
      </c>
      <c r="BN504" s="1">
        <v>46062</v>
      </c>
      <c r="BO504">
        <v>0</v>
      </c>
      <c r="BP504">
        <v>27648</v>
      </c>
      <c r="BQ504" t="s">
        <v>156</v>
      </c>
      <c r="BR504" s="3">
        <v>136016.66</v>
      </c>
      <c r="BS504" s="3">
        <v>24209</v>
      </c>
      <c r="BT504">
        <v>0</v>
      </c>
      <c r="BU504" s="3">
        <v>160225.66</v>
      </c>
      <c r="BV504" s="3">
        <v>265000.06</v>
      </c>
      <c r="BX504">
        <v>0</v>
      </c>
      <c r="BZ504">
        <v>0</v>
      </c>
      <c r="CA504">
        <v>0</v>
      </c>
      <c r="CB504">
        <v>0</v>
      </c>
      <c r="CC504" s="3">
        <v>265000.06</v>
      </c>
      <c r="CD504" s="5">
        <v>0</v>
      </c>
      <c r="CF504" s="6">
        <v>46054</v>
      </c>
      <c r="CH504">
        <v>0</v>
      </c>
      <c r="CI504">
        <v>0</v>
      </c>
      <c r="CJ504">
        <v>0</v>
      </c>
      <c r="CK504">
        <v>0</v>
      </c>
      <c r="CL504">
        <v>0</v>
      </c>
      <c r="CM504">
        <v>0</v>
      </c>
      <c r="CN504">
        <v>0</v>
      </c>
      <c r="CO504">
        <v>0</v>
      </c>
      <c r="CP504">
        <v>0</v>
      </c>
      <c r="CQ504">
        <v>0</v>
      </c>
      <c r="CR504">
        <v>0</v>
      </c>
      <c r="CS504" t="s">
        <v>305</v>
      </c>
      <c r="CT504" t="s">
        <v>190</v>
      </c>
      <c r="CU504" t="s">
        <v>3091</v>
      </c>
      <c r="CW504">
        <v>459.07190000000003</v>
      </c>
      <c r="CZ504" s="1">
        <v>46048</v>
      </c>
      <c r="DA504" t="s">
        <v>172</v>
      </c>
      <c r="DB504" t="s">
        <v>172</v>
      </c>
      <c r="DC504" t="s">
        <v>172</v>
      </c>
      <c r="DD504" t="s">
        <v>172</v>
      </c>
      <c r="DG504" s="1">
        <v>46048</v>
      </c>
      <c r="DH504">
        <v>0</v>
      </c>
      <c r="DI504">
        <v>0</v>
      </c>
      <c r="DJ504" s="1">
        <v>46062</v>
      </c>
      <c r="DL504" t="s">
        <v>963</v>
      </c>
      <c r="DM504" t="s">
        <v>172</v>
      </c>
      <c r="DN504" t="s">
        <v>511</v>
      </c>
      <c r="DV504" s="3">
        <v>265000.06</v>
      </c>
      <c r="DW504">
        <v>0</v>
      </c>
      <c r="DX504" s="3">
        <v>265000.06</v>
      </c>
      <c r="DY504">
        <v>0</v>
      </c>
      <c r="EF504" s="1">
        <v>46056</v>
      </c>
      <c r="EG504" s="1">
        <v>46055</v>
      </c>
      <c r="EK504" s="1">
        <v>46056</v>
      </c>
      <c r="EN504" t="s">
        <v>537</v>
      </c>
      <c r="EP504" s="1">
        <v>46057</v>
      </c>
      <c r="ET504" t="s">
        <v>3095</v>
      </c>
      <c r="EU504" s="1">
        <v>46052</v>
      </c>
      <c r="EW504" s="1">
        <v>46048</v>
      </c>
    </row>
    <row r="505" spans="1:153" x14ac:dyDescent="0.35">
      <c r="A505" t="str">
        <f>HYPERLINK("https://7lm.cvcrm.com.br/gestor/comercial/reservas/6615/administrar","6615")</f>
        <v>6615</v>
      </c>
      <c r="B505" t="s">
        <v>156</v>
      </c>
      <c r="C505" s="1">
        <v>46048</v>
      </c>
      <c r="D505" s="2">
        <v>0.78545138888888888</v>
      </c>
      <c r="E505" t="s">
        <v>527</v>
      </c>
      <c r="F505" t="s">
        <v>458</v>
      </c>
      <c r="G505" t="s">
        <v>203</v>
      </c>
      <c r="H505" t="s">
        <v>513</v>
      </c>
      <c r="I505" t="s">
        <v>637</v>
      </c>
      <c r="J505">
        <v>1</v>
      </c>
      <c r="L505">
        <v>20001</v>
      </c>
      <c r="M505" t="s">
        <v>1971</v>
      </c>
      <c r="N505" s="1">
        <v>46049</v>
      </c>
      <c r="O505" s="2">
        <v>0.44038194444444445</v>
      </c>
      <c r="R505" t="str">
        <f>HYPERLINK("https://7lm.cvcrm.com.br/gestor/relatorios/associado/html?q[1|r.idreserva]=6615","MILENE DE MOURA ANANIAS")</f>
        <v>MILENE DE MOURA ANANIAS</v>
      </c>
      <c r="S505">
        <v>7042212177</v>
      </c>
      <c r="T505">
        <v>5561998193208</v>
      </c>
      <c r="V505" t="s">
        <v>3096</v>
      </c>
      <c r="W505" t="s">
        <v>187</v>
      </c>
      <c r="X505" t="s">
        <v>2547</v>
      </c>
      <c r="Y505" t="s">
        <v>165</v>
      </c>
      <c r="Z505" t="s">
        <v>1670</v>
      </c>
      <c r="AA505" t="s">
        <v>3097</v>
      </c>
      <c r="AB505" t="s">
        <v>3098</v>
      </c>
      <c r="AC505" t="s">
        <v>2559</v>
      </c>
      <c r="AF505" t="s">
        <v>399</v>
      </c>
      <c r="AG505" t="s">
        <v>195</v>
      </c>
      <c r="AH505" s="3">
        <v>223000.37</v>
      </c>
      <c r="AI505" s="3">
        <v>223000.37</v>
      </c>
      <c r="AJ505" s="1">
        <v>46079</v>
      </c>
      <c r="AN505" t="s">
        <v>172</v>
      </c>
      <c r="AO505" t="s">
        <v>535</v>
      </c>
      <c r="AR505" t="s">
        <v>3099</v>
      </c>
      <c r="AT505" t="s">
        <v>196</v>
      </c>
      <c r="AU505" t="s">
        <v>2153</v>
      </c>
      <c r="AW505">
        <v>0</v>
      </c>
      <c r="AX505" s="1">
        <v>46059</v>
      </c>
      <c r="AY505" s="2">
        <v>0.64152777777777781</v>
      </c>
      <c r="AZ505">
        <v>186242</v>
      </c>
      <c r="BA505" s="1">
        <v>46048</v>
      </c>
      <c r="BC505" t="s">
        <v>0</v>
      </c>
      <c r="BD505" s="1">
        <v>46048</v>
      </c>
      <c r="BE505" t="s">
        <v>786</v>
      </c>
      <c r="BL505" s="4">
        <v>0</v>
      </c>
      <c r="BM505" s="1">
        <v>46572</v>
      </c>
      <c r="BO505">
        <v>0</v>
      </c>
      <c r="BP505">
        <v>27897</v>
      </c>
      <c r="BQ505" t="s">
        <v>156</v>
      </c>
      <c r="BR505" s="3">
        <v>109419.77</v>
      </c>
      <c r="BS505" s="3">
        <v>54787</v>
      </c>
      <c r="BT505">
        <v>0</v>
      </c>
      <c r="BU505" s="3">
        <v>164206.76999999999</v>
      </c>
      <c r="BV505" s="3">
        <v>223000.37</v>
      </c>
      <c r="BX505">
        <v>0</v>
      </c>
      <c r="BZ505">
        <v>0</v>
      </c>
      <c r="CA505">
        <v>0</v>
      </c>
      <c r="CB505">
        <v>0</v>
      </c>
      <c r="CC505" s="3">
        <v>223000.37</v>
      </c>
      <c r="CD505" s="5">
        <v>0</v>
      </c>
      <c r="CE505" t="s">
        <v>467</v>
      </c>
      <c r="CF505" s="6">
        <v>46054</v>
      </c>
      <c r="CH505">
        <v>0</v>
      </c>
      <c r="CI505">
        <v>0</v>
      </c>
      <c r="CJ505">
        <v>0</v>
      </c>
      <c r="CK505">
        <v>0</v>
      </c>
      <c r="CL505">
        <v>0</v>
      </c>
      <c r="CM505">
        <v>0</v>
      </c>
      <c r="CN505">
        <v>0</v>
      </c>
      <c r="CO505">
        <v>0</v>
      </c>
      <c r="CP505">
        <v>0</v>
      </c>
      <c r="CQ505">
        <v>0</v>
      </c>
      <c r="CR505">
        <v>0</v>
      </c>
      <c r="CS505" t="s">
        <v>2497</v>
      </c>
      <c r="CT505" t="s">
        <v>214</v>
      </c>
      <c r="CU505" t="s">
        <v>637</v>
      </c>
      <c r="CW505">
        <v>386.90039999999999</v>
      </c>
      <c r="CZ505" s="1">
        <v>46048</v>
      </c>
      <c r="DA505" t="s">
        <v>172</v>
      </c>
      <c r="DB505" t="s">
        <v>172</v>
      </c>
      <c r="DC505" t="s">
        <v>172</v>
      </c>
      <c r="DD505" t="s">
        <v>172</v>
      </c>
      <c r="DG505" s="1">
        <v>46048</v>
      </c>
      <c r="DH505">
        <v>0</v>
      </c>
      <c r="DI505">
        <v>0</v>
      </c>
      <c r="DL505" t="s">
        <v>200</v>
      </c>
      <c r="DM505" t="s">
        <v>172</v>
      </c>
      <c r="DN505" t="s">
        <v>201</v>
      </c>
      <c r="DV505" s="3">
        <v>223000.37</v>
      </c>
      <c r="DW505">
        <v>0</v>
      </c>
      <c r="DX505" s="3">
        <v>223000.37</v>
      </c>
      <c r="DY505">
        <v>0</v>
      </c>
      <c r="EN505" t="s">
        <v>156</v>
      </c>
      <c r="EU505" s="1">
        <v>46066</v>
      </c>
      <c r="EW505" s="1">
        <v>46049</v>
      </c>
    </row>
    <row r="506" spans="1:153" ht="261" x14ac:dyDescent="0.35">
      <c r="A506" t="str">
        <f>HYPERLINK("https://7lm.cvcrm.com.br/gestor/comercial/reservas/6614/administrar","6614")</f>
        <v>6614</v>
      </c>
      <c r="B506" t="s">
        <v>156</v>
      </c>
      <c r="C506" s="1">
        <v>46048</v>
      </c>
      <c r="D506" s="2">
        <v>0.76461805555555551</v>
      </c>
      <c r="E506" t="s">
        <v>294</v>
      </c>
      <c r="F506" t="s">
        <v>2451</v>
      </c>
      <c r="G506" t="s">
        <v>203</v>
      </c>
      <c r="H506" t="s">
        <v>336</v>
      </c>
      <c r="I506" t="s">
        <v>3100</v>
      </c>
      <c r="J506">
        <v>1</v>
      </c>
      <c r="L506">
        <v>30061</v>
      </c>
      <c r="M506" t="s">
        <v>3101</v>
      </c>
      <c r="N506" s="1">
        <v>46049</v>
      </c>
      <c r="O506" s="2">
        <v>0.64364583333333336</v>
      </c>
      <c r="R506" t="str">
        <f>HYPERLINK("https://7lm.cvcrm.com.br/gestor/relatorios/associado/html?q[1|r.idreserva]=6614","JHONNY AUGUSTO ABREU DE SOUSA")</f>
        <v>JHONNY AUGUSTO ABREU DE SOUSA</v>
      </c>
      <c r="S506">
        <v>9896918104</v>
      </c>
      <c r="T506">
        <v>5561998653606</v>
      </c>
      <c r="V506" t="s">
        <v>3102</v>
      </c>
      <c r="W506" t="s">
        <v>163</v>
      </c>
      <c r="X506" t="s">
        <v>376</v>
      </c>
      <c r="Y506" t="s">
        <v>189</v>
      </c>
      <c r="Z506" t="s">
        <v>190</v>
      </c>
      <c r="AA506" t="s">
        <v>532</v>
      </c>
      <c r="AB506" t="s">
        <v>3103</v>
      </c>
      <c r="AC506" t="s">
        <v>3104</v>
      </c>
      <c r="AD506" t="s">
        <v>3104</v>
      </c>
      <c r="AF506" t="s">
        <v>303</v>
      </c>
      <c r="AG506" t="s">
        <v>251</v>
      </c>
      <c r="AH506" s="3">
        <v>260599.6</v>
      </c>
      <c r="AI506" s="3">
        <v>260599.6</v>
      </c>
      <c r="AJ506" s="1">
        <v>46079</v>
      </c>
      <c r="AN506" t="s">
        <v>172</v>
      </c>
      <c r="AR506" s="7" t="s">
        <v>2833</v>
      </c>
      <c r="AT506" t="s">
        <v>196</v>
      </c>
      <c r="AU506" t="s">
        <v>292</v>
      </c>
      <c r="AW506">
        <v>0</v>
      </c>
      <c r="AX506" s="1">
        <v>46052</v>
      </c>
      <c r="AY506" s="2">
        <v>0.65423611111111113</v>
      </c>
      <c r="AZ506">
        <v>185637</v>
      </c>
      <c r="BA506" s="1">
        <v>46044</v>
      </c>
      <c r="BC506" t="s">
        <v>0</v>
      </c>
      <c r="BD506" s="1">
        <v>46048</v>
      </c>
      <c r="BE506" t="s">
        <v>176</v>
      </c>
      <c r="BL506" s="4">
        <v>0</v>
      </c>
      <c r="BM506" s="1">
        <v>46788</v>
      </c>
      <c r="BN506" s="1">
        <v>46052</v>
      </c>
      <c r="BO506">
        <v>0</v>
      </c>
      <c r="BP506">
        <v>27804</v>
      </c>
      <c r="BQ506" t="s">
        <v>156</v>
      </c>
      <c r="BR506" s="3">
        <v>134341.45000000001</v>
      </c>
      <c r="BS506" s="3">
        <v>26115</v>
      </c>
      <c r="BT506">
        <v>0</v>
      </c>
      <c r="BU506" s="3">
        <v>160456.45000000001</v>
      </c>
      <c r="BV506" s="3">
        <v>260599.6</v>
      </c>
      <c r="BX506">
        <v>0</v>
      </c>
      <c r="BZ506">
        <v>0</v>
      </c>
      <c r="CA506">
        <v>0</v>
      </c>
      <c r="CB506">
        <v>0</v>
      </c>
      <c r="CC506" s="3">
        <v>260599.6</v>
      </c>
      <c r="CD506" s="5">
        <v>0</v>
      </c>
      <c r="CF506" s="6">
        <v>46023</v>
      </c>
      <c r="CH506">
        <v>0</v>
      </c>
      <c r="CI506">
        <v>0</v>
      </c>
      <c r="CJ506">
        <v>0</v>
      </c>
      <c r="CK506">
        <v>0</v>
      </c>
      <c r="CL506">
        <v>0</v>
      </c>
      <c r="CM506">
        <v>0</v>
      </c>
      <c r="CN506">
        <v>0</v>
      </c>
      <c r="CO506">
        <v>0</v>
      </c>
      <c r="CP506">
        <v>0</v>
      </c>
      <c r="CQ506">
        <v>0</v>
      </c>
      <c r="CR506">
        <v>0</v>
      </c>
      <c r="CS506" t="s">
        <v>305</v>
      </c>
      <c r="CT506" t="s">
        <v>190</v>
      </c>
      <c r="CU506" t="s">
        <v>3100</v>
      </c>
      <c r="CW506">
        <v>468.9948</v>
      </c>
      <c r="CZ506" s="1">
        <v>46048</v>
      </c>
      <c r="DA506" t="s">
        <v>172</v>
      </c>
      <c r="DB506" t="s">
        <v>172</v>
      </c>
      <c r="DC506" t="s">
        <v>172</v>
      </c>
      <c r="DD506" t="s">
        <v>172</v>
      </c>
      <c r="DG506" s="1">
        <v>46048</v>
      </c>
      <c r="DH506">
        <v>0</v>
      </c>
      <c r="DI506">
        <v>0</v>
      </c>
      <c r="DJ506" s="1">
        <v>46052</v>
      </c>
      <c r="DL506" t="s">
        <v>200</v>
      </c>
      <c r="DM506" t="s">
        <v>172</v>
      </c>
      <c r="DN506" t="s">
        <v>511</v>
      </c>
      <c r="DP506" s="8">
        <v>0.01</v>
      </c>
      <c r="DV506" s="3">
        <v>260599.6</v>
      </c>
      <c r="DW506">
        <v>0</v>
      </c>
      <c r="DX506" s="3">
        <v>260599.6</v>
      </c>
      <c r="DY506">
        <v>0</v>
      </c>
      <c r="EG506" s="1">
        <v>46049</v>
      </c>
      <c r="EH506" s="1">
        <v>46049</v>
      </c>
      <c r="EN506" t="s">
        <v>156</v>
      </c>
      <c r="EP506" s="1">
        <v>46050</v>
      </c>
      <c r="ER506" s="1">
        <v>46049</v>
      </c>
      <c r="ES506" t="s">
        <v>3105</v>
      </c>
      <c r="EU506" s="1">
        <v>46052</v>
      </c>
      <c r="EW506" s="1">
        <v>46048</v>
      </c>
    </row>
    <row r="507" spans="1:153" ht="246.5" x14ac:dyDescent="0.35">
      <c r="A507" t="str">
        <f>HYPERLINK("https://7lm.cvcrm.com.br/gestor/comercial/reservas/6613/administrar","6613")</f>
        <v>6613</v>
      </c>
      <c r="B507" t="s">
        <v>156</v>
      </c>
      <c r="C507" s="1">
        <v>46048</v>
      </c>
      <c r="D507" s="2">
        <v>0.75103009259259257</v>
      </c>
      <c r="E507" t="s">
        <v>294</v>
      </c>
      <c r="F507" t="s">
        <v>458</v>
      </c>
      <c r="G507" t="s">
        <v>203</v>
      </c>
      <c r="H507" t="s">
        <v>3106</v>
      </c>
      <c r="I507" t="s">
        <v>1233</v>
      </c>
      <c r="J507">
        <v>1</v>
      </c>
      <c r="L507">
        <v>20001</v>
      </c>
      <c r="M507" t="s">
        <v>3107</v>
      </c>
      <c r="N507" s="1">
        <v>46049</v>
      </c>
      <c r="O507" s="2">
        <v>0.44084490740740739</v>
      </c>
      <c r="R507" t="str">
        <f>HYPERLINK("https://7lm.cvcrm.com.br/gestor/relatorios/associado/html?q[1|r.idreserva]=6613","LUCAS RODRIGUES SANTOS")</f>
        <v>LUCAS RODRIGUES SANTOS</v>
      </c>
      <c r="S507">
        <v>8878019194</v>
      </c>
      <c r="T507">
        <v>5561994102498</v>
      </c>
      <c r="V507" t="s">
        <v>3108</v>
      </c>
      <c r="W507" t="s">
        <v>163</v>
      </c>
      <c r="X507" t="s">
        <v>492</v>
      </c>
      <c r="Y507" t="s">
        <v>165</v>
      </c>
      <c r="Z507" t="s">
        <v>257</v>
      </c>
      <c r="AA507" t="s">
        <v>3109</v>
      </c>
      <c r="AB507" t="s">
        <v>3110</v>
      </c>
      <c r="AC507" t="s">
        <v>388</v>
      </c>
      <c r="AF507" t="s">
        <v>389</v>
      </c>
      <c r="AG507" t="s">
        <v>195</v>
      </c>
      <c r="AH507" s="3">
        <v>220081.25</v>
      </c>
      <c r="AI507" s="3">
        <v>220081.25</v>
      </c>
      <c r="AJ507" s="1">
        <v>46078</v>
      </c>
      <c r="AN507" t="s">
        <v>172</v>
      </c>
      <c r="AR507" s="7" t="s">
        <v>353</v>
      </c>
      <c r="AT507" t="s">
        <v>196</v>
      </c>
      <c r="AU507" t="s">
        <v>292</v>
      </c>
      <c r="AW507">
        <v>0</v>
      </c>
      <c r="AX507" s="1">
        <v>46062</v>
      </c>
      <c r="AY507" s="2">
        <v>0.6600462962962963</v>
      </c>
      <c r="AZ507">
        <v>185735</v>
      </c>
      <c r="BA507" s="1">
        <v>46044</v>
      </c>
      <c r="BC507" t="s">
        <v>0</v>
      </c>
      <c r="BD507" s="1">
        <v>46048</v>
      </c>
      <c r="BE507" t="s">
        <v>317</v>
      </c>
      <c r="BL507" s="4">
        <v>0</v>
      </c>
      <c r="BM507" s="1">
        <v>46572</v>
      </c>
      <c r="BN507" s="1">
        <v>46062</v>
      </c>
      <c r="BO507">
        <v>0</v>
      </c>
      <c r="BP507">
        <v>27835</v>
      </c>
      <c r="BQ507" t="s">
        <v>156</v>
      </c>
      <c r="BR507" s="3">
        <v>160763.25</v>
      </c>
      <c r="BS507" s="3">
        <v>13518</v>
      </c>
      <c r="BT507">
        <v>0</v>
      </c>
      <c r="BU507" s="3">
        <v>174281.25</v>
      </c>
      <c r="BV507" s="3">
        <v>220081.25</v>
      </c>
      <c r="BX507">
        <v>0</v>
      </c>
      <c r="BZ507">
        <v>0</v>
      </c>
      <c r="CA507">
        <v>0</v>
      </c>
      <c r="CB507">
        <v>0</v>
      </c>
      <c r="CC507" s="3">
        <v>220081.25</v>
      </c>
      <c r="CD507" s="5">
        <v>0</v>
      </c>
      <c r="CE507" t="s">
        <v>467</v>
      </c>
      <c r="CF507" s="6">
        <v>46054</v>
      </c>
      <c r="CH507">
        <v>0</v>
      </c>
      <c r="CI507">
        <v>0</v>
      </c>
      <c r="CJ507">
        <v>0</v>
      </c>
      <c r="CK507">
        <v>0</v>
      </c>
      <c r="CL507">
        <v>0</v>
      </c>
      <c r="CM507">
        <v>0</v>
      </c>
      <c r="CN507">
        <v>0</v>
      </c>
      <c r="CO507">
        <v>0</v>
      </c>
      <c r="CP507">
        <v>0</v>
      </c>
      <c r="CQ507">
        <v>0</v>
      </c>
      <c r="CR507">
        <v>0</v>
      </c>
      <c r="CS507" t="s">
        <v>2497</v>
      </c>
      <c r="CT507" t="s">
        <v>214</v>
      </c>
      <c r="CU507" t="s">
        <v>1233</v>
      </c>
      <c r="CW507">
        <v>380.52670000000001</v>
      </c>
      <c r="CZ507" s="1">
        <v>46048</v>
      </c>
      <c r="DA507" t="s">
        <v>172</v>
      </c>
      <c r="DB507" t="s">
        <v>172</v>
      </c>
      <c r="DC507" t="s">
        <v>172</v>
      </c>
      <c r="DD507" t="s">
        <v>172</v>
      </c>
      <c r="DG507" s="1">
        <v>46048</v>
      </c>
      <c r="DH507">
        <v>0</v>
      </c>
      <c r="DI507">
        <v>0</v>
      </c>
      <c r="DJ507" s="1">
        <v>46062</v>
      </c>
      <c r="DL507" t="s">
        <v>200</v>
      </c>
      <c r="DM507" t="s">
        <v>172</v>
      </c>
      <c r="DN507" t="s">
        <v>201</v>
      </c>
      <c r="DV507" s="3">
        <v>220081.25</v>
      </c>
      <c r="DW507">
        <v>0</v>
      </c>
      <c r="DX507" s="3">
        <v>220081.25</v>
      </c>
      <c r="DY507">
        <v>0</v>
      </c>
      <c r="EF507" s="1">
        <v>46056</v>
      </c>
      <c r="EG507" s="1">
        <v>46055</v>
      </c>
      <c r="EK507" s="1">
        <v>46056</v>
      </c>
      <c r="EL507" s="1">
        <v>46056</v>
      </c>
      <c r="EM507" s="1">
        <v>46052</v>
      </c>
      <c r="EN507" t="s">
        <v>156</v>
      </c>
      <c r="EP507" s="1">
        <v>46052</v>
      </c>
      <c r="EU507" s="1">
        <v>46059</v>
      </c>
      <c r="EW507" s="1">
        <v>46048</v>
      </c>
    </row>
    <row r="508" spans="1:153" ht="409.5" x14ac:dyDescent="0.35">
      <c r="A508" t="str">
        <f>HYPERLINK("https://7lm.cvcrm.com.br/gestor/comercial/reservas/6612/administrar","6612")</f>
        <v>6612</v>
      </c>
      <c r="B508" t="s">
        <v>156</v>
      </c>
      <c r="C508" s="1">
        <v>46048</v>
      </c>
      <c r="D508" s="2">
        <v>0.70633101851851854</v>
      </c>
      <c r="E508" t="s">
        <v>527</v>
      </c>
      <c r="F508" t="s">
        <v>216</v>
      </c>
      <c r="G508" t="s">
        <v>159</v>
      </c>
      <c r="H508" t="s">
        <v>277</v>
      </c>
      <c r="I508" t="s">
        <v>382</v>
      </c>
      <c r="J508">
        <v>1</v>
      </c>
      <c r="L508">
        <v>20061</v>
      </c>
      <c r="M508" t="s">
        <v>3111</v>
      </c>
      <c r="N508" s="1">
        <v>46048</v>
      </c>
      <c r="O508" s="2">
        <v>0.71766203703703701</v>
      </c>
      <c r="R508" t="str">
        <f>HYPERLINK("https://7lm.cvcrm.com.br/gestor/relatorios/associado/html?q[1|r.idreserva]=6612","RANYEL OLIVEIRA DE SENA")</f>
        <v>RANYEL OLIVEIRA DE SENA</v>
      </c>
      <c r="S508">
        <v>83744193268</v>
      </c>
      <c r="T508">
        <v>5561981796551</v>
      </c>
      <c r="V508" t="s">
        <v>3112</v>
      </c>
      <c r="W508" t="s">
        <v>163</v>
      </c>
      <c r="X508" t="s">
        <v>3113</v>
      </c>
      <c r="Y508" t="s">
        <v>189</v>
      </c>
      <c r="Z508" t="s">
        <v>214</v>
      </c>
      <c r="AA508" t="s">
        <v>3114</v>
      </c>
      <c r="AB508" t="s">
        <v>3115</v>
      </c>
      <c r="AC508" t="s">
        <v>1056</v>
      </c>
      <c r="AF508" t="s">
        <v>399</v>
      </c>
      <c r="AG508" t="s">
        <v>195</v>
      </c>
      <c r="AH508" s="3">
        <v>215438.66</v>
      </c>
      <c r="AI508" s="3">
        <v>215438.66</v>
      </c>
      <c r="AJ508" s="1">
        <v>46079</v>
      </c>
      <c r="AN508" t="s">
        <v>172</v>
      </c>
      <c r="AO508" t="s">
        <v>816</v>
      </c>
      <c r="AR508" s="7" t="s">
        <v>3116</v>
      </c>
      <c r="AT508" t="s">
        <v>196</v>
      </c>
      <c r="AU508" t="s">
        <v>292</v>
      </c>
      <c r="AW508">
        <v>0</v>
      </c>
      <c r="AX508" s="1">
        <v>46087</v>
      </c>
      <c r="AY508" s="2">
        <v>0.72484953703703703</v>
      </c>
      <c r="AZ508">
        <v>168487</v>
      </c>
      <c r="BA508" s="1">
        <v>45905</v>
      </c>
      <c r="BC508" t="s">
        <v>0</v>
      </c>
      <c r="BD508" s="1">
        <v>46048</v>
      </c>
      <c r="BE508" t="s">
        <v>786</v>
      </c>
      <c r="BL508" s="4">
        <v>0</v>
      </c>
      <c r="BM508" s="1">
        <v>46995</v>
      </c>
      <c r="BO508">
        <v>0</v>
      </c>
      <c r="BP508">
        <v>26963</v>
      </c>
      <c r="BQ508" t="s">
        <v>156</v>
      </c>
      <c r="BR508" s="3">
        <v>139684.97</v>
      </c>
      <c r="BS508">
        <v>0</v>
      </c>
      <c r="BT508">
        <v>0</v>
      </c>
      <c r="BU508" s="3">
        <v>139684.97</v>
      </c>
      <c r="BV508" s="3">
        <v>215438.66</v>
      </c>
      <c r="BX508">
        <v>0</v>
      </c>
      <c r="BZ508">
        <v>0</v>
      </c>
      <c r="CA508">
        <v>0</v>
      </c>
      <c r="CB508">
        <v>0</v>
      </c>
      <c r="CC508" s="3">
        <v>215438.66</v>
      </c>
      <c r="CD508" s="5">
        <v>0</v>
      </c>
      <c r="CF508" s="6">
        <v>46082</v>
      </c>
      <c r="CH508">
        <v>0</v>
      </c>
      <c r="CI508">
        <v>0</v>
      </c>
      <c r="CJ508">
        <v>0</v>
      </c>
      <c r="CK508">
        <v>0</v>
      </c>
      <c r="CL508">
        <v>0</v>
      </c>
      <c r="CM508">
        <v>0</v>
      </c>
      <c r="CN508">
        <v>0</v>
      </c>
      <c r="CO508">
        <v>0</v>
      </c>
      <c r="CP508">
        <v>0</v>
      </c>
      <c r="CQ508">
        <v>0</v>
      </c>
      <c r="CR508">
        <v>0</v>
      </c>
      <c r="CS508" t="s">
        <v>2497</v>
      </c>
      <c r="CT508" t="s">
        <v>214</v>
      </c>
      <c r="CU508" t="s">
        <v>382</v>
      </c>
      <c r="CW508">
        <v>354.51190000000003</v>
      </c>
      <c r="CZ508" s="1">
        <v>46048</v>
      </c>
      <c r="DA508" t="s">
        <v>172</v>
      </c>
      <c r="DB508" t="s">
        <v>172</v>
      </c>
      <c r="DC508" t="s">
        <v>172</v>
      </c>
      <c r="DD508" t="s">
        <v>172</v>
      </c>
      <c r="DG508" s="1">
        <v>46048</v>
      </c>
      <c r="DH508">
        <v>0</v>
      </c>
      <c r="DI508">
        <v>0</v>
      </c>
      <c r="DK508" t="s">
        <v>179</v>
      </c>
      <c r="DL508" t="s">
        <v>215</v>
      </c>
      <c r="DM508" t="s">
        <v>172</v>
      </c>
      <c r="DN508" t="s">
        <v>201</v>
      </c>
      <c r="DV508" s="3">
        <v>215438.66</v>
      </c>
      <c r="DW508">
        <v>0</v>
      </c>
      <c r="DX508" s="3">
        <v>215438.66</v>
      </c>
      <c r="DY508">
        <v>0</v>
      </c>
      <c r="EN508" t="s">
        <v>537</v>
      </c>
      <c r="EU508" s="1">
        <v>46066</v>
      </c>
      <c r="EW508" s="1">
        <v>46048</v>
      </c>
    </row>
    <row r="509" spans="1:153" ht="203" x14ac:dyDescent="0.35">
      <c r="A509" t="str">
        <f>HYPERLINK("https://7lm.cvcrm.com.br/gestor/comercial/reservas/6611/administrar","6611")</f>
        <v>6611</v>
      </c>
      <c r="B509" t="s">
        <v>172</v>
      </c>
      <c r="C509" s="1">
        <v>46048</v>
      </c>
      <c r="D509" s="2">
        <v>0.69678240740740738</v>
      </c>
      <c r="E509" t="s">
        <v>527</v>
      </c>
      <c r="F509" t="s">
        <v>957</v>
      </c>
      <c r="G509" t="s">
        <v>159</v>
      </c>
      <c r="H509" t="s">
        <v>759</v>
      </c>
      <c r="I509" t="s">
        <v>818</v>
      </c>
      <c r="J509">
        <v>1</v>
      </c>
      <c r="L509">
        <v>30121</v>
      </c>
      <c r="M509" t="s">
        <v>2835</v>
      </c>
      <c r="R509" t="str">
        <f>HYPERLINK("https://7lm.cvcrm.com.br/gestor/relatorios/associado/html?q[1|r.idreserva]=6611","WALISSON GOMES DE CARVALHO")</f>
        <v>WALISSON GOMES DE CARVALHO</v>
      </c>
      <c r="S509">
        <v>70921179170</v>
      </c>
      <c r="T509">
        <v>5561999280823</v>
      </c>
      <c r="V509" t="s">
        <v>3117</v>
      </c>
      <c r="W509" t="s">
        <v>163</v>
      </c>
      <c r="X509" t="s">
        <v>366</v>
      </c>
      <c r="Y509" t="s">
        <v>189</v>
      </c>
      <c r="Z509" t="s">
        <v>190</v>
      </c>
      <c r="AA509" t="s">
        <v>377</v>
      </c>
      <c r="AB509" t="s">
        <v>3118</v>
      </c>
      <c r="AC509" t="s">
        <v>435</v>
      </c>
      <c r="AD509" t="s">
        <v>435</v>
      </c>
      <c r="AF509" t="s">
        <v>352</v>
      </c>
      <c r="AG509" t="s">
        <v>195</v>
      </c>
      <c r="AH509" s="3">
        <v>250001.63</v>
      </c>
      <c r="AI509" s="3">
        <v>250001.63</v>
      </c>
      <c r="AJ509" s="1">
        <v>46079</v>
      </c>
      <c r="AN509" t="s">
        <v>172</v>
      </c>
      <c r="AO509" t="s">
        <v>535</v>
      </c>
      <c r="AR509" s="7" t="s">
        <v>3119</v>
      </c>
      <c r="AT509" t="s">
        <v>196</v>
      </c>
      <c r="AU509" t="s">
        <v>292</v>
      </c>
      <c r="AW509">
        <v>0</v>
      </c>
      <c r="AX509" s="1">
        <v>46055</v>
      </c>
      <c r="AY509" s="2">
        <v>0.46370370370370373</v>
      </c>
      <c r="AZ509">
        <v>107467</v>
      </c>
      <c r="BA509" s="1">
        <v>45337</v>
      </c>
      <c r="BC509" t="s">
        <v>0</v>
      </c>
      <c r="BD509" s="1">
        <v>46048</v>
      </c>
      <c r="BE509" t="s">
        <v>175</v>
      </c>
      <c r="BL509" s="4">
        <v>0</v>
      </c>
      <c r="BM509" s="1">
        <v>47031</v>
      </c>
      <c r="BO509">
        <v>0</v>
      </c>
      <c r="BP509">
        <v>27812</v>
      </c>
      <c r="BQ509" t="s">
        <v>156</v>
      </c>
      <c r="BR509" s="3">
        <v>156217.23000000001</v>
      </c>
      <c r="BS509" s="3">
        <v>18224</v>
      </c>
      <c r="BT509">
        <v>0</v>
      </c>
      <c r="BU509" s="3">
        <v>174441.23</v>
      </c>
      <c r="BV509" s="3">
        <v>250001.63</v>
      </c>
      <c r="BX509">
        <v>0</v>
      </c>
      <c r="BZ509">
        <v>0</v>
      </c>
      <c r="CA509">
        <v>0</v>
      </c>
      <c r="CB509">
        <v>0</v>
      </c>
      <c r="CC509" s="3">
        <v>250001.63</v>
      </c>
      <c r="CD509" s="5">
        <v>0</v>
      </c>
      <c r="CF509" s="6">
        <v>46054</v>
      </c>
      <c r="CH509">
        <v>0</v>
      </c>
      <c r="CI509">
        <v>0</v>
      </c>
      <c r="CJ509">
        <v>0</v>
      </c>
      <c r="CK509">
        <v>0</v>
      </c>
      <c r="CL509">
        <v>0</v>
      </c>
      <c r="CM509">
        <v>0</v>
      </c>
      <c r="CN509">
        <v>0</v>
      </c>
      <c r="CO509">
        <v>0</v>
      </c>
      <c r="CP509">
        <v>0</v>
      </c>
      <c r="CQ509">
        <v>0</v>
      </c>
      <c r="CR509">
        <v>0</v>
      </c>
      <c r="CT509" t="s">
        <v>190</v>
      </c>
      <c r="CU509" t="s">
        <v>818</v>
      </c>
      <c r="CW509">
        <v>0</v>
      </c>
      <c r="CZ509" s="1">
        <v>46048</v>
      </c>
      <c r="DA509" t="s">
        <v>172</v>
      </c>
      <c r="DB509" t="s">
        <v>172</v>
      </c>
      <c r="DC509" t="s">
        <v>172</v>
      </c>
      <c r="DD509" t="s">
        <v>172</v>
      </c>
      <c r="DG509" s="1">
        <v>46048</v>
      </c>
      <c r="DH509">
        <v>0</v>
      </c>
      <c r="DI509">
        <v>0</v>
      </c>
      <c r="DL509" t="s">
        <v>963</v>
      </c>
      <c r="DM509" t="s">
        <v>172</v>
      </c>
      <c r="DN509" t="s">
        <v>201</v>
      </c>
      <c r="DV509" s="3">
        <v>250001.63</v>
      </c>
      <c r="DW509">
        <v>0</v>
      </c>
      <c r="DX509" s="3">
        <v>250001.63</v>
      </c>
      <c r="DY509">
        <v>0</v>
      </c>
      <c r="EN509" t="s">
        <v>537</v>
      </c>
      <c r="ET509" t="s">
        <v>3120</v>
      </c>
      <c r="EU509" s="1">
        <v>46052</v>
      </c>
      <c r="EW509" s="1">
        <v>46048</v>
      </c>
    </row>
    <row r="510" spans="1:153" ht="246.5" x14ac:dyDescent="0.35">
      <c r="A510" t="str">
        <f>HYPERLINK("https://7lm.cvcrm.com.br/gestor/comercial/reservas/6610/administrar","6610")</f>
        <v>6610</v>
      </c>
      <c r="B510" t="s">
        <v>156</v>
      </c>
      <c r="C510" s="1">
        <v>46048</v>
      </c>
      <c r="D510" s="2">
        <v>0.60930555555555554</v>
      </c>
      <c r="E510" t="s">
        <v>294</v>
      </c>
      <c r="F510" t="s">
        <v>202</v>
      </c>
      <c r="G510" t="s">
        <v>203</v>
      </c>
      <c r="H510" t="s">
        <v>391</v>
      </c>
      <c r="I510" t="s">
        <v>266</v>
      </c>
      <c r="J510">
        <v>1</v>
      </c>
      <c r="L510">
        <v>20031</v>
      </c>
      <c r="M510" t="s">
        <v>3121</v>
      </c>
      <c r="N510" s="1">
        <v>46056</v>
      </c>
      <c r="O510" s="2">
        <v>0.60307870370370376</v>
      </c>
      <c r="R510" t="str">
        <f>HYPERLINK("https://7lm.cvcrm.com.br/gestor/relatorios/associado/html?q[1|r.idreserva]=6610","IRACEMA DE SOUSA MACHADO")</f>
        <v>IRACEMA DE SOUSA MACHADO</v>
      </c>
      <c r="S510">
        <v>84826550197</v>
      </c>
      <c r="T510">
        <v>5561996273017</v>
      </c>
      <c r="V510" t="s">
        <v>3122</v>
      </c>
      <c r="W510" t="s">
        <v>187</v>
      </c>
      <c r="X510" t="s">
        <v>3123</v>
      </c>
      <c r="Y510" t="s">
        <v>189</v>
      </c>
      <c r="AA510" t="s">
        <v>2551</v>
      </c>
      <c r="AB510" t="s">
        <v>3124</v>
      </c>
      <c r="AC510" t="s">
        <v>425</v>
      </c>
      <c r="AF510" t="s">
        <v>389</v>
      </c>
      <c r="AG510" t="s">
        <v>195</v>
      </c>
      <c r="AH510" s="3">
        <v>209958.21</v>
      </c>
      <c r="AI510" s="3">
        <v>209958.21</v>
      </c>
      <c r="AJ510" s="1">
        <v>46068</v>
      </c>
      <c r="AN510" t="s">
        <v>172</v>
      </c>
      <c r="AR510" s="7" t="s">
        <v>353</v>
      </c>
      <c r="AT510" t="s">
        <v>196</v>
      </c>
      <c r="AU510" t="s">
        <v>292</v>
      </c>
      <c r="AW510">
        <v>0</v>
      </c>
      <c r="AX510" s="1">
        <v>46057</v>
      </c>
      <c r="AY510" s="2">
        <v>0.73326388888888894</v>
      </c>
      <c r="AZ510">
        <v>178109</v>
      </c>
      <c r="BA510" s="1">
        <v>45990</v>
      </c>
      <c r="BC510" t="s">
        <v>0</v>
      </c>
      <c r="BD510" s="1">
        <v>46048</v>
      </c>
      <c r="BE510" t="s">
        <v>1421</v>
      </c>
      <c r="BL510" s="4">
        <v>0</v>
      </c>
      <c r="BM510" s="1">
        <v>46808</v>
      </c>
      <c r="BN510" s="1">
        <v>46057</v>
      </c>
      <c r="BO510">
        <v>0</v>
      </c>
      <c r="BP510">
        <v>27637</v>
      </c>
      <c r="BQ510" t="s">
        <v>156</v>
      </c>
      <c r="BR510" s="3">
        <v>106403.48</v>
      </c>
      <c r="BS510" s="3">
        <v>43210</v>
      </c>
      <c r="BT510">
        <v>0</v>
      </c>
      <c r="BU510" s="3">
        <v>149613.48000000001</v>
      </c>
      <c r="BV510" s="3">
        <v>209958.21</v>
      </c>
      <c r="BX510">
        <v>0</v>
      </c>
      <c r="BZ510">
        <v>0</v>
      </c>
      <c r="CA510">
        <v>0</v>
      </c>
      <c r="CB510">
        <v>0</v>
      </c>
      <c r="CC510" s="3">
        <v>209958.21</v>
      </c>
      <c r="CD510" s="5">
        <v>0</v>
      </c>
      <c r="CF510" s="6">
        <v>46054</v>
      </c>
      <c r="CH510">
        <v>0</v>
      </c>
      <c r="CI510">
        <v>0</v>
      </c>
      <c r="CJ510">
        <v>0</v>
      </c>
      <c r="CK510">
        <v>0</v>
      </c>
      <c r="CL510">
        <v>0</v>
      </c>
      <c r="CM510">
        <v>0</v>
      </c>
      <c r="CN510">
        <v>0</v>
      </c>
      <c r="CO510">
        <v>0</v>
      </c>
      <c r="CP510">
        <v>0</v>
      </c>
      <c r="CQ510">
        <v>0</v>
      </c>
      <c r="CR510">
        <v>0</v>
      </c>
      <c r="CS510" t="s">
        <v>360</v>
      </c>
      <c r="CT510" t="s">
        <v>214</v>
      </c>
      <c r="CU510" t="s">
        <v>266</v>
      </c>
      <c r="CW510">
        <v>357.09160000000003</v>
      </c>
      <c r="CZ510" s="1">
        <v>46048</v>
      </c>
      <c r="DA510" t="s">
        <v>172</v>
      </c>
      <c r="DB510" t="s">
        <v>172</v>
      </c>
      <c r="DC510" t="s">
        <v>172</v>
      </c>
      <c r="DD510" t="s">
        <v>172</v>
      </c>
      <c r="DG510" s="1">
        <v>46048</v>
      </c>
      <c r="DH510">
        <v>0</v>
      </c>
      <c r="DI510">
        <v>0</v>
      </c>
      <c r="DJ510" s="1">
        <v>46057</v>
      </c>
      <c r="DL510" t="s">
        <v>215</v>
      </c>
      <c r="DM510" t="s">
        <v>172</v>
      </c>
      <c r="DN510" t="s">
        <v>201</v>
      </c>
      <c r="DV510" s="3">
        <v>209958.21</v>
      </c>
      <c r="DW510">
        <v>0</v>
      </c>
      <c r="DX510" s="3">
        <v>209958.21</v>
      </c>
      <c r="DY510">
        <v>0</v>
      </c>
      <c r="EF510" s="1">
        <v>46056</v>
      </c>
      <c r="EG510" s="1">
        <v>46055</v>
      </c>
      <c r="EK510" s="1">
        <v>46056</v>
      </c>
      <c r="EN510" t="s">
        <v>156</v>
      </c>
      <c r="EP510" s="1">
        <v>46052</v>
      </c>
      <c r="EU510" s="1">
        <v>46052</v>
      </c>
      <c r="EW510" s="1">
        <v>46049</v>
      </c>
    </row>
    <row r="511" spans="1:153" ht="203" x14ac:dyDescent="0.35">
      <c r="A511" t="str">
        <f>HYPERLINK("https://7lm.cvcrm.com.br/gestor/comercial/reservas/6609/administrar","6609")</f>
        <v>6609</v>
      </c>
      <c r="B511" t="s">
        <v>172</v>
      </c>
      <c r="C511" s="1">
        <v>46048</v>
      </c>
      <c r="D511" s="2">
        <v>0.57961805555555557</v>
      </c>
      <c r="E511" t="s">
        <v>527</v>
      </c>
      <c r="F511" t="s">
        <v>2451</v>
      </c>
      <c r="G511" t="s">
        <v>203</v>
      </c>
      <c r="H511" t="s">
        <v>204</v>
      </c>
      <c r="I511" t="s">
        <v>449</v>
      </c>
      <c r="J511">
        <v>1</v>
      </c>
      <c r="L511">
        <v>30061</v>
      </c>
      <c r="M511" t="s">
        <v>2701</v>
      </c>
      <c r="R511" t="str">
        <f>HYPERLINK("https://7lm.cvcrm.com.br/gestor/relatorios/associado/html?q[1|r.idreserva]=6609","GEOVANA FERREIRA LOPES")</f>
        <v>GEOVANA FERREIRA LOPES</v>
      </c>
      <c r="S511">
        <v>70727308181</v>
      </c>
      <c r="T511">
        <v>5562998254500</v>
      </c>
      <c r="V511" t="s">
        <v>3125</v>
      </c>
      <c r="W511" t="s">
        <v>187</v>
      </c>
      <c r="Y511" t="s">
        <v>189</v>
      </c>
      <c r="Z511" t="s">
        <v>190</v>
      </c>
      <c r="AA511" t="s">
        <v>1361</v>
      </c>
      <c r="AB511" t="s">
        <v>3126</v>
      </c>
      <c r="AC511" t="s">
        <v>3127</v>
      </c>
      <c r="AD511" t="s">
        <v>3128</v>
      </c>
      <c r="AF511" t="s">
        <v>352</v>
      </c>
      <c r="AG511" t="s">
        <v>251</v>
      </c>
      <c r="AH511" s="3">
        <v>245000.11</v>
      </c>
      <c r="AI511" s="3">
        <v>245000.11</v>
      </c>
      <c r="AJ511" s="1">
        <v>46079</v>
      </c>
      <c r="AN511" t="s">
        <v>172</v>
      </c>
      <c r="AO511" t="s">
        <v>1368</v>
      </c>
      <c r="AR511" s="7" t="s">
        <v>3129</v>
      </c>
      <c r="AT511" t="s">
        <v>196</v>
      </c>
      <c r="AU511" t="s">
        <v>292</v>
      </c>
      <c r="AW511">
        <v>0</v>
      </c>
      <c r="AX511" s="1">
        <v>46055</v>
      </c>
      <c r="AY511" s="2">
        <v>0.46225694444444443</v>
      </c>
      <c r="AZ511">
        <v>93941</v>
      </c>
      <c r="BA511" s="1">
        <v>45210</v>
      </c>
      <c r="BC511" t="s">
        <v>0</v>
      </c>
      <c r="BD511" s="1">
        <v>46048</v>
      </c>
      <c r="BE511" t="s">
        <v>317</v>
      </c>
      <c r="BL511" s="4">
        <v>0</v>
      </c>
      <c r="BM511" s="1">
        <v>46788</v>
      </c>
      <c r="BO511">
        <v>0</v>
      </c>
      <c r="BP511">
        <v>27778</v>
      </c>
      <c r="BQ511" t="s">
        <v>156</v>
      </c>
      <c r="BR511" s="3">
        <v>143111.51</v>
      </c>
      <c r="BS511" s="3">
        <v>24464</v>
      </c>
      <c r="BT511">
        <v>0</v>
      </c>
      <c r="BU511" s="3">
        <v>167575.51</v>
      </c>
      <c r="BV511" s="3">
        <v>245000.11</v>
      </c>
      <c r="BX511">
        <v>0</v>
      </c>
      <c r="BZ511">
        <v>0</v>
      </c>
      <c r="CA511">
        <v>0</v>
      </c>
      <c r="CB511">
        <v>0</v>
      </c>
      <c r="CC511" s="3">
        <v>245000.11</v>
      </c>
      <c r="CD511" s="5">
        <v>0</v>
      </c>
      <c r="CF511" s="6">
        <v>46054</v>
      </c>
      <c r="CH511">
        <v>0</v>
      </c>
      <c r="CI511">
        <v>0</v>
      </c>
      <c r="CJ511">
        <v>0</v>
      </c>
      <c r="CK511">
        <v>0</v>
      </c>
      <c r="CL511">
        <v>0</v>
      </c>
      <c r="CM511">
        <v>0</v>
      </c>
      <c r="CN511">
        <v>0</v>
      </c>
      <c r="CO511">
        <v>0</v>
      </c>
      <c r="CP511">
        <v>0</v>
      </c>
      <c r="CQ511">
        <v>0</v>
      </c>
      <c r="CR511">
        <v>0</v>
      </c>
      <c r="CT511" t="s">
        <v>190</v>
      </c>
      <c r="CU511" t="s">
        <v>449</v>
      </c>
      <c r="CW511">
        <v>0</v>
      </c>
      <c r="CZ511" s="1">
        <v>46048</v>
      </c>
      <c r="DA511" t="s">
        <v>172</v>
      </c>
      <c r="DB511" t="s">
        <v>172</v>
      </c>
      <c r="DC511" t="s">
        <v>172</v>
      </c>
      <c r="DD511" t="s">
        <v>172</v>
      </c>
      <c r="DG511" s="1">
        <v>46048</v>
      </c>
      <c r="DH511">
        <v>0</v>
      </c>
      <c r="DI511">
        <v>0</v>
      </c>
      <c r="DL511" t="s">
        <v>2473</v>
      </c>
      <c r="DM511" t="s">
        <v>172</v>
      </c>
      <c r="DN511" t="s">
        <v>201</v>
      </c>
      <c r="DV511" s="3">
        <v>245000.11</v>
      </c>
      <c r="DW511">
        <v>0</v>
      </c>
      <c r="DX511" s="3">
        <v>245000.11</v>
      </c>
      <c r="DY511">
        <v>0</v>
      </c>
      <c r="EN511" t="s">
        <v>537</v>
      </c>
      <c r="ET511" t="s">
        <v>3130</v>
      </c>
    </row>
    <row r="512" spans="1:153" x14ac:dyDescent="0.35">
      <c r="A512" t="str">
        <f>HYPERLINK("https://7lm.cvcrm.com.br/gestor/comercial/reservas/6608/administrar","6608")</f>
        <v>6608</v>
      </c>
      <c r="B512" t="s">
        <v>156</v>
      </c>
      <c r="C512" s="1">
        <v>46048</v>
      </c>
      <c r="D512" s="2">
        <v>0.44967592592592592</v>
      </c>
      <c r="E512" t="s">
        <v>294</v>
      </c>
      <c r="F512" t="s">
        <v>957</v>
      </c>
      <c r="G512" t="s">
        <v>159</v>
      </c>
      <c r="H512" t="s">
        <v>643</v>
      </c>
      <c r="I512" t="s">
        <v>3131</v>
      </c>
      <c r="J512">
        <v>1</v>
      </c>
      <c r="L512">
        <v>30121</v>
      </c>
      <c r="M512" t="s">
        <v>3132</v>
      </c>
      <c r="N512" s="1">
        <v>46058</v>
      </c>
      <c r="O512" s="2">
        <v>0.29266203703703703</v>
      </c>
      <c r="R512" t="str">
        <f>HYPERLINK("https://7lm.cvcrm.com.br/gestor/relatorios/associado/html?q[1|r.idreserva]=6608","BRUNA ALVES DOS SANTOS")</f>
        <v>BRUNA ALVES DOS SANTOS</v>
      </c>
      <c r="S512">
        <v>5867478181</v>
      </c>
      <c r="T512">
        <v>5535997167326</v>
      </c>
      <c r="V512" t="s">
        <v>3133</v>
      </c>
      <c r="W512" t="s">
        <v>187</v>
      </c>
      <c r="X512" t="s">
        <v>299</v>
      </c>
      <c r="Y512" t="s">
        <v>189</v>
      </c>
      <c r="Z512" t="s">
        <v>190</v>
      </c>
      <c r="AA512" t="s">
        <v>707</v>
      </c>
      <c r="AB512" t="s">
        <v>3134</v>
      </c>
      <c r="AC512" t="s">
        <v>665</v>
      </c>
      <c r="AD512" t="s">
        <v>665</v>
      </c>
      <c r="AF512" t="s">
        <v>250</v>
      </c>
      <c r="AG512" t="s">
        <v>251</v>
      </c>
      <c r="AH512" s="3">
        <v>245932.82</v>
      </c>
      <c r="AI512" s="3">
        <v>245932.82</v>
      </c>
      <c r="AJ512" s="1">
        <v>46068</v>
      </c>
      <c r="AN512" t="s">
        <v>172</v>
      </c>
      <c r="AR512" t="s">
        <v>1203</v>
      </c>
      <c r="AT512" t="s">
        <v>173</v>
      </c>
      <c r="AU512" t="s">
        <v>175</v>
      </c>
      <c r="AW512">
        <v>0</v>
      </c>
      <c r="AX512" s="1">
        <v>46062</v>
      </c>
      <c r="AY512" s="2">
        <v>0.65421296296296294</v>
      </c>
      <c r="AZ512">
        <v>149498</v>
      </c>
      <c r="BA512" s="1">
        <v>45705</v>
      </c>
      <c r="BC512" t="s">
        <v>0</v>
      </c>
      <c r="BD512" s="1">
        <v>46048</v>
      </c>
      <c r="BE512" t="s">
        <v>317</v>
      </c>
      <c r="BL512" s="4">
        <v>0</v>
      </c>
      <c r="BM512" s="1">
        <v>47031</v>
      </c>
      <c r="BN512" s="1">
        <v>46062</v>
      </c>
      <c r="BO512">
        <v>0</v>
      </c>
      <c r="BP512">
        <v>27883</v>
      </c>
      <c r="BQ512" t="s">
        <v>156</v>
      </c>
      <c r="BR512">
        <v>0</v>
      </c>
      <c r="BS512">
        <v>0</v>
      </c>
      <c r="BT512">
        <v>0</v>
      </c>
      <c r="BU512">
        <v>0</v>
      </c>
      <c r="BV512" s="3">
        <v>245932.82</v>
      </c>
      <c r="BX512">
        <v>0</v>
      </c>
      <c r="BZ512">
        <v>0</v>
      </c>
      <c r="CA512">
        <v>0</v>
      </c>
      <c r="CB512">
        <v>0</v>
      </c>
      <c r="CC512" s="3">
        <v>245932.82</v>
      </c>
      <c r="CD512" s="5">
        <v>0</v>
      </c>
      <c r="CF512" s="6">
        <v>46054</v>
      </c>
      <c r="CH512">
        <v>0</v>
      </c>
      <c r="CI512">
        <v>0</v>
      </c>
      <c r="CJ512">
        <v>0</v>
      </c>
      <c r="CK512">
        <v>0</v>
      </c>
      <c r="CL512">
        <v>0</v>
      </c>
      <c r="CM512">
        <v>0</v>
      </c>
      <c r="CN512">
        <v>0</v>
      </c>
      <c r="CO512">
        <v>0</v>
      </c>
      <c r="CP512">
        <v>0</v>
      </c>
      <c r="CQ512">
        <v>0</v>
      </c>
      <c r="CR512">
        <v>0</v>
      </c>
      <c r="CS512" t="s">
        <v>360</v>
      </c>
      <c r="CT512" t="s">
        <v>190</v>
      </c>
      <c r="CU512" t="s">
        <v>3131</v>
      </c>
      <c r="CW512">
        <v>457.28949999999998</v>
      </c>
      <c r="CZ512" s="1">
        <v>46048</v>
      </c>
      <c r="DA512" t="s">
        <v>172</v>
      </c>
      <c r="DB512" t="s">
        <v>172</v>
      </c>
      <c r="DC512" t="s">
        <v>172</v>
      </c>
      <c r="DD512" t="s">
        <v>172</v>
      </c>
      <c r="DG512" s="1">
        <v>46048</v>
      </c>
      <c r="DH512">
        <v>0</v>
      </c>
      <c r="DI512">
        <v>0</v>
      </c>
      <c r="DJ512" s="1">
        <v>46062</v>
      </c>
      <c r="DL512" t="s">
        <v>963</v>
      </c>
      <c r="DM512" t="s">
        <v>172</v>
      </c>
      <c r="DN512" t="s">
        <v>201</v>
      </c>
      <c r="DU512" t="s">
        <v>1238</v>
      </c>
      <c r="DV512" s="3">
        <v>261467.18</v>
      </c>
      <c r="DW512">
        <v>-51.53</v>
      </c>
      <c r="DX512" s="3">
        <v>261467.18</v>
      </c>
      <c r="DY512">
        <v>-51.53</v>
      </c>
      <c r="EG512" s="1">
        <v>46056</v>
      </c>
      <c r="EN512" t="s">
        <v>156</v>
      </c>
      <c r="EP512" s="1">
        <v>46056</v>
      </c>
      <c r="ER512" s="1">
        <v>46050</v>
      </c>
      <c r="ES512" t="s">
        <v>3135</v>
      </c>
      <c r="EU512" s="1">
        <v>46057</v>
      </c>
      <c r="EW512" s="1">
        <v>46050</v>
      </c>
    </row>
    <row r="513" spans="1:153" x14ac:dyDescent="0.35">
      <c r="A513" t="str">
        <f>HYPERLINK("https://7lm.cvcrm.com.br/gestor/comercial/reservas/6607/administrar","6607")</f>
        <v>6607</v>
      </c>
      <c r="B513" t="s">
        <v>172</v>
      </c>
      <c r="C513" s="1">
        <v>46047</v>
      </c>
      <c r="D513" s="2">
        <v>0.63761574074074079</v>
      </c>
      <c r="E513" t="s">
        <v>527</v>
      </c>
      <c r="F513" t="s">
        <v>458</v>
      </c>
      <c r="G513" t="s">
        <v>203</v>
      </c>
      <c r="H513" t="s">
        <v>306</v>
      </c>
      <c r="I513" t="s">
        <v>1214</v>
      </c>
      <c r="J513">
        <v>1</v>
      </c>
      <c r="L513">
        <v>20001</v>
      </c>
      <c r="M513" t="s">
        <v>1905</v>
      </c>
      <c r="R513" t="str">
        <f>HYPERLINK("https://7lm.cvcrm.com.br/gestor/relatorios/associado/html?q[1|r.idreserva]=6607","JOÃO BATISTA DE OLIVEIRA DELFINO")</f>
        <v>JOÃO BATISTA DE OLIVEIRA DELFINO</v>
      </c>
      <c r="S513">
        <v>7865065477</v>
      </c>
      <c r="T513">
        <v>5561983437237</v>
      </c>
      <c r="V513" t="s">
        <v>3136</v>
      </c>
      <c r="W513" t="s">
        <v>187</v>
      </c>
      <c r="X513" t="s">
        <v>3137</v>
      </c>
      <c r="Y513" t="s">
        <v>165</v>
      </c>
      <c r="Z513" t="s">
        <v>323</v>
      </c>
      <c r="AA513" t="s">
        <v>324</v>
      </c>
      <c r="AB513" t="s">
        <v>3138</v>
      </c>
      <c r="AC513" t="s">
        <v>633</v>
      </c>
      <c r="AF513" t="s">
        <v>413</v>
      </c>
      <c r="AG513" t="s">
        <v>195</v>
      </c>
      <c r="AH513" s="3">
        <v>220242.58</v>
      </c>
      <c r="AI513" s="3">
        <v>220242.58</v>
      </c>
      <c r="AJ513" s="1">
        <v>46096</v>
      </c>
      <c r="AN513" t="s">
        <v>172</v>
      </c>
      <c r="AO513" t="s">
        <v>1334</v>
      </c>
      <c r="AR513" t="s">
        <v>3139</v>
      </c>
      <c r="AT513" t="s">
        <v>196</v>
      </c>
      <c r="AU513" t="s">
        <v>316</v>
      </c>
      <c r="AW513">
        <v>0</v>
      </c>
      <c r="AX513" s="1">
        <v>46062</v>
      </c>
      <c r="AY513" s="2">
        <v>0.59506944444444443</v>
      </c>
      <c r="AZ513">
        <v>185314</v>
      </c>
      <c r="BA513" s="1">
        <v>46043</v>
      </c>
      <c r="BC513" t="s">
        <v>0</v>
      </c>
      <c r="BD513" s="1">
        <v>46047</v>
      </c>
      <c r="BE513" t="s">
        <v>317</v>
      </c>
      <c r="BL513" s="4">
        <v>0</v>
      </c>
      <c r="BM513" s="1">
        <v>46572</v>
      </c>
      <c r="BO513">
        <v>0</v>
      </c>
      <c r="BP513">
        <v>27747</v>
      </c>
      <c r="BQ513" t="s">
        <v>156</v>
      </c>
      <c r="BR513" s="3">
        <v>140798.22</v>
      </c>
      <c r="BS513" s="3">
        <v>29340</v>
      </c>
      <c r="BT513">
        <v>0</v>
      </c>
      <c r="BU513" s="3">
        <v>170138.22</v>
      </c>
      <c r="BV513" s="3">
        <v>220242.58</v>
      </c>
      <c r="BX513">
        <v>0</v>
      </c>
      <c r="BZ513">
        <v>0</v>
      </c>
      <c r="CA513">
        <v>0</v>
      </c>
      <c r="CB513">
        <v>0</v>
      </c>
      <c r="CC513" s="3">
        <v>220242.58</v>
      </c>
      <c r="CD513" s="5">
        <v>0</v>
      </c>
      <c r="CE513" t="s">
        <v>467</v>
      </c>
      <c r="CF513" s="6">
        <v>46054</v>
      </c>
      <c r="CH513">
        <v>0</v>
      </c>
      <c r="CI513">
        <v>0</v>
      </c>
      <c r="CJ513">
        <v>0</v>
      </c>
      <c r="CK513">
        <v>0</v>
      </c>
      <c r="CL513">
        <v>0</v>
      </c>
      <c r="CM513">
        <v>0</v>
      </c>
      <c r="CN513">
        <v>0</v>
      </c>
      <c r="CO513">
        <v>0</v>
      </c>
      <c r="CP513">
        <v>0</v>
      </c>
      <c r="CQ513">
        <v>0</v>
      </c>
      <c r="CR513">
        <v>0</v>
      </c>
      <c r="CT513" t="s">
        <v>214</v>
      </c>
      <c r="CU513" t="s">
        <v>1214</v>
      </c>
      <c r="CW513">
        <v>0</v>
      </c>
      <c r="CZ513" s="1">
        <v>46047</v>
      </c>
      <c r="DA513" t="s">
        <v>172</v>
      </c>
      <c r="DB513" t="s">
        <v>172</v>
      </c>
      <c r="DC513" t="s">
        <v>172</v>
      </c>
      <c r="DD513" t="s">
        <v>172</v>
      </c>
      <c r="DG513" s="1">
        <v>46047</v>
      </c>
      <c r="DH513">
        <v>0</v>
      </c>
      <c r="DI513">
        <v>0</v>
      </c>
      <c r="DL513" t="s">
        <v>200</v>
      </c>
      <c r="DM513" t="s">
        <v>172</v>
      </c>
      <c r="DN513" t="s">
        <v>201</v>
      </c>
      <c r="DV513" s="3">
        <v>220242.58</v>
      </c>
      <c r="DW513">
        <v>0</v>
      </c>
      <c r="DX513" s="3">
        <v>220242.58</v>
      </c>
      <c r="DY513">
        <v>0</v>
      </c>
      <c r="EN513" t="s">
        <v>537</v>
      </c>
      <c r="ET513" t="s">
        <v>1661</v>
      </c>
      <c r="EW513" s="1">
        <v>46047</v>
      </c>
    </row>
    <row r="514" spans="1:153" ht="348" x14ac:dyDescent="0.35">
      <c r="A514" t="str">
        <f>HYPERLINK("https://7lm.cvcrm.com.br/gestor/comercial/reservas/6606/administrar","6606")</f>
        <v>6606</v>
      </c>
      <c r="B514" t="s">
        <v>172</v>
      </c>
      <c r="C514" s="1">
        <v>46046</v>
      </c>
      <c r="D514" s="2">
        <v>0.64702546296296293</v>
      </c>
      <c r="E514" t="s">
        <v>527</v>
      </c>
      <c r="F514" t="s">
        <v>458</v>
      </c>
      <c r="G514" t="s">
        <v>203</v>
      </c>
      <c r="H514" t="s">
        <v>204</v>
      </c>
      <c r="I514" t="s">
        <v>2222</v>
      </c>
      <c r="J514">
        <v>1</v>
      </c>
      <c r="L514">
        <v>20001</v>
      </c>
      <c r="M514" t="s">
        <v>2223</v>
      </c>
      <c r="R514" t="str">
        <f>HYPERLINK("https://7lm.cvcrm.com.br/gestor/relatorios/associado/html?q[1|r.idreserva]=6606","MATHEUS ARAUJO GOMES")</f>
        <v>MATHEUS ARAUJO GOMES</v>
      </c>
      <c r="S514">
        <v>71266946101</v>
      </c>
      <c r="T514">
        <v>5561995708027</v>
      </c>
      <c r="V514" t="s">
        <v>3140</v>
      </c>
      <c r="W514" t="s">
        <v>163</v>
      </c>
      <c r="Y514" t="s">
        <v>189</v>
      </c>
      <c r="Z514" t="s">
        <v>214</v>
      </c>
      <c r="AA514" t="s">
        <v>471</v>
      </c>
      <c r="AB514" t="s">
        <v>3141</v>
      </c>
      <c r="AC514" t="s">
        <v>1987</v>
      </c>
      <c r="AD514" t="s">
        <v>1987</v>
      </c>
      <c r="AF514" t="s">
        <v>212</v>
      </c>
      <c r="AG514" t="s">
        <v>284</v>
      </c>
      <c r="AH514" s="3">
        <v>220728.15</v>
      </c>
      <c r="AI514" s="3">
        <v>220728.15</v>
      </c>
      <c r="AJ514" s="1">
        <v>46671</v>
      </c>
      <c r="AN514" t="s">
        <v>172</v>
      </c>
      <c r="AO514" t="s">
        <v>657</v>
      </c>
      <c r="AR514" s="7" t="s">
        <v>3142</v>
      </c>
      <c r="AT514" t="s">
        <v>196</v>
      </c>
      <c r="AU514" t="s">
        <v>175</v>
      </c>
      <c r="AW514">
        <v>0</v>
      </c>
      <c r="AX514" s="1">
        <v>46062</v>
      </c>
      <c r="AY514" s="2">
        <v>0.59729166666666667</v>
      </c>
      <c r="AZ514">
        <v>186015</v>
      </c>
      <c r="BA514" s="1">
        <v>46046</v>
      </c>
      <c r="BC514" t="s">
        <v>0</v>
      </c>
      <c r="BD514" s="1">
        <v>46046</v>
      </c>
      <c r="BE514" t="s">
        <v>175</v>
      </c>
      <c r="BL514" s="4">
        <v>0</v>
      </c>
      <c r="BM514" s="1">
        <v>46572</v>
      </c>
      <c r="BO514">
        <v>0</v>
      </c>
      <c r="BP514">
        <v>27876</v>
      </c>
      <c r="BQ514" t="s">
        <v>156</v>
      </c>
      <c r="BR514" s="3">
        <v>169646.15</v>
      </c>
      <c r="BS514" s="3">
        <v>5282</v>
      </c>
      <c r="BT514">
        <v>0</v>
      </c>
      <c r="BU514" s="3">
        <v>174928.15</v>
      </c>
      <c r="BV514" s="3">
        <v>220728.15</v>
      </c>
      <c r="BX514">
        <v>0</v>
      </c>
      <c r="BZ514">
        <v>0</v>
      </c>
      <c r="CA514">
        <v>0</v>
      </c>
      <c r="CB514">
        <v>0</v>
      </c>
      <c r="CC514" s="3">
        <v>220728.15</v>
      </c>
      <c r="CD514" s="5">
        <v>0</v>
      </c>
      <c r="CE514" t="s">
        <v>467</v>
      </c>
      <c r="CF514" s="6">
        <v>46054</v>
      </c>
      <c r="CH514">
        <v>0</v>
      </c>
      <c r="CI514">
        <v>0</v>
      </c>
      <c r="CJ514">
        <v>0</v>
      </c>
      <c r="CK514">
        <v>0</v>
      </c>
      <c r="CL514">
        <v>0</v>
      </c>
      <c r="CM514">
        <v>0</v>
      </c>
      <c r="CN514">
        <v>0</v>
      </c>
      <c r="CO514">
        <v>0</v>
      </c>
      <c r="CP514">
        <v>0</v>
      </c>
      <c r="CQ514">
        <v>0</v>
      </c>
      <c r="CR514">
        <v>0</v>
      </c>
      <c r="CT514" t="s">
        <v>214</v>
      </c>
      <c r="CU514" t="s">
        <v>2222</v>
      </c>
      <c r="CW514">
        <v>0</v>
      </c>
      <c r="CZ514" s="1">
        <v>46046</v>
      </c>
      <c r="DA514" t="s">
        <v>172</v>
      </c>
      <c r="DB514" t="s">
        <v>172</v>
      </c>
      <c r="DC514" t="s">
        <v>172</v>
      </c>
      <c r="DD514" t="s">
        <v>172</v>
      </c>
      <c r="DG514" s="1">
        <v>46046</v>
      </c>
      <c r="DH514">
        <v>0</v>
      </c>
      <c r="DI514">
        <v>0</v>
      </c>
      <c r="DL514" t="s">
        <v>200</v>
      </c>
      <c r="DM514" t="s">
        <v>172</v>
      </c>
      <c r="DN514" t="s">
        <v>201</v>
      </c>
      <c r="DV514" s="3">
        <v>220728.15</v>
      </c>
      <c r="DW514">
        <v>0</v>
      </c>
      <c r="DX514" s="3">
        <v>220728.15</v>
      </c>
      <c r="DY514">
        <v>0</v>
      </c>
      <c r="EN514" t="s">
        <v>537</v>
      </c>
      <c r="EU514" s="1">
        <v>46063</v>
      </c>
      <c r="EW514" s="1">
        <v>46046</v>
      </c>
    </row>
    <row r="515" spans="1:153" ht="159.5" x14ac:dyDescent="0.35">
      <c r="A515" t="str">
        <f>HYPERLINK("https://7lm.cvcrm.com.br/gestor/comercial/reservas/6605/administrar","6605")</f>
        <v>6605</v>
      </c>
      <c r="B515" t="s">
        <v>156</v>
      </c>
      <c r="C515" s="1">
        <v>46046</v>
      </c>
      <c r="D515" s="2">
        <v>0.52028935185185188</v>
      </c>
      <c r="E515" t="s">
        <v>527</v>
      </c>
      <c r="F515" t="s">
        <v>2451</v>
      </c>
      <c r="G515" t="s">
        <v>203</v>
      </c>
      <c r="H515" t="s">
        <v>336</v>
      </c>
      <c r="I515" t="s">
        <v>818</v>
      </c>
      <c r="J515">
        <v>1</v>
      </c>
      <c r="L515">
        <v>30061</v>
      </c>
      <c r="M515" t="s">
        <v>2698</v>
      </c>
      <c r="N515" s="1">
        <v>46056</v>
      </c>
      <c r="O515" s="2">
        <v>0.65651620370370367</v>
      </c>
      <c r="R515" t="str">
        <f>HYPERLINK("https://7lm.cvcrm.com.br/gestor/relatorios/associado/html?q[1|r.idreserva]=6605","JUVENILDO PEREIRA DE OLIVEIRA")</f>
        <v>JUVENILDO PEREIRA DE OLIVEIRA</v>
      </c>
      <c r="S515">
        <v>2520749555</v>
      </c>
      <c r="T515">
        <v>5571981544698</v>
      </c>
      <c r="V515" t="s">
        <v>3143</v>
      </c>
      <c r="W515" t="s">
        <v>163</v>
      </c>
      <c r="X515" t="s">
        <v>3144</v>
      </c>
      <c r="Y515" t="s">
        <v>189</v>
      </c>
      <c r="Z515" t="s">
        <v>190</v>
      </c>
      <c r="AA515" t="s">
        <v>480</v>
      </c>
      <c r="AB515" t="s">
        <v>3145</v>
      </c>
      <c r="AC515" t="s">
        <v>641</v>
      </c>
      <c r="AF515" t="s">
        <v>194</v>
      </c>
      <c r="AG515" t="s">
        <v>195</v>
      </c>
      <c r="AH515" s="3">
        <v>235000.69</v>
      </c>
      <c r="AI515" s="3">
        <v>235000.69</v>
      </c>
      <c r="AJ515" s="1">
        <v>46106</v>
      </c>
      <c r="AN515" t="s">
        <v>172</v>
      </c>
      <c r="AO515" t="s">
        <v>932</v>
      </c>
      <c r="AP515" t="s">
        <v>3146</v>
      </c>
      <c r="AR515" s="7" t="s">
        <v>3147</v>
      </c>
      <c r="AT515" t="s">
        <v>196</v>
      </c>
      <c r="AU515" t="s">
        <v>1509</v>
      </c>
      <c r="AW515">
        <v>0</v>
      </c>
      <c r="AX515" s="1">
        <v>46066</v>
      </c>
      <c r="AY515" s="2">
        <v>0.37452546296296296</v>
      </c>
      <c r="AZ515">
        <v>129322</v>
      </c>
      <c r="BA515" s="1">
        <v>45529</v>
      </c>
      <c r="BC515" t="s">
        <v>0</v>
      </c>
      <c r="BD515" s="1">
        <v>46046</v>
      </c>
      <c r="BE515" t="s">
        <v>317</v>
      </c>
      <c r="BL515" s="4">
        <v>0</v>
      </c>
      <c r="BM515" s="1">
        <v>46788</v>
      </c>
      <c r="BO515">
        <v>0</v>
      </c>
      <c r="BP515">
        <v>26278</v>
      </c>
      <c r="BQ515" t="s">
        <v>156</v>
      </c>
      <c r="BR515" s="3">
        <v>126580.29</v>
      </c>
      <c r="BS515" s="3">
        <v>23599</v>
      </c>
      <c r="BT515">
        <v>0</v>
      </c>
      <c r="BU515" s="3">
        <v>150179.29</v>
      </c>
      <c r="BV515" s="3">
        <v>235000.69</v>
      </c>
      <c r="BX515">
        <v>0</v>
      </c>
      <c r="BZ515">
        <v>0</v>
      </c>
      <c r="CA515">
        <v>0</v>
      </c>
      <c r="CB515">
        <v>0</v>
      </c>
      <c r="CC515" s="3">
        <v>235000.69</v>
      </c>
      <c r="CD515" s="5">
        <v>0</v>
      </c>
      <c r="CF515" s="6">
        <v>46054</v>
      </c>
      <c r="CH515">
        <v>0</v>
      </c>
      <c r="CI515">
        <v>0</v>
      </c>
      <c r="CJ515">
        <v>0</v>
      </c>
      <c r="CK515">
        <v>0</v>
      </c>
      <c r="CL515">
        <v>0</v>
      </c>
      <c r="CM515">
        <v>0</v>
      </c>
      <c r="CN515">
        <v>0</v>
      </c>
      <c r="CO515">
        <v>0</v>
      </c>
      <c r="CP515">
        <v>0</v>
      </c>
      <c r="CQ515">
        <v>0</v>
      </c>
      <c r="CR515">
        <v>0</v>
      </c>
      <c r="CS515" t="s">
        <v>199</v>
      </c>
      <c r="CT515" t="s">
        <v>190</v>
      </c>
      <c r="CU515" t="s">
        <v>818</v>
      </c>
      <c r="CW515">
        <v>413.1019</v>
      </c>
      <c r="CZ515" s="1">
        <v>46046</v>
      </c>
      <c r="DA515" t="s">
        <v>172</v>
      </c>
      <c r="DB515" t="s">
        <v>172</v>
      </c>
      <c r="DC515" t="s">
        <v>172</v>
      </c>
      <c r="DD515" t="s">
        <v>172</v>
      </c>
      <c r="DG515" s="1">
        <v>46046</v>
      </c>
      <c r="DH515">
        <v>0</v>
      </c>
      <c r="DI515">
        <v>0</v>
      </c>
      <c r="DL515" t="s">
        <v>200</v>
      </c>
      <c r="DM515" t="s">
        <v>172</v>
      </c>
      <c r="DN515" t="s">
        <v>201</v>
      </c>
      <c r="DV515" s="3">
        <v>235000.69</v>
      </c>
      <c r="DW515">
        <v>0</v>
      </c>
      <c r="DX515" s="3">
        <v>235000.69</v>
      </c>
      <c r="DY515">
        <v>0</v>
      </c>
      <c r="EN515" t="s">
        <v>537</v>
      </c>
      <c r="EP515" s="1">
        <v>46056</v>
      </c>
      <c r="ER515" s="1">
        <v>46056</v>
      </c>
      <c r="ES515" t="s">
        <v>3148</v>
      </c>
      <c r="ET515" t="s">
        <v>3149</v>
      </c>
      <c r="EW515" s="1">
        <v>46046</v>
      </c>
    </row>
    <row r="516" spans="1:153" ht="246.5" x14ac:dyDescent="0.35">
      <c r="A516" t="str">
        <f>HYPERLINK("https://7lm.cvcrm.com.br/gestor/comercial/reservas/6604/administrar","6604")</f>
        <v>6604</v>
      </c>
      <c r="B516" t="s">
        <v>156</v>
      </c>
      <c r="C516" s="1">
        <v>46046</v>
      </c>
      <c r="D516" s="2">
        <v>0.51046296296296301</v>
      </c>
      <c r="E516" t="s">
        <v>294</v>
      </c>
      <c r="F516" t="s">
        <v>2451</v>
      </c>
      <c r="G516" t="s">
        <v>203</v>
      </c>
      <c r="H516" t="s">
        <v>204</v>
      </c>
      <c r="I516" t="s">
        <v>948</v>
      </c>
      <c r="J516">
        <v>1</v>
      </c>
      <c r="L516">
        <v>30061</v>
      </c>
      <c r="M516" t="s">
        <v>3150</v>
      </c>
      <c r="N516" s="1">
        <v>46057</v>
      </c>
      <c r="O516" s="2">
        <v>0.51890046296296299</v>
      </c>
      <c r="R516" t="str">
        <f>HYPERLINK("https://7lm.cvcrm.com.br/gestor/relatorios/associado/html?q[1|r.idreserva]=6604","CLEITON DE SOUSA GOMES")</f>
        <v>CLEITON DE SOUSA GOMES</v>
      </c>
      <c r="S516">
        <v>71288206127</v>
      </c>
      <c r="T516">
        <v>5561999194105</v>
      </c>
      <c r="V516" t="s">
        <v>3151</v>
      </c>
      <c r="W516" t="s">
        <v>163</v>
      </c>
      <c r="X516" t="s">
        <v>288</v>
      </c>
      <c r="Y516" t="s">
        <v>189</v>
      </c>
      <c r="Z516" t="s">
        <v>190</v>
      </c>
      <c r="AA516" t="s">
        <v>1739</v>
      </c>
      <c r="AB516" t="s">
        <v>3152</v>
      </c>
      <c r="AC516" t="s">
        <v>1493</v>
      </c>
      <c r="AD516" t="s">
        <v>1493</v>
      </c>
      <c r="AF516" t="s">
        <v>250</v>
      </c>
      <c r="AG516" t="s">
        <v>251</v>
      </c>
      <c r="AH516" s="3">
        <v>243080</v>
      </c>
      <c r="AI516" s="3">
        <v>243080</v>
      </c>
      <c r="AJ516" s="1">
        <v>46077</v>
      </c>
      <c r="AN516" t="s">
        <v>172</v>
      </c>
      <c r="AR516" s="7" t="s">
        <v>353</v>
      </c>
      <c r="AT516" t="s">
        <v>261</v>
      </c>
      <c r="AU516" t="s">
        <v>175</v>
      </c>
      <c r="AW516">
        <v>0</v>
      </c>
      <c r="AX516" s="1">
        <v>46066</v>
      </c>
      <c r="AY516" s="2">
        <v>0.69400462962962961</v>
      </c>
      <c r="AZ516">
        <v>159064</v>
      </c>
      <c r="BA516" s="1">
        <v>45805</v>
      </c>
      <c r="BC516" t="s">
        <v>0</v>
      </c>
      <c r="BD516" s="1">
        <v>46046</v>
      </c>
      <c r="BE516" t="s">
        <v>317</v>
      </c>
      <c r="BL516" s="4">
        <v>0</v>
      </c>
      <c r="BM516" s="1">
        <v>46788</v>
      </c>
      <c r="BN516" s="1">
        <v>46066</v>
      </c>
      <c r="BO516">
        <v>0</v>
      </c>
      <c r="BP516">
        <v>27870</v>
      </c>
      <c r="BQ516" t="s">
        <v>156</v>
      </c>
      <c r="BR516">
        <v>0</v>
      </c>
      <c r="BS516">
        <v>0</v>
      </c>
      <c r="BT516">
        <v>0</v>
      </c>
      <c r="BU516">
        <v>0</v>
      </c>
      <c r="BV516" s="3">
        <v>243080</v>
      </c>
      <c r="BX516">
        <v>0</v>
      </c>
      <c r="BZ516">
        <v>0</v>
      </c>
      <c r="CA516">
        <v>0</v>
      </c>
      <c r="CB516">
        <v>0</v>
      </c>
      <c r="CC516" s="3">
        <v>243080</v>
      </c>
      <c r="CD516" s="5">
        <v>0</v>
      </c>
      <c r="CF516" s="6">
        <v>46054</v>
      </c>
      <c r="CH516">
        <v>0</v>
      </c>
      <c r="CI516">
        <v>0</v>
      </c>
      <c r="CJ516">
        <v>0</v>
      </c>
      <c r="CK516">
        <v>0</v>
      </c>
      <c r="CL516">
        <v>0</v>
      </c>
      <c r="CM516">
        <v>0</v>
      </c>
      <c r="CN516">
        <v>0</v>
      </c>
      <c r="CO516">
        <v>0</v>
      </c>
      <c r="CP516">
        <v>0</v>
      </c>
      <c r="CQ516">
        <v>0</v>
      </c>
      <c r="CR516">
        <v>0</v>
      </c>
      <c r="CS516" t="s">
        <v>599</v>
      </c>
      <c r="CT516" t="s">
        <v>190</v>
      </c>
      <c r="CU516" t="s">
        <v>948</v>
      </c>
      <c r="CW516">
        <v>430.74239999999998</v>
      </c>
      <c r="CZ516" s="1">
        <v>46046</v>
      </c>
      <c r="DA516" t="s">
        <v>172</v>
      </c>
      <c r="DB516" t="s">
        <v>172</v>
      </c>
      <c r="DC516" t="s">
        <v>172</v>
      </c>
      <c r="DD516" t="s">
        <v>172</v>
      </c>
      <c r="DG516" s="1">
        <v>46046</v>
      </c>
      <c r="DH516">
        <v>0</v>
      </c>
      <c r="DI516">
        <v>0</v>
      </c>
      <c r="DL516" t="s">
        <v>2473</v>
      </c>
      <c r="DM516" t="s">
        <v>172</v>
      </c>
      <c r="DN516" t="s">
        <v>201</v>
      </c>
      <c r="DV516" s="3">
        <v>243080</v>
      </c>
      <c r="DW516">
        <v>0</v>
      </c>
      <c r="DX516" s="3">
        <v>243080</v>
      </c>
      <c r="DY516">
        <v>0</v>
      </c>
      <c r="EF516" s="1">
        <v>46062</v>
      </c>
      <c r="EG516" s="1">
        <v>46057</v>
      </c>
      <c r="EK516" s="1">
        <v>46063</v>
      </c>
      <c r="EL516" s="1">
        <v>46063</v>
      </c>
      <c r="EN516" t="s">
        <v>172</v>
      </c>
      <c r="EP516" s="1">
        <v>46063</v>
      </c>
      <c r="ER516" s="1">
        <v>46057</v>
      </c>
      <c r="ES516" t="s">
        <v>3153</v>
      </c>
      <c r="ET516" t="s">
        <v>3154</v>
      </c>
      <c r="EU516" s="1">
        <v>46063</v>
      </c>
      <c r="EW516" s="1">
        <v>46046</v>
      </c>
    </row>
    <row r="517" spans="1:153" x14ac:dyDescent="0.35">
      <c r="A517" t="str">
        <f>HYPERLINK("https://7lm.cvcrm.com.br/gestor/comercial/reservas/6603/administrar","6603")</f>
        <v>6603</v>
      </c>
      <c r="B517" t="s">
        <v>172</v>
      </c>
      <c r="C517" s="1">
        <v>46046</v>
      </c>
      <c r="D517" s="2">
        <v>0.49475694444444446</v>
      </c>
      <c r="E517" t="s">
        <v>527</v>
      </c>
      <c r="F517" t="s">
        <v>2451</v>
      </c>
      <c r="G517" t="s">
        <v>203</v>
      </c>
      <c r="H517" t="s">
        <v>528</v>
      </c>
      <c r="I517" t="s">
        <v>1410</v>
      </c>
      <c r="J517">
        <v>1</v>
      </c>
      <c r="L517">
        <v>30061</v>
      </c>
      <c r="M517" t="s">
        <v>2871</v>
      </c>
      <c r="R517" t="str">
        <f>HYPERLINK("https://7lm.cvcrm.com.br/gestor/relatorios/associado/html?q[1|r.idreserva]=6603","MARIZETE JOSE TORRES")</f>
        <v>MARIZETE JOSE TORRES</v>
      </c>
      <c r="S517">
        <v>906683165</v>
      </c>
      <c r="T517">
        <v>556198493875</v>
      </c>
      <c r="V517" t="s">
        <v>3155</v>
      </c>
      <c r="W517" t="s">
        <v>187</v>
      </c>
      <c r="Y517" t="s">
        <v>189</v>
      </c>
      <c r="Z517" t="s">
        <v>190</v>
      </c>
      <c r="AA517" t="s">
        <v>1739</v>
      </c>
      <c r="AB517" t="s">
        <v>3156</v>
      </c>
      <c r="AC517" t="s">
        <v>3157</v>
      </c>
      <c r="AF517" t="s">
        <v>194</v>
      </c>
      <c r="AG517" t="s">
        <v>195</v>
      </c>
      <c r="AH517" s="3">
        <v>235000</v>
      </c>
      <c r="AI517" s="3">
        <v>235000</v>
      </c>
      <c r="AJ517" s="1">
        <v>46046</v>
      </c>
      <c r="AN517" t="s">
        <v>172</v>
      </c>
      <c r="AO517" t="s">
        <v>1098</v>
      </c>
      <c r="AR517" t="s">
        <v>3158</v>
      </c>
      <c r="AT517" t="s">
        <v>261</v>
      </c>
      <c r="AU517" t="s">
        <v>197</v>
      </c>
      <c r="AW517">
        <v>0</v>
      </c>
      <c r="AX517" s="1">
        <v>46049</v>
      </c>
      <c r="AY517" s="2">
        <v>0.73468750000000005</v>
      </c>
      <c r="AZ517">
        <v>185501</v>
      </c>
      <c r="BA517" s="1">
        <v>46043</v>
      </c>
      <c r="BC517" t="s">
        <v>275</v>
      </c>
      <c r="BD517" s="1">
        <v>46044</v>
      </c>
      <c r="BE517" t="s">
        <v>198</v>
      </c>
      <c r="BL517" s="4">
        <v>0</v>
      </c>
      <c r="BM517" s="1">
        <v>46788</v>
      </c>
      <c r="BO517">
        <v>0</v>
      </c>
      <c r="BP517">
        <v>27807</v>
      </c>
      <c r="BQ517" t="s">
        <v>156</v>
      </c>
      <c r="BR517" s="3">
        <v>133556.78</v>
      </c>
      <c r="BS517" s="3">
        <v>15587</v>
      </c>
      <c r="BT517">
        <v>0</v>
      </c>
      <c r="BU517" s="3">
        <v>149143.78</v>
      </c>
      <c r="BV517" s="3">
        <v>235000</v>
      </c>
      <c r="BX517">
        <v>0</v>
      </c>
      <c r="BZ517">
        <v>0</v>
      </c>
      <c r="CA517">
        <v>0</v>
      </c>
      <c r="CB517">
        <v>0</v>
      </c>
      <c r="CC517" s="3">
        <v>235000</v>
      </c>
      <c r="CD517" s="5">
        <v>0</v>
      </c>
      <c r="CF517" s="6">
        <v>46023</v>
      </c>
      <c r="CH517">
        <v>0</v>
      </c>
      <c r="CI517">
        <v>0</v>
      </c>
      <c r="CJ517">
        <v>0</v>
      </c>
      <c r="CK517">
        <v>0</v>
      </c>
      <c r="CL517">
        <v>0</v>
      </c>
      <c r="CM517">
        <v>0</v>
      </c>
      <c r="CN517">
        <v>0</v>
      </c>
      <c r="CO517">
        <v>0</v>
      </c>
      <c r="CP517">
        <v>0</v>
      </c>
      <c r="CQ517">
        <v>0</v>
      </c>
      <c r="CR517">
        <v>0</v>
      </c>
      <c r="CT517" t="s">
        <v>190</v>
      </c>
      <c r="CU517" t="s">
        <v>1410</v>
      </c>
      <c r="CW517">
        <v>0</v>
      </c>
      <c r="CZ517" s="1">
        <v>46046</v>
      </c>
      <c r="DA517" t="s">
        <v>172</v>
      </c>
      <c r="DB517" t="s">
        <v>172</v>
      </c>
      <c r="DC517" t="s">
        <v>172</v>
      </c>
      <c r="DD517" t="s">
        <v>172</v>
      </c>
      <c r="DG517" s="1">
        <v>46046</v>
      </c>
      <c r="DH517">
        <v>0</v>
      </c>
      <c r="DI517">
        <v>0</v>
      </c>
      <c r="DL517" t="s">
        <v>2473</v>
      </c>
      <c r="DM517" t="s">
        <v>172</v>
      </c>
      <c r="DN517" t="s">
        <v>201</v>
      </c>
      <c r="DV517" s="3">
        <v>235000</v>
      </c>
      <c r="DW517">
        <v>0</v>
      </c>
      <c r="DX517" s="3">
        <v>235000</v>
      </c>
      <c r="DY517">
        <v>0</v>
      </c>
      <c r="EN517" t="s">
        <v>537</v>
      </c>
      <c r="ET517" t="s">
        <v>3159</v>
      </c>
      <c r="EW517" s="1">
        <v>46046</v>
      </c>
    </row>
    <row r="518" spans="1:153" x14ac:dyDescent="0.35">
      <c r="A518" t="str">
        <f>HYPERLINK("https://7lm.cvcrm.com.br/gestor/comercial/reservas/6602/administrar","6602")</f>
        <v>6602</v>
      </c>
      <c r="B518" t="s">
        <v>156</v>
      </c>
      <c r="C518" s="1">
        <v>46046</v>
      </c>
      <c r="D518" s="2">
        <v>0.48077546296296297</v>
      </c>
      <c r="E518" t="s">
        <v>294</v>
      </c>
      <c r="F518" t="s">
        <v>202</v>
      </c>
      <c r="G518" t="s">
        <v>203</v>
      </c>
      <c r="H518" t="s">
        <v>513</v>
      </c>
      <c r="I518" t="s">
        <v>2640</v>
      </c>
      <c r="J518">
        <v>1</v>
      </c>
      <c r="L518">
        <v>20031</v>
      </c>
      <c r="M518" t="s">
        <v>3160</v>
      </c>
      <c r="N518" s="1">
        <v>46056</v>
      </c>
      <c r="O518" s="2">
        <v>0.59552083333333339</v>
      </c>
      <c r="R518" t="str">
        <f>HYPERLINK("https://7lm.cvcrm.com.br/gestor/relatorios/associado/html?q[1|r.idreserva]=6602","FATIMA FERNANDES VALENTINO")</f>
        <v>FATIMA FERNANDES VALENTINO</v>
      </c>
      <c r="S518">
        <v>3490741196</v>
      </c>
      <c r="T518">
        <v>5561998560269</v>
      </c>
      <c r="V518" t="s">
        <v>3161</v>
      </c>
      <c r="W518" t="s">
        <v>187</v>
      </c>
      <c r="X518" t="s">
        <v>521</v>
      </c>
      <c r="Y518" t="s">
        <v>189</v>
      </c>
      <c r="Z518" t="s">
        <v>2670</v>
      </c>
      <c r="AA518" t="s">
        <v>3162</v>
      </c>
      <c r="AB518" t="s">
        <v>3163</v>
      </c>
      <c r="AC518" t="s">
        <v>465</v>
      </c>
      <c r="AF518" t="s">
        <v>413</v>
      </c>
      <c r="AG518" t="s">
        <v>195</v>
      </c>
      <c r="AH518" s="3">
        <v>208007.39</v>
      </c>
      <c r="AI518" s="3">
        <v>208007.39</v>
      </c>
      <c r="AJ518" s="1">
        <v>46096</v>
      </c>
      <c r="AN518" t="s">
        <v>172</v>
      </c>
      <c r="AR518" t="s">
        <v>1203</v>
      </c>
      <c r="AT518" t="s">
        <v>196</v>
      </c>
      <c r="AU518" t="s">
        <v>1073</v>
      </c>
      <c r="AW518">
        <v>0</v>
      </c>
      <c r="AX518" s="1">
        <v>46057</v>
      </c>
      <c r="AY518" s="2">
        <v>0.73667824074074073</v>
      </c>
      <c r="AZ518">
        <v>84133</v>
      </c>
      <c r="BA518" s="1">
        <v>44987</v>
      </c>
      <c r="BB518" s="1">
        <v>46043</v>
      </c>
      <c r="BC518" t="s">
        <v>0</v>
      </c>
      <c r="BD518" s="1">
        <v>46046</v>
      </c>
      <c r="BE518" t="s">
        <v>317</v>
      </c>
      <c r="BL518" s="4">
        <v>0</v>
      </c>
      <c r="BM518" s="1">
        <v>46808</v>
      </c>
      <c r="BN518" s="1">
        <v>46057</v>
      </c>
      <c r="BO518">
        <v>0</v>
      </c>
      <c r="BP518">
        <v>27743</v>
      </c>
      <c r="BQ518" t="s">
        <v>156</v>
      </c>
      <c r="BR518" s="3">
        <v>94995.31</v>
      </c>
      <c r="BS518" s="3">
        <v>55000</v>
      </c>
      <c r="BT518">
        <v>0</v>
      </c>
      <c r="BU518" s="3">
        <v>149995.31</v>
      </c>
      <c r="BV518" s="3">
        <v>208007.39</v>
      </c>
      <c r="BX518">
        <v>0</v>
      </c>
      <c r="BZ518">
        <v>0</v>
      </c>
      <c r="CA518">
        <v>0</v>
      </c>
      <c r="CB518">
        <v>0</v>
      </c>
      <c r="CC518" s="3">
        <v>208007.39</v>
      </c>
      <c r="CD518" s="5">
        <v>0</v>
      </c>
      <c r="CF518" s="6">
        <v>46054</v>
      </c>
      <c r="CH518">
        <v>0</v>
      </c>
      <c r="CI518">
        <v>0</v>
      </c>
      <c r="CJ518">
        <v>0</v>
      </c>
      <c r="CK518">
        <v>0</v>
      </c>
      <c r="CL518">
        <v>0</v>
      </c>
      <c r="CM518">
        <v>0</v>
      </c>
      <c r="CN518">
        <v>0</v>
      </c>
      <c r="CO518">
        <v>0</v>
      </c>
      <c r="CP518">
        <v>0</v>
      </c>
      <c r="CQ518">
        <v>0</v>
      </c>
      <c r="CR518">
        <v>0</v>
      </c>
      <c r="CS518" t="s">
        <v>360</v>
      </c>
      <c r="CT518" t="s">
        <v>214</v>
      </c>
      <c r="CU518" t="s">
        <v>2640</v>
      </c>
      <c r="CW518">
        <v>350.99619999999999</v>
      </c>
      <c r="CZ518" s="1">
        <v>46046</v>
      </c>
      <c r="DA518" t="s">
        <v>172</v>
      </c>
      <c r="DB518" t="s">
        <v>172</v>
      </c>
      <c r="DC518" t="s">
        <v>172</v>
      </c>
      <c r="DD518" t="s">
        <v>172</v>
      </c>
      <c r="DG518" s="1">
        <v>46046</v>
      </c>
      <c r="DH518">
        <v>0</v>
      </c>
      <c r="DI518">
        <v>0</v>
      </c>
      <c r="DJ518" s="1">
        <v>46057</v>
      </c>
      <c r="DL518" t="s">
        <v>215</v>
      </c>
      <c r="DM518" t="s">
        <v>172</v>
      </c>
      <c r="DN518" t="s">
        <v>201</v>
      </c>
      <c r="DV518" s="3">
        <v>208007.39</v>
      </c>
      <c r="DW518">
        <v>0</v>
      </c>
      <c r="DX518" s="3">
        <v>208007.39</v>
      </c>
      <c r="DY518">
        <v>0</v>
      </c>
      <c r="EF518" s="1">
        <v>46056</v>
      </c>
      <c r="EG518" s="1">
        <v>46055</v>
      </c>
      <c r="EK518" s="1">
        <v>46056</v>
      </c>
      <c r="EN518" t="s">
        <v>156</v>
      </c>
      <c r="EP518" s="1">
        <v>46050</v>
      </c>
      <c r="ET518" t="s">
        <v>699</v>
      </c>
      <c r="EU518" s="1">
        <v>46026</v>
      </c>
      <c r="EW518" s="1">
        <v>46046</v>
      </c>
    </row>
    <row r="519" spans="1:153" ht="217.5" x14ac:dyDescent="0.35">
      <c r="A519" t="str">
        <f>HYPERLINK("https://7lm.cvcrm.com.br/gestor/comercial/reservas/6601/administrar","6601")</f>
        <v>6601</v>
      </c>
      <c r="B519" t="s">
        <v>172</v>
      </c>
      <c r="C519" s="1">
        <v>46046</v>
      </c>
      <c r="D519" s="2">
        <v>0.47401620370370373</v>
      </c>
      <c r="E519" t="s">
        <v>527</v>
      </c>
      <c r="F519" t="s">
        <v>2451</v>
      </c>
      <c r="G519" t="s">
        <v>203</v>
      </c>
      <c r="H519" t="s">
        <v>336</v>
      </c>
      <c r="I519" t="s">
        <v>337</v>
      </c>
      <c r="J519">
        <v>1</v>
      </c>
      <c r="L519">
        <v>30061</v>
      </c>
      <c r="M519" t="s">
        <v>3037</v>
      </c>
      <c r="R519" t="str">
        <f>HYPERLINK("https://7lm.cvcrm.com.br/gestor/relatorios/associado/html?q[1|r.idreserva]=6601","MARCONE PIRES DA SILVA")</f>
        <v>MARCONE PIRES DA SILVA</v>
      </c>
      <c r="S519">
        <v>6515557108</v>
      </c>
      <c r="T519">
        <v>5561991481783</v>
      </c>
      <c r="V519" t="s">
        <v>3164</v>
      </c>
      <c r="W519" t="s">
        <v>187</v>
      </c>
      <c r="X519" t="s">
        <v>376</v>
      </c>
      <c r="Y519" t="s">
        <v>189</v>
      </c>
      <c r="Z519" t="s">
        <v>190</v>
      </c>
      <c r="AA519" t="s">
        <v>2258</v>
      </c>
      <c r="AB519" t="s">
        <v>3165</v>
      </c>
      <c r="AC519" t="s">
        <v>302</v>
      </c>
      <c r="AD519" t="s">
        <v>302</v>
      </c>
      <c r="AF519" t="s">
        <v>303</v>
      </c>
      <c r="AG519" t="s">
        <v>251</v>
      </c>
      <c r="AH519" s="3">
        <v>245001.51</v>
      </c>
      <c r="AI519" s="3">
        <v>245001.51</v>
      </c>
      <c r="AJ519" s="1">
        <v>46077</v>
      </c>
      <c r="AN519" t="s">
        <v>172</v>
      </c>
      <c r="AO519" t="s">
        <v>657</v>
      </c>
      <c r="AR519" s="7" t="s">
        <v>3166</v>
      </c>
      <c r="AT519" t="s">
        <v>196</v>
      </c>
      <c r="AU519" t="s">
        <v>292</v>
      </c>
      <c r="AW519">
        <v>0</v>
      </c>
      <c r="AX519" s="1">
        <v>46049</v>
      </c>
      <c r="AY519" s="2">
        <v>0.73372685185185182</v>
      </c>
      <c r="AZ519">
        <v>185588</v>
      </c>
      <c r="BA519" s="1">
        <v>46044</v>
      </c>
      <c r="BC519" t="s">
        <v>0</v>
      </c>
      <c r="BD519" s="1">
        <v>46046</v>
      </c>
      <c r="BE519" t="s">
        <v>262</v>
      </c>
      <c r="BL519" s="4">
        <v>0</v>
      </c>
      <c r="BM519" s="1">
        <v>46788</v>
      </c>
      <c r="BO519">
        <v>0</v>
      </c>
      <c r="BP519">
        <v>27795</v>
      </c>
      <c r="BQ519" t="s">
        <v>156</v>
      </c>
      <c r="BR519" s="3">
        <v>125890.51</v>
      </c>
      <c r="BS519" s="3">
        <v>34343</v>
      </c>
      <c r="BT519">
        <v>0</v>
      </c>
      <c r="BU519" s="3">
        <v>160233.51</v>
      </c>
      <c r="BV519" s="3">
        <v>245001.51</v>
      </c>
      <c r="BX519">
        <v>0</v>
      </c>
      <c r="BZ519">
        <v>0</v>
      </c>
      <c r="CA519">
        <v>0</v>
      </c>
      <c r="CB519">
        <v>0</v>
      </c>
      <c r="CC519" s="3">
        <v>245001.51</v>
      </c>
      <c r="CD519" s="5">
        <v>0</v>
      </c>
      <c r="CF519" s="6">
        <v>46023</v>
      </c>
      <c r="CH519">
        <v>0</v>
      </c>
      <c r="CI519">
        <v>0</v>
      </c>
      <c r="CJ519">
        <v>0</v>
      </c>
      <c r="CK519">
        <v>0</v>
      </c>
      <c r="CL519">
        <v>0</v>
      </c>
      <c r="CM519">
        <v>0</v>
      </c>
      <c r="CN519">
        <v>0</v>
      </c>
      <c r="CO519">
        <v>0</v>
      </c>
      <c r="CP519">
        <v>0</v>
      </c>
      <c r="CQ519">
        <v>0</v>
      </c>
      <c r="CR519">
        <v>0</v>
      </c>
      <c r="CT519" t="s">
        <v>190</v>
      </c>
      <c r="CU519" t="s">
        <v>337</v>
      </c>
      <c r="CW519">
        <v>0</v>
      </c>
      <c r="CZ519" s="1">
        <v>46046</v>
      </c>
      <c r="DA519" t="s">
        <v>172</v>
      </c>
      <c r="DB519" t="s">
        <v>172</v>
      </c>
      <c r="DC519" t="s">
        <v>172</v>
      </c>
      <c r="DD519" t="s">
        <v>172</v>
      </c>
      <c r="DG519" s="1">
        <v>46046</v>
      </c>
      <c r="DH519">
        <v>0</v>
      </c>
      <c r="DI519">
        <v>0</v>
      </c>
      <c r="DL519" t="s">
        <v>200</v>
      </c>
      <c r="DM519" t="s">
        <v>172</v>
      </c>
      <c r="DN519" t="s">
        <v>201</v>
      </c>
      <c r="DV519" s="3">
        <v>245001.51</v>
      </c>
      <c r="DW519">
        <v>0</v>
      </c>
      <c r="DX519" s="3">
        <v>245001.51</v>
      </c>
      <c r="DY519">
        <v>0</v>
      </c>
      <c r="EN519" t="s">
        <v>537</v>
      </c>
      <c r="ET519" t="s">
        <v>3167</v>
      </c>
    </row>
    <row r="520" spans="1:153" ht="188.5" x14ac:dyDescent="0.35">
      <c r="A520" t="str">
        <f>HYPERLINK("https://7lm.cvcrm.com.br/gestor/comercial/reservas/6600/administrar","6600")</f>
        <v>6600</v>
      </c>
      <c r="B520" t="s">
        <v>172</v>
      </c>
      <c r="C520" s="1">
        <v>46046</v>
      </c>
      <c r="D520" s="2">
        <v>0.44783564814814814</v>
      </c>
      <c r="E520" t="s">
        <v>527</v>
      </c>
      <c r="F520" t="s">
        <v>2451</v>
      </c>
      <c r="G520" t="s">
        <v>203</v>
      </c>
      <c r="H520" t="s">
        <v>528</v>
      </c>
      <c r="I520" t="s">
        <v>1081</v>
      </c>
      <c r="J520">
        <v>1</v>
      </c>
      <c r="L520">
        <v>30061</v>
      </c>
      <c r="M520" t="s">
        <v>3168</v>
      </c>
      <c r="R520" t="str">
        <f>HYPERLINK("https://7lm.cvcrm.com.br/gestor/relatorios/associado/html?q[1|r.idreserva]=6600","RYAN DE JESUS PIRES")</f>
        <v>RYAN DE JESUS PIRES</v>
      </c>
      <c r="S520">
        <v>4879787140</v>
      </c>
      <c r="T520">
        <v>5561999345218</v>
      </c>
      <c r="V520" t="s">
        <v>3169</v>
      </c>
      <c r="W520" t="s">
        <v>163</v>
      </c>
      <c r="X520" t="s">
        <v>288</v>
      </c>
      <c r="Y520" t="s">
        <v>189</v>
      </c>
      <c r="Z520" t="s">
        <v>842</v>
      </c>
      <c r="AA520" t="s">
        <v>3170</v>
      </c>
      <c r="AB520" t="s">
        <v>3171</v>
      </c>
      <c r="AC520" t="s">
        <v>3157</v>
      </c>
      <c r="AF520" t="s">
        <v>194</v>
      </c>
      <c r="AG520" t="s">
        <v>195</v>
      </c>
      <c r="AH520" s="3">
        <v>260000.12</v>
      </c>
      <c r="AI520" s="3">
        <v>260000.12</v>
      </c>
      <c r="AJ520" s="1">
        <v>46046</v>
      </c>
      <c r="AN520" t="s">
        <v>172</v>
      </c>
      <c r="AO520" t="s">
        <v>932</v>
      </c>
      <c r="AP520" t="s">
        <v>3172</v>
      </c>
      <c r="AR520" s="7" t="s">
        <v>3173</v>
      </c>
      <c r="AT520" t="s">
        <v>196</v>
      </c>
      <c r="AU520" t="s">
        <v>276</v>
      </c>
      <c r="AW520">
        <v>0</v>
      </c>
      <c r="AX520" s="1">
        <v>46066</v>
      </c>
      <c r="AY520" s="2">
        <v>0.37711805555555555</v>
      </c>
      <c r="AZ520">
        <v>149662</v>
      </c>
      <c r="BA520" s="1">
        <v>45706</v>
      </c>
      <c r="BC520" t="s">
        <v>0</v>
      </c>
      <c r="BD520" s="1">
        <v>46046</v>
      </c>
      <c r="BE520" t="s">
        <v>1421</v>
      </c>
      <c r="BL520" s="4">
        <v>0</v>
      </c>
      <c r="BM520" s="1">
        <v>46788</v>
      </c>
      <c r="BO520">
        <v>0</v>
      </c>
      <c r="BP520">
        <v>27841</v>
      </c>
      <c r="BQ520" t="s">
        <v>156</v>
      </c>
      <c r="BR520" s="3">
        <v>141531.92000000001</v>
      </c>
      <c r="BS520" s="3">
        <v>21585</v>
      </c>
      <c r="BT520">
        <v>0</v>
      </c>
      <c r="BU520" s="3">
        <v>163116.92000000001</v>
      </c>
      <c r="BV520" s="3">
        <v>260000.12</v>
      </c>
      <c r="BX520">
        <v>0</v>
      </c>
      <c r="BZ520">
        <v>0</v>
      </c>
      <c r="CA520">
        <v>0</v>
      </c>
      <c r="CB520">
        <v>0</v>
      </c>
      <c r="CC520" s="3">
        <v>260000.12</v>
      </c>
      <c r="CD520" s="5">
        <v>0</v>
      </c>
      <c r="CF520" s="6">
        <v>46054</v>
      </c>
      <c r="CH520">
        <v>0</v>
      </c>
      <c r="CI520">
        <v>0</v>
      </c>
      <c r="CJ520">
        <v>0</v>
      </c>
      <c r="CK520">
        <v>0</v>
      </c>
      <c r="CL520">
        <v>0</v>
      </c>
      <c r="CM520">
        <v>0</v>
      </c>
      <c r="CN520">
        <v>0</v>
      </c>
      <c r="CO520">
        <v>0</v>
      </c>
      <c r="CP520">
        <v>0</v>
      </c>
      <c r="CQ520">
        <v>0</v>
      </c>
      <c r="CR520">
        <v>0</v>
      </c>
      <c r="CT520" t="s">
        <v>190</v>
      </c>
      <c r="CU520" t="s">
        <v>1081</v>
      </c>
      <c r="CW520">
        <v>0</v>
      </c>
      <c r="CZ520" s="1">
        <v>46046</v>
      </c>
      <c r="DA520" t="s">
        <v>172</v>
      </c>
      <c r="DB520" t="s">
        <v>172</v>
      </c>
      <c r="DC520" t="s">
        <v>172</v>
      </c>
      <c r="DD520" t="s">
        <v>172</v>
      </c>
      <c r="DG520" s="1">
        <v>46046</v>
      </c>
      <c r="DH520">
        <v>0</v>
      </c>
      <c r="DI520">
        <v>0</v>
      </c>
      <c r="DL520" t="s">
        <v>200</v>
      </c>
      <c r="DM520" t="s">
        <v>172</v>
      </c>
      <c r="DN520" t="s">
        <v>511</v>
      </c>
      <c r="DU520" t="s">
        <v>2520</v>
      </c>
      <c r="DV520" s="3">
        <v>275799.88</v>
      </c>
      <c r="DW520">
        <v>-51.47</v>
      </c>
      <c r="DX520" s="3">
        <v>275799.88</v>
      </c>
      <c r="DY520">
        <v>-51.47</v>
      </c>
      <c r="EN520" t="s">
        <v>537</v>
      </c>
      <c r="ET520" t="s">
        <v>3174</v>
      </c>
      <c r="EU520" s="1">
        <v>46049</v>
      </c>
      <c r="EW520" s="1">
        <v>46046</v>
      </c>
    </row>
    <row r="521" spans="1:153" ht="246.5" x14ac:dyDescent="0.35">
      <c r="A521" t="str">
        <f>HYPERLINK("https://7lm.cvcrm.com.br/gestor/comercial/reservas/6599/administrar","6599")</f>
        <v>6599</v>
      </c>
      <c r="B521" t="s">
        <v>156</v>
      </c>
      <c r="C521" s="1">
        <v>46045</v>
      </c>
      <c r="D521" s="2">
        <v>0.94092592592592594</v>
      </c>
      <c r="E521" t="s">
        <v>294</v>
      </c>
      <c r="F521" t="s">
        <v>2451</v>
      </c>
      <c r="G521" t="s">
        <v>203</v>
      </c>
      <c r="H521" t="s">
        <v>217</v>
      </c>
      <c r="I521" t="s">
        <v>363</v>
      </c>
      <c r="J521">
        <v>1</v>
      </c>
      <c r="L521">
        <v>30061</v>
      </c>
      <c r="M521" t="s">
        <v>3175</v>
      </c>
      <c r="N521" s="1">
        <v>46050</v>
      </c>
      <c r="O521" s="2">
        <v>0.48488425925925926</v>
      </c>
      <c r="R521" t="str">
        <f>HYPERLINK("https://7lm.cvcrm.com.br/gestor/relatorios/associado/html?q[1|r.idreserva]=6599","VIVIAN PEREIRA DA SILVA")</f>
        <v>VIVIAN PEREIRA DA SILVA</v>
      </c>
      <c r="S521">
        <v>70490182100</v>
      </c>
      <c r="T521">
        <v>5562998370107</v>
      </c>
      <c r="V521" t="s">
        <v>3176</v>
      </c>
      <c r="W521" t="s">
        <v>187</v>
      </c>
      <c r="X521" t="s">
        <v>299</v>
      </c>
      <c r="AA521" t="s">
        <v>3177</v>
      </c>
      <c r="AB521" t="s">
        <v>3178</v>
      </c>
      <c r="AC521" t="s">
        <v>1104</v>
      </c>
      <c r="AF521" t="s">
        <v>303</v>
      </c>
      <c r="AG521" t="s">
        <v>251</v>
      </c>
      <c r="AH521" s="3">
        <v>240229.37</v>
      </c>
      <c r="AI521" s="3">
        <v>240229.37</v>
      </c>
      <c r="AJ521" s="1">
        <v>46096</v>
      </c>
      <c r="AN521" t="s">
        <v>172</v>
      </c>
      <c r="AR521" s="7" t="s">
        <v>353</v>
      </c>
      <c r="AT521" t="s">
        <v>196</v>
      </c>
      <c r="AU521" t="s">
        <v>292</v>
      </c>
      <c r="AW521">
        <v>0</v>
      </c>
      <c r="AX521" s="1">
        <v>46073</v>
      </c>
      <c r="AY521" s="2">
        <v>0.48569444444444443</v>
      </c>
      <c r="AZ521">
        <v>185133</v>
      </c>
      <c r="BA521" s="1">
        <v>46042</v>
      </c>
      <c r="BC521" t="s">
        <v>0</v>
      </c>
      <c r="BD521" s="1">
        <v>46045</v>
      </c>
      <c r="BE521" t="s">
        <v>198</v>
      </c>
      <c r="BL521" s="4">
        <v>0</v>
      </c>
      <c r="BM521" s="1">
        <v>46788</v>
      </c>
      <c r="BN521" s="1">
        <v>46073</v>
      </c>
      <c r="BO521">
        <v>0</v>
      </c>
      <c r="BP521">
        <v>27717</v>
      </c>
      <c r="BQ521" t="s">
        <v>156</v>
      </c>
      <c r="BR521" s="3">
        <v>125567.59</v>
      </c>
      <c r="BS521" s="3">
        <v>32369</v>
      </c>
      <c r="BT521">
        <v>0</v>
      </c>
      <c r="BU521" s="3">
        <v>157936.59</v>
      </c>
      <c r="BV521" s="3">
        <v>240229.37</v>
      </c>
      <c r="BX521">
        <v>0</v>
      </c>
      <c r="BZ521">
        <v>0</v>
      </c>
      <c r="CA521">
        <v>0</v>
      </c>
      <c r="CB521">
        <v>0</v>
      </c>
      <c r="CC521" s="3">
        <v>240229.37</v>
      </c>
      <c r="CD521" s="5">
        <v>0</v>
      </c>
      <c r="CF521" s="6">
        <v>46054</v>
      </c>
      <c r="CH521">
        <v>0</v>
      </c>
      <c r="CI521">
        <v>0</v>
      </c>
      <c r="CJ521">
        <v>0</v>
      </c>
      <c r="CK521">
        <v>0</v>
      </c>
      <c r="CL521">
        <v>0</v>
      </c>
      <c r="CM521">
        <v>0</v>
      </c>
      <c r="CN521">
        <v>0</v>
      </c>
      <c r="CO521">
        <v>0</v>
      </c>
      <c r="CP521">
        <v>0</v>
      </c>
      <c r="CQ521">
        <v>0</v>
      </c>
      <c r="CR521">
        <v>0</v>
      </c>
      <c r="CS521" t="s">
        <v>360</v>
      </c>
      <c r="CT521" t="s">
        <v>190</v>
      </c>
      <c r="CU521" t="s">
        <v>363</v>
      </c>
      <c r="CW521">
        <v>424.51830000000001</v>
      </c>
      <c r="CZ521" s="1">
        <v>46045</v>
      </c>
      <c r="DA521" t="s">
        <v>172</v>
      </c>
      <c r="DB521" t="s">
        <v>172</v>
      </c>
      <c r="DC521" t="s">
        <v>172</v>
      </c>
      <c r="DD521" t="s">
        <v>172</v>
      </c>
      <c r="DG521" s="1">
        <v>46045</v>
      </c>
      <c r="DH521">
        <v>0</v>
      </c>
      <c r="DI521">
        <v>0</v>
      </c>
      <c r="DL521" t="s">
        <v>200</v>
      </c>
      <c r="DM521" t="s">
        <v>172</v>
      </c>
      <c r="DN521" t="s">
        <v>201</v>
      </c>
      <c r="DP521" s="8">
        <v>0.01</v>
      </c>
      <c r="DV521" s="3">
        <v>240229.37</v>
      </c>
      <c r="DW521">
        <v>0</v>
      </c>
      <c r="DX521" s="3">
        <v>240229.37</v>
      </c>
      <c r="DY521">
        <v>0</v>
      </c>
      <c r="EF521" s="1">
        <v>46050</v>
      </c>
      <c r="EG521" s="1">
        <v>46049</v>
      </c>
      <c r="EK521" s="1">
        <v>46050</v>
      </c>
      <c r="EL521" s="1">
        <v>46050</v>
      </c>
      <c r="EM521" s="1">
        <v>46050</v>
      </c>
      <c r="EN521" t="s">
        <v>156</v>
      </c>
      <c r="EP521" s="1">
        <v>46049</v>
      </c>
      <c r="ER521" s="1">
        <v>46048</v>
      </c>
      <c r="ES521" t="s">
        <v>3179</v>
      </c>
      <c r="EW521" s="1">
        <v>46045</v>
      </c>
    </row>
    <row r="522" spans="1:153" x14ac:dyDescent="0.35">
      <c r="A522" t="str">
        <f>HYPERLINK("https://7lm.cvcrm.com.br/gestor/comercial/reservas/6598/administrar","6598")</f>
        <v>6598</v>
      </c>
      <c r="B522" t="s">
        <v>172</v>
      </c>
      <c r="C522" s="1">
        <v>46045</v>
      </c>
      <c r="D522" s="2">
        <v>0.78435185185185186</v>
      </c>
      <c r="E522" t="s">
        <v>527</v>
      </c>
      <c r="F522" t="s">
        <v>957</v>
      </c>
      <c r="G522" t="s">
        <v>159</v>
      </c>
      <c r="H522" t="s">
        <v>183</v>
      </c>
      <c r="I522" t="s">
        <v>2439</v>
      </c>
      <c r="J522">
        <v>1</v>
      </c>
      <c r="L522">
        <v>30121</v>
      </c>
      <c r="M522" t="s">
        <v>2995</v>
      </c>
      <c r="R522" t="str">
        <f>HYPERLINK("https://7lm.cvcrm.com.br/gestor/relatorios/associado/html?q[1|r.idreserva]=6598","BRUNA ALVES DOS SANTOS")</f>
        <v>BRUNA ALVES DOS SANTOS</v>
      </c>
      <c r="S522">
        <v>5867478181</v>
      </c>
      <c r="T522">
        <v>5535997167326</v>
      </c>
      <c r="V522" t="s">
        <v>3133</v>
      </c>
      <c r="W522" t="s">
        <v>187</v>
      </c>
      <c r="X522" t="s">
        <v>299</v>
      </c>
      <c r="Y522" t="s">
        <v>189</v>
      </c>
      <c r="Z522" t="s">
        <v>190</v>
      </c>
      <c r="AA522" t="s">
        <v>707</v>
      </c>
      <c r="AB522" t="s">
        <v>3134</v>
      </c>
      <c r="AC522" t="s">
        <v>665</v>
      </c>
      <c r="AD522" t="s">
        <v>665</v>
      </c>
      <c r="AF522" t="s">
        <v>250</v>
      </c>
      <c r="AG522" t="s">
        <v>251</v>
      </c>
      <c r="AH522" s="3">
        <v>246000</v>
      </c>
      <c r="AI522" s="3">
        <v>246000</v>
      </c>
      <c r="AJ522" s="1">
        <v>46068</v>
      </c>
      <c r="AN522" t="s">
        <v>172</v>
      </c>
      <c r="AO522" t="s">
        <v>725</v>
      </c>
      <c r="AP522" t="s">
        <v>2989</v>
      </c>
      <c r="AR522" t="s">
        <v>3180</v>
      </c>
      <c r="AT522" t="s">
        <v>173</v>
      </c>
      <c r="AU522" t="s">
        <v>175</v>
      </c>
      <c r="AW522">
        <v>0</v>
      </c>
      <c r="AX522" s="1">
        <v>46049</v>
      </c>
      <c r="AY522" s="2">
        <v>0.73239583333333336</v>
      </c>
      <c r="AZ522">
        <v>149498</v>
      </c>
      <c r="BA522" s="1">
        <v>45705</v>
      </c>
      <c r="BC522" t="s">
        <v>0</v>
      </c>
      <c r="BD522" s="1">
        <v>46048</v>
      </c>
      <c r="BE522" t="s">
        <v>317</v>
      </c>
      <c r="BL522" s="4">
        <v>0</v>
      </c>
      <c r="BM522" s="1">
        <v>47031</v>
      </c>
      <c r="BO522">
        <v>0</v>
      </c>
      <c r="BP522">
        <v>27863</v>
      </c>
      <c r="BQ522" t="s">
        <v>156</v>
      </c>
      <c r="BR522">
        <v>0</v>
      </c>
      <c r="BS522">
        <v>0</v>
      </c>
      <c r="BT522">
        <v>0</v>
      </c>
      <c r="BU522">
        <v>0</v>
      </c>
      <c r="BV522" s="3">
        <v>246000</v>
      </c>
      <c r="BX522">
        <v>0</v>
      </c>
      <c r="BZ522">
        <v>0</v>
      </c>
      <c r="CA522">
        <v>0</v>
      </c>
      <c r="CB522">
        <v>0</v>
      </c>
      <c r="CC522" s="3">
        <v>246000</v>
      </c>
      <c r="CD522" s="5">
        <v>0</v>
      </c>
      <c r="CF522" s="6">
        <v>46023</v>
      </c>
      <c r="CH522">
        <v>0</v>
      </c>
      <c r="CI522">
        <v>0</v>
      </c>
      <c r="CJ522">
        <v>0</v>
      </c>
      <c r="CK522">
        <v>0</v>
      </c>
      <c r="CL522">
        <v>0</v>
      </c>
      <c r="CM522">
        <v>0</v>
      </c>
      <c r="CN522">
        <v>0</v>
      </c>
      <c r="CO522">
        <v>0</v>
      </c>
      <c r="CP522">
        <v>0</v>
      </c>
      <c r="CQ522">
        <v>0</v>
      </c>
      <c r="CR522">
        <v>0</v>
      </c>
      <c r="CT522" t="s">
        <v>190</v>
      </c>
      <c r="CU522" t="s">
        <v>2439</v>
      </c>
      <c r="CW522">
        <v>0</v>
      </c>
      <c r="CZ522" s="1">
        <v>46045</v>
      </c>
      <c r="DA522" t="s">
        <v>172</v>
      </c>
      <c r="DB522" t="s">
        <v>172</v>
      </c>
      <c r="DC522" t="s">
        <v>172</v>
      </c>
      <c r="DD522" t="s">
        <v>172</v>
      </c>
      <c r="DG522" s="1">
        <v>46045</v>
      </c>
      <c r="DH522">
        <v>0</v>
      </c>
      <c r="DI522">
        <v>0</v>
      </c>
      <c r="DL522" t="s">
        <v>963</v>
      </c>
      <c r="DM522" t="s">
        <v>172</v>
      </c>
      <c r="DN522" t="s">
        <v>225</v>
      </c>
      <c r="DV522" s="3">
        <v>246000</v>
      </c>
      <c r="DW522">
        <v>0</v>
      </c>
      <c r="DX522" s="3">
        <v>246000</v>
      </c>
      <c r="DY522">
        <v>0</v>
      </c>
      <c r="EN522" t="s">
        <v>537</v>
      </c>
      <c r="ET522" t="s">
        <v>3181</v>
      </c>
    </row>
    <row r="523" spans="1:153" ht="246.5" x14ac:dyDescent="0.35">
      <c r="A523" t="str">
        <f>HYPERLINK("https://7lm.cvcrm.com.br/gestor/comercial/reservas/6597/administrar","6597")</f>
        <v>6597</v>
      </c>
      <c r="B523" t="s">
        <v>156</v>
      </c>
      <c r="C523" s="1">
        <v>46045</v>
      </c>
      <c r="D523" s="2">
        <v>0.78090277777777772</v>
      </c>
      <c r="E523" t="s">
        <v>294</v>
      </c>
      <c r="F523" t="s">
        <v>202</v>
      </c>
      <c r="G523" t="s">
        <v>203</v>
      </c>
      <c r="H523" t="s">
        <v>528</v>
      </c>
      <c r="I523" t="s">
        <v>2394</v>
      </c>
      <c r="J523">
        <v>1</v>
      </c>
      <c r="L523">
        <v>20031</v>
      </c>
      <c r="M523" t="s">
        <v>3182</v>
      </c>
      <c r="N523" s="1">
        <v>46046</v>
      </c>
      <c r="O523" s="2">
        <v>0.40527777777777779</v>
      </c>
      <c r="R523" t="str">
        <f>HYPERLINK("https://7lm.cvcrm.com.br/gestor/relatorios/associado/html?q[1|r.idreserva]=6597","ANDRE LUIZ EVANGELISTA DE SOUZA")</f>
        <v>ANDRE LUIZ EVANGELISTA DE SOUZA</v>
      </c>
      <c r="S523">
        <v>74029142168</v>
      </c>
      <c r="T523">
        <v>5561981141320</v>
      </c>
      <c r="V523" t="s">
        <v>3183</v>
      </c>
      <c r="W523" t="s">
        <v>187</v>
      </c>
      <c r="X523" t="s">
        <v>521</v>
      </c>
      <c r="Y523" t="s">
        <v>189</v>
      </c>
      <c r="Z523" t="s">
        <v>214</v>
      </c>
      <c r="AA523" t="s">
        <v>872</v>
      </c>
      <c r="AB523" t="s">
        <v>3184</v>
      </c>
      <c r="AC523" t="s">
        <v>388</v>
      </c>
      <c r="AF523" t="s">
        <v>389</v>
      </c>
      <c r="AG523" t="s">
        <v>195</v>
      </c>
      <c r="AH523" s="3">
        <v>207716.73</v>
      </c>
      <c r="AI523" s="3">
        <v>207716.73</v>
      </c>
      <c r="AJ523" s="1">
        <v>46076</v>
      </c>
      <c r="AN523" t="s">
        <v>172</v>
      </c>
      <c r="AR523" s="7" t="s">
        <v>353</v>
      </c>
      <c r="AT523" t="s">
        <v>196</v>
      </c>
      <c r="AU523" t="s">
        <v>292</v>
      </c>
      <c r="AW523">
        <v>0</v>
      </c>
      <c r="AX523" s="1">
        <v>46073</v>
      </c>
      <c r="AY523" s="2">
        <v>0.49391203703703701</v>
      </c>
      <c r="AZ523" t="s">
        <v>3185</v>
      </c>
      <c r="BA523" t="s">
        <v>3186</v>
      </c>
      <c r="BB523" t="s">
        <v>356</v>
      </c>
      <c r="BC523" t="s">
        <v>3187</v>
      </c>
      <c r="BD523" t="s">
        <v>3186</v>
      </c>
      <c r="BE523" t="s">
        <v>3188</v>
      </c>
      <c r="BL523" s="4">
        <v>0</v>
      </c>
      <c r="BM523" s="1">
        <v>46808</v>
      </c>
      <c r="BN523" s="1">
        <v>46073</v>
      </c>
      <c r="BO523">
        <v>0</v>
      </c>
      <c r="BP523">
        <v>27742</v>
      </c>
      <c r="BQ523" t="s">
        <v>156</v>
      </c>
      <c r="BR523" s="3">
        <v>131511.73000000001</v>
      </c>
      <c r="BS523" s="3">
        <v>20805</v>
      </c>
      <c r="BT523">
        <v>0</v>
      </c>
      <c r="BU523" s="3">
        <v>152316.73000000001</v>
      </c>
      <c r="BV523" s="3">
        <v>207716.73</v>
      </c>
      <c r="BX523">
        <v>0</v>
      </c>
      <c r="BZ523">
        <v>0</v>
      </c>
      <c r="CA523">
        <v>0</v>
      </c>
      <c r="CB523">
        <v>0</v>
      </c>
      <c r="CC523" s="3">
        <v>207716.73</v>
      </c>
      <c r="CD523" s="5">
        <v>0</v>
      </c>
      <c r="CF523" s="6">
        <v>46054</v>
      </c>
      <c r="CH523">
        <v>0</v>
      </c>
      <c r="CI523">
        <v>0</v>
      </c>
      <c r="CJ523">
        <v>0</v>
      </c>
      <c r="CK523">
        <v>0</v>
      </c>
      <c r="CL523">
        <v>0</v>
      </c>
      <c r="CM523">
        <v>0</v>
      </c>
      <c r="CN523">
        <v>0</v>
      </c>
      <c r="CO523">
        <v>0</v>
      </c>
      <c r="CP523">
        <v>0</v>
      </c>
      <c r="CQ523">
        <v>0</v>
      </c>
      <c r="CR523">
        <v>0</v>
      </c>
      <c r="CS523" t="s">
        <v>2497</v>
      </c>
      <c r="CT523" t="s">
        <v>214</v>
      </c>
      <c r="CU523" t="s">
        <v>2394</v>
      </c>
      <c r="CW523">
        <v>338.22089999999997</v>
      </c>
      <c r="CZ523" s="1">
        <v>46045</v>
      </c>
      <c r="DA523" t="s">
        <v>172</v>
      </c>
      <c r="DB523" t="s">
        <v>172</v>
      </c>
      <c r="DC523" t="s">
        <v>172</v>
      </c>
      <c r="DD523" t="s">
        <v>172</v>
      </c>
      <c r="DG523" s="1">
        <v>46045</v>
      </c>
      <c r="DH523">
        <v>0</v>
      </c>
      <c r="DI523">
        <v>0</v>
      </c>
      <c r="DL523" t="s">
        <v>224</v>
      </c>
      <c r="DM523" t="s">
        <v>172</v>
      </c>
      <c r="DN523" t="s">
        <v>201</v>
      </c>
      <c r="DV523" s="3">
        <v>207716.73</v>
      </c>
      <c r="DW523">
        <v>0</v>
      </c>
      <c r="DX523" s="3">
        <v>207716.73</v>
      </c>
      <c r="DY523">
        <v>0</v>
      </c>
      <c r="EF523" s="1">
        <v>46065</v>
      </c>
      <c r="EG523" s="1">
        <v>46064</v>
      </c>
      <c r="EK523" s="1">
        <v>46065</v>
      </c>
      <c r="EL523" s="1">
        <v>46065</v>
      </c>
      <c r="EM523" s="1">
        <v>46064</v>
      </c>
      <c r="EN523" t="s">
        <v>156</v>
      </c>
      <c r="EP523" s="1">
        <v>46063</v>
      </c>
      <c r="EU523" s="1">
        <v>46063</v>
      </c>
      <c r="EW523" s="1">
        <v>46045</v>
      </c>
    </row>
    <row r="524" spans="1:153" ht="58" x14ac:dyDescent="0.35">
      <c r="A524" t="str">
        <f>HYPERLINK("https://7lm.cvcrm.com.br/gestor/comercial/reservas/6596/administrar","6596")</f>
        <v>6596</v>
      </c>
      <c r="B524" t="s">
        <v>156</v>
      </c>
      <c r="C524" s="1">
        <v>46045</v>
      </c>
      <c r="D524" s="2">
        <v>0.73678240740740741</v>
      </c>
      <c r="E524" t="s">
        <v>294</v>
      </c>
      <c r="F524" t="s">
        <v>226</v>
      </c>
      <c r="G524" t="s">
        <v>159</v>
      </c>
      <c r="H524" t="s">
        <v>252</v>
      </c>
      <c r="I524" t="s">
        <v>2001</v>
      </c>
      <c r="J524">
        <v>1</v>
      </c>
      <c r="L524">
        <v>10031</v>
      </c>
      <c r="M524" t="s">
        <v>3189</v>
      </c>
      <c r="N524" s="1">
        <v>46045</v>
      </c>
      <c r="O524" s="2">
        <v>0.74233796296296295</v>
      </c>
      <c r="R524" t="str">
        <f>HYPERLINK("https://7lm.cvcrm.com.br/gestor/relatorios/associado/html?q[1|r.idreserva]=6596","GABRIEL LIRA MOTA FIGUEIREDO")</f>
        <v>GABRIEL LIRA MOTA FIGUEIREDO</v>
      </c>
      <c r="S524">
        <v>72338830172</v>
      </c>
      <c r="T524">
        <v>5561982372461</v>
      </c>
      <c r="U524">
        <v>5561982372461</v>
      </c>
      <c r="V524" t="s">
        <v>3190</v>
      </c>
      <c r="W524" t="s">
        <v>163</v>
      </c>
      <c r="X524" t="s">
        <v>3191</v>
      </c>
      <c r="Y524" t="s">
        <v>165</v>
      </c>
      <c r="Z524" t="s">
        <v>257</v>
      </c>
      <c r="AA524" t="s">
        <v>324</v>
      </c>
      <c r="AB524" t="s">
        <v>3192</v>
      </c>
      <c r="AC524" t="s">
        <v>169</v>
      </c>
      <c r="AE524" t="s">
        <v>169</v>
      </c>
      <c r="AF524" t="s">
        <v>170</v>
      </c>
      <c r="AG524" t="s">
        <v>195</v>
      </c>
      <c r="AH524" s="3">
        <v>400000</v>
      </c>
      <c r="AI524" s="3">
        <v>400000</v>
      </c>
      <c r="AJ524" s="1">
        <v>46045</v>
      </c>
      <c r="AN524" t="s">
        <v>172</v>
      </c>
      <c r="AR524" s="7" t="s">
        <v>3193</v>
      </c>
      <c r="AT524" t="s">
        <v>196</v>
      </c>
      <c r="AU524" t="s">
        <v>590</v>
      </c>
      <c r="AW524">
        <v>0</v>
      </c>
      <c r="AX524" s="1">
        <v>46087</v>
      </c>
      <c r="AY524" s="2">
        <v>0.47012731481481479</v>
      </c>
      <c r="AZ524">
        <v>184782</v>
      </c>
      <c r="BA524" s="1">
        <v>46040</v>
      </c>
      <c r="BC524" t="s">
        <v>0</v>
      </c>
      <c r="BD524" s="1">
        <v>46045</v>
      </c>
      <c r="BE524" t="s">
        <v>817</v>
      </c>
      <c r="BL524" s="4">
        <v>0</v>
      </c>
      <c r="BM524" s="1">
        <v>46698</v>
      </c>
      <c r="BN524" s="1">
        <v>46087</v>
      </c>
      <c r="BO524">
        <v>0</v>
      </c>
      <c r="BP524">
        <v>27604</v>
      </c>
      <c r="BQ524" t="s">
        <v>156</v>
      </c>
      <c r="BR524" s="3">
        <v>329630.89</v>
      </c>
      <c r="BS524">
        <v>0</v>
      </c>
      <c r="BT524">
        <v>0</v>
      </c>
      <c r="BU524" s="3">
        <v>329630.89</v>
      </c>
      <c r="BV524" s="3">
        <v>400000</v>
      </c>
      <c r="BX524">
        <v>0</v>
      </c>
      <c r="BZ524">
        <v>0</v>
      </c>
      <c r="CA524">
        <v>0</v>
      </c>
      <c r="CB524">
        <v>0</v>
      </c>
      <c r="CC524" s="3">
        <v>400000</v>
      </c>
      <c r="CD524" s="5">
        <v>0</v>
      </c>
      <c r="CF524" s="6">
        <v>46082</v>
      </c>
      <c r="CH524">
        <v>0</v>
      </c>
      <c r="CI524">
        <v>0</v>
      </c>
      <c r="CJ524">
        <v>0</v>
      </c>
      <c r="CK524">
        <v>0</v>
      </c>
      <c r="CL524">
        <v>0</v>
      </c>
      <c r="CM524">
        <v>0</v>
      </c>
      <c r="CN524">
        <v>0</v>
      </c>
      <c r="CO524">
        <v>0</v>
      </c>
      <c r="CP524">
        <v>0</v>
      </c>
      <c r="CQ524">
        <v>0</v>
      </c>
      <c r="CR524">
        <v>0</v>
      </c>
      <c r="CS524" t="s">
        <v>177</v>
      </c>
      <c r="CT524" t="s">
        <v>238</v>
      </c>
      <c r="CU524" t="s">
        <v>2001</v>
      </c>
      <c r="CW524">
        <v>0</v>
      </c>
      <c r="CX524" t="s">
        <v>170</v>
      </c>
      <c r="CZ524" s="1">
        <v>46045</v>
      </c>
      <c r="DA524" t="s">
        <v>172</v>
      </c>
      <c r="DB524" t="s">
        <v>172</v>
      </c>
      <c r="DC524" t="s">
        <v>172</v>
      </c>
      <c r="DD524" t="s">
        <v>172</v>
      </c>
      <c r="DG524" s="1">
        <v>46045</v>
      </c>
      <c r="DH524">
        <v>0</v>
      </c>
      <c r="DI524">
        <v>0</v>
      </c>
      <c r="DL524" t="s">
        <v>263</v>
      </c>
      <c r="DM524" t="s">
        <v>172</v>
      </c>
      <c r="DN524" t="s">
        <v>264</v>
      </c>
      <c r="DU524" t="s">
        <v>240</v>
      </c>
      <c r="DV524" s="3">
        <v>720000</v>
      </c>
      <c r="DW524">
        <v>-64.290000000000006</v>
      </c>
      <c r="DX524" s="3">
        <v>720000</v>
      </c>
      <c r="DY524">
        <v>-64.290000000000006</v>
      </c>
    </row>
    <row r="525" spans="1:153" ht="246.5" x14ac:dyDescent="0.35">
      <c r="A525" t="str">
        <f>HYPERLINK("https://7lm.cvcrm.com.br/gestor/comercial/reservas/6595/administrar","6595")</f>
        <v>6595</v>
      </c>
      <c r="B525" t="s">
        <v>156</v>
      </c>
      <c r="C525" s="1">
        <v>46045</v>
      </c>
      <c r="D525" s="2">
        <v>0.68965277777777778</v>
      </c>
      <c r="E525" t="s">
        <v>294</v>
      </c>
      <c r="F525" t="s">
        <v>458</v>
      </c>
      <c r="G525" t="s">
        <v>203</v>
      </c>
      <c r="H525" t="s">
        <v>513</v>
      </c>
      <c r="I525" t="s">
        <v>514</v>
      </c>
      <c r="J525">
        <v>1</v>
      </c>
      <c r="L525">
        <v>20001</v>
      </c>
      <c r="M525" t="s">
        <v>3194</v>
      </c>
      <c r="N525" s="1">
        <v>46064</v>
      </c>
      <c r="O525" s="2">
        <v>0.57763888888888892</v>
      </c>
      <c r="R525" t="str">
        <f>HYPERLINK("https://7lm.cvcrm.com.br/gestor/relatorios/associado/html?q[1|r.idreserva]=6595","MARIE NICOLE COLOMB")</f>
        <v>MARIE NICOLE COLOMB</v>
      </c>
      <c r="S525">
        <v>70889033188</v>
      </c>
      <c r="T525">
        <v>5561996378303</v>
      </c>
      <c r="V525" t="s">
        <v>3195</v>
      </c>
      <c r="W525" t="s">
        <v>187</v>
      </c>
      <c r="Y525" t="s">
        <v>189</v>
      </c>
      <c r="Z525" t="s">
        <v>214</v>
      </c>
      <c r="AA525" t="s">
        <v>3196</v>
      </c>
      <c r="AB525" t="s">
        <v>3197</v>
      </c>
      <c r="AC525" t="s">
        <v>1553</v>
      </c>
      <c r="AF525" t="s">
        <v>634</v>
      </c>
      <c r="AG525" t="s">
        <v>195</v>
      </c>
      <c r="AH525" s="3">
        <v>224471.95</v>
      </c>
      <c r="AI525" s="3">
        <v>224471.95</v>
      </c>
      <c r="AJ525" s="1">
        <v>46058</v>
      </c>
      <c r="AN525" t="s">
        <v>172</v>
      </c>
      <c r="AR525" s="7" t="s">
        <v>353</v>
      </c>
      <c r="AT525" t="s">
        <v>196</v>
      </c>
      <c r="AU525" t="s">
        <v>316</v>
      </c>
      <c r="AW525">
        <v>0</v>
      </c>
      <c r="AX525" s="1">
        <v>46079</v>
      </c>
      <c r="AY525" s="2">
        <v>0.38434027777777779</v>
      </c>
      <c r="AZ525">
        <v>185638</v>
      </c>
      <c r="BA525" s="1">
        <v>46044</v>
      </c>
      <c r="BC525" t="s">
        <v>0</v>
      </c>
      <c r="BD525" s="1">
        <v>46045</v>
      </c>
      <c r="BE525" t="s">
        <v>940</v>
      </c>
      <c r="BL525" s="4">
        <v>0</v>
      </c>
      <c r="BM525" s="1">
        <v>46572</v>
      </c>
      <c r="BN525" s="1">
        <v>46079</v>
      </c>
      <c r="BO525">
        <v>0</v>
      </c>
      <c r="BP525">
        <v>27805</v>
      </c>
      <c r="BQ525" t="s">
        <v>156</v>
      </c>
      <c r="BR525" s="3">
        <v>113696.71</v>
      </c>
      <c r="BS525" s="3">
        <v>47069</v>
      </c>
      <c r="BT525">
        <v>0</v>
      </c>
      <c r="BU525" s="3">
        <v>160765.71</v>
      </c>
      <c r="BV525" s="3">
        <v>224471.95</v>
      </c>
      <c r="BX525">
        <v>0</v>
      </c>
      <c r="BZ525">
        <v>0</v>
      </c>
      <c r="CA525">
        <v>0</v>
      </c>
      <c r="CB525">
        <v>0</v>
      </c>
      <c r="CC525" s="3">
        <v>224471.95</v>
      </c>
      <c r="CD525" s="5">
        <v>0</v>
      </c>
      <c r="CE525" t="s">
        <v>467</v>
      </c>
      <c r="CF525" s="6">
        <v>46054</v>
      </c>
      <c r="CH525">
        <v>0</v>
      </c>
      <c r="CI525">
        <v>0</v>
      </c>
      <c r="CJ525">
        <v>0</v>
      </c>
      <c r="CK525">
        <v>0</v>
      </c>
      <c r="CL525">
        <v>0</v>
      </c>
      <c r="CM525">
        <v>0</v>
      </c>
      <c r="CN525">
        <v>0</v>
      </c>
      <c r="CO525">
        <v>0</v>
      </c>
      <c r="CP525">
        <v>0</v>
      </c>
      <c r="CQ525">
        <v>0</v>
      </c>
      <c r="CR525">
        <v>0</v>
      </c>
      <c r="CS525" t="s">
        <v>360</v>
      </c>
      <c r="CT525" t="s">
        <v>214</v>
      </c>
      <c r="CU525" t="s">
        <v>514</v>
      </c>
      <c r="CW525">
        <v>0</v>
      </c>
      <c r="CZ525" s="1">
        <v>46045</v>
      </c>
      <c r="DA525" t="s">
        <v>172</v>
      </c>
      <c r="DB525" t="s">
        <v>172</v>
      </c>
      <c r="DC525" t="s">
        <v>172</v>
      </c>
      <c r="DD525" t="s">
        <v>172</v>
      </c>
      <c r="DG525" s="1">
        <v>46045</v>
      </c>
      <c r="DH525">
        <v>0</v>
      </c>
      <c r="DI525">
        <v>0</v>
      </c>
      <c r="DL525" t="s">
        <v>200</v>
      </c>
      <c r="DM525" t="s">
        <v>172</v>
      </c>
      <c r="DN525" t="s">
        <v>201</v>
      </c>
      <c r="DV525" s="3">
        <v>224471.95</v>
      </c>
      <c r="DW525">
        <v>0</v>
      </c>
      <c r="DX525" s="3">
        <v>224471.95</v>
      </c>
      <c r="DY525">
        <v>0</v>
      </c>
      <c r="EG525" s="1">
        <v>46062</v>
      </c>
      <c r="EK525" s="1">
        <v>46064</v>
      </c>
      <c r="EL525" s="1">
        <v>46064</v>
      </c>
      <c r="EM525" s="1">
        <v>46073</v>
      </c>
      <c r="EN525" t="s">
        <v>156</v>
      </c>
      <c r="EP525" s="1">
        <v>46071</v>
      </c>
      <c r="EU525" s="1">
        <v>46072</v>
      </c>
      <c r="EW525" s="1">
        <v>46045</v>
      </c>
    </row>
    <row r="526" spans="1:153" x14ac:dyDescent="0.35">
      <c r="A526" t="str">
        <f>HYPERLINK("https://7lm.cvcrm.com.br/gestor/comercial/reservas/6594/administrar","6594")</f>
        <v>6594</v>
      </c>
      <c r="B526" t="s">
        <v>156</v>
      </c>
      <c r="C526" s="1">
        <v>46045</v>
      </c>
      <c r="D526" s="2">
        <v>0.61212962962962958</v>
      </c>
      <c r="E526" t="s">
        <v>294</v>
      </c>
      <c r="F526" t="s">
        <v>2451</v>
      </c>
      <c r="G526" t="s">
        <v>203</v>
      </c>
      <c r="H526" t="s">
        <v>217</v>
      </c>
      <c r="I526" t="s">
        <v>1736</v>
      </c>
      <c r="J526">
        <v>1</v>
      </c>
      <c r="L526">
        <v>30061</v>
      </c>
      <c r="M526" t="s">
        <v>3198</v>
      </c>
      <c r="N526" s="1">
        <v>46051</v>
      </c>
      <c r="O526" s="2">
        <v>0.42324074074074075</v>
      </c>
      <c r="R526" t="str">
        <f>HYPERLINK("https://7lm.cvcrm.com.br/gestor/relatorios/associado/html?q[1|r.idreserva]=6594","WELYTON RICARDO DOURADO JUNIOR")</f>
        <v>WELYTON RICARDO DOURADO JUNIOR</v>
      </c>
      <c r="S526">
        <v>8412297598</v>
      </c>
      <c r="T526">
        <v>5561996421658</v>
      </c>
      <c r="V526" t="s">
        <v>3199</v>
      </c>
      <c r="W526" t="s">
        <v>163</v>
      </c>
      <c r="X526" t="s">
        <v>3200</v>
      </c>
      <c r="Y526" t="s">
        <v>189</v>
      </c>
      <c r="Z526" t="s">
        <v>190</v>
      </c>
      <c r="AA526" t="s">
        <v>1308</v>
      </c>
      <c r="AB526" t="s">
        <v>3201</v>
      </c>
      <c r="AC526" t="s">
        <v>881</v>
      </c>
      <c r="AD526" t="s">
        <v>881</v>
      </c>
      <c r="AF526" t="s">
        <v>303</v>
      </c>
      <c r="AG526" t="s">
        <v>251</v>
      </c>
      <c r="AH526" s="3">
        <v>240575.66</v>
      </c>
      <c r="AI526" s="3">
        <v>240575.66</v>
      </c>
      <c r="AJ526" s="1">
        <v>46096</v>
      </c>
      <c r="AN526" t="s">
        <v>172</v>
      </c>
      <c r="AR526" t="s">
        <v>1203</v>
      </c>
      <c r="AT526" t="s">
        <v>196</v>
      </c>
      <c r="AU526" t="s">
        <v>292</v>
      </c>
      <c r="AW526">
        <v>0</v>
      </c>
      <c r="AX526" s="1">
        <v>46052</v>
      </c>
      <c r="AY526" s="2">
        <v>0.66158564814814813</v>
      </c>
      <c r="AZ526">
        <v>185828</v>
      </c>
      <c r="BA526" s="1">
        <v>46045</v>
      </c>
      <c r="BC526" t="s">
        <v>0</v>
      </c>
      <c r="BD526" s="1">
        <v>46045</v>
      </c>
      <c r="BE526" t="s">
        <v>213</v>
      </c>
      <c r="BL526" s="4">
        <v>0</v>
      </c>
      <c r="BM526" s="1">
        <v>46788</v>
      </c>
      <c r="BN526" s="1">
        <v>46052</v>
      </c>
      <c r="BO526">
        <v>0</v>
      </c>
      <c r="BP526">
        <v>27733</v>
      </c>
      <c r="BQ526" t="s">
        <v>156</v>
      </c>
      <c r="BR526" s="3">
        <v>126807.63</v>
      </c>
      <c r="BS526" s="3">
        <v>31435</v>
      </c>
      <c r="BT526">
        <v>0</v>
      </c>
      <c r="BU526" s="3">
        <v>158242.63</v>
      </c>
      <c r="BV526" s="3">
        <v>240575.66</v>
      </c>
      <c r="BX526">
        <v>0</v>
      </c>
      <c r="BZ526">
        <v>0</v>
      </c>
      <c r="CA526">
        <v>0</v>
      </c>
      <c r="CB526">
        <v>0</v>
      </c>
      <c r="CC526" s="3">
        <v>240575.66</v>
      </c>
      <c r="CD526" s="5">
        <v>0</v>
      </c>
      <c r="CF526" s="6">
        <v>46023</v>
      </c>
      <c r="CH526">
        <v>0</v>
      </c>
      <c r="CI526">
        <v>0</v>
      </c>
      <c r="CJ526">
        <v>0</v>
      </c>
      <c r="CK526">
        <v>0</v>
      </c>
      <c r="CL526">
        <v>0</v>
      </c>
      <c r="CM526">
        <v>0</v>
      </c>
      <c r="CN526">
        <v>0</v>
      </c>
      <c r="CO526">
        <v>0</v>
      </c>
      <c r="CP526">
        <v>0</v>
      </c>
      <c r="CQ526">
        <v>0</v>
      </c>
      <c r="CR526">
        <v>0</v>
      </c>
      <c r="CS526" t="s">
        <v>360</v>
      </c>
      <c r="CT526" t="s">
        <v>190</v>
      </c>
      <c r="CU526" t="s">
        <v>1736</v>
      </c>
      <c r="CW526">
        <v>425.27440000000001</v>
      </c>
      <c r="CZ526" s="1">
        <v>46045</v>
      </c>
      <c r="DA526" t="s">
        <v>172</v>
      </c>
      <c r="DB526" t="s">
        <v>172</v>
      </c>
      <c r="DC526" t="s">
        <v>172</v>
      </c>
      <c r="DD526" t="s">
        <v>172</v>
      </c>
      <c r="DG526" s="1">
        <v>46045</v>
      </c>
      <c r="DH526">
        <v>0</v>
      </c>
      <c r="DI526">
        <v>0</v>
      </c>
      <c r="DJ526" s="1">
        <v>46052</v>
      </c>
      <c r="DL526" t="s">
        <v>200</v>
      </c>
      <c r="DM526" t="s">
        <v>172</v>
      </c>
      <c r="DN526" t="s">
        <v>201</v>
      </c>
      <c r="DV526" s="3">
        <v>240575.66</v>
      </c>
      <c r="DW526">
        <v>0</v>
      </c>
      <c r="DX526" s="3">
        <v>240575.66</v>
      </c>
      <c r="DY526">
        <v>0</v>
      </c>
      <c r="EF526" s="1">
        <v>46051</v>
      </c>
      <c r="EG526" s="1">
        <v>46049</v>
      </c>
      <c r="EK526" s="1">
        <v>46051</v>
      </c>
      <c r="EL526" s="1">
        <v>46051</v>
      </c>
      <c r="EM526" s="1">
        <v>46051</v>
      </c>
      <c r="EN526" t="s">
        <v>156</v>
      </c>
      <c r="EP526" s="1">
        <v>46050</v>
      </c>
      <c r="ER526" s="1">
        <v>46048</v>
      </c>
      <c r="ES526" t="s">
        <v>3202</v>
      </c>
      <c r="EW526" s="1">
        <v>46048</v>
      </c>
    </row>
    <row r="527" spans="1:153" ht="246.5" x14ac:dyDescent="0.35">
      <c r="A527" t="str">
        <f>HYPERLINK("https://7lm.cvcrm.com.br/gestor/comercial/reservas/6593/administrar","6593")</f>
        <v>6593</v>
      </c>
      <c r="B527" t="s">
        <v>156</v>
      </c>
      <c r="C527" s="1">
        <v>46045</v>
      </c>
      <c r="D527" s="2">
        <v>0.46491898148148147</v>
      </c>
      <c r="E527" t="s">
        <v>294</v>
      </c>
      <c r="F527" t="s">
        <v>957</v>
      </c>
      <c r="G527" t="s">
        <v>159</v>
      </c>
      <c r="H527" t="s">
        <v>643</v>
      </c>
      <c r="I527" t="s">
        <v>651</v>
      </c>
      <c r="J527">
        <v>1</v>
      </c>
      <c r="L527">
        <v>30121</v>
      </c>
      <c r="M527" t="s">
        <v>3203</v>
      </c>
      <c r="N527" s="1">
        <v>46049</v>
      </c>
      <c r="O527" s="2">
        <v>0.71371527777777777</v>
      </c>
      <c r="R527" t="str">
        <f>HYPERLINK("https://7lm.cvcrm.com.br/gestor/relatorios/associado/html?q[1|r.idreserva]=6593","PAULO HENRIQUE PEREIRA DE JESUS")</f>
        <v>PAULO HENRIQUE PEREIRA DE JESUS</v>
      </c>
      <c r="S527">
        <v>70502479108</v>
      </c>
      <c r="T527">
        <v>5562998233718</v>
      </c>
      <c r="V527" t="s">
        <v>3204</v>
      </c>
      <c r="W527" t="s">
        <v>163</v>
      </c>
      <c r="X527" t="s">
        <v>188</v>
      </c>
      <c r="Y527" t="s">
        <v>189</v>
      </c>
      <c r="Z527" t="s">
        <v>190</v>
      </c>
      <c r="AA527" t="s">
        <v>433</v>
      </c>
      <c r="AB527" t="s">
        <v>3205</v>
      </c>
      <c r="AC527" t="s">
        <v>665</v>
      </c>
      <c r="AD527" t="s">
        <v>665</v>
      </c>
      <c r="AF527" t="s">
        <v>250</v>
      </c>
      <c r="AG527" t="s">
        <v>251</v>
      </c>
      <c r="AH527" s="3">
        <v>248230.33</v>
      </c>
      <c r="AI527" s="3">
        <v>248230.33</v>
      </c>
      <c r="AJ527" s="1">
        <v>46076</v>
      </c>
      <c r="AN527" t="s">
        <v>172</v>
      </c>
      <c r="AR527" s="7" t="s">
        <v>353</v>
      </c>
      <c r="AU527" t="s">
        <v>175</v>
      </c>
      <c r="AW527">
        <v>0</v>
      </c>
      <c r="AX527" s="1">
        <v>46055</v>
      </c>
      <c r="AY527" s="2">
        <v>0.35293981481481479</v>
      </c>
      <c r="AZ527">
        <v>181805</v>
      </c>
      <c r="BA527" s="1">
        <v>46020</v>
      </c>
      <c r="BB527" s="1">
        <v>46041</v>
      </c>
      <c r="BC527" t="s">
        <v>0</v>
      </c>
      <c r="BD527" s="1">
        <v>46045</v>
      </c>
      <c r="BE527" t="s">
        <v>317</v>
      </c>
      <c r="BL527" s="4">
        <v>0</v>
      </c>
      <c r="BM527" s="1">
        <v>47031</v>
      </c>
      <c r="BN527" s="1">
        <v>46053</v>
      </c>
      <c r="BO527">
        <v>0</v>
      </c>
      <c r="BP527">
        <v>27828</v>
      </c>
      <c r="BQ527" t="s">
        <v>156</v>
      </c>
      <c r="BR527">
        <v>0</v>
      </c>
      <c r="BS527">
        <v>0</v>
      </c>
      <c r="BT527">
        <v>0</v>
      </c>
      <c r="BU527">
        <v>0</v>
      </c>
      <c r="BV527" s="3">
        <v>248230.33</v>
      </c>
      <c r="BX527">
        <v>0</v>
      </c>
      <c r="BZ527">
        <v>0</v>
      </c>
      <c r="CA527">
        <v>0</v>
      </c>
      <c r="CB527">
        <v>0</v>
      </c>
      <c r="CC527" s="3">
        <v>248230.33</v>
      </c>
      <c r="CD527" s="5">
        <v>0</v>
      </c>
      <c r="CF527" s="6">
        <v>46023</v>
      </c>
      <c r="CH527">
        <v>0</v>
      </c>
      <c r="CI527">
        <v>0</v>
      </c>
      <c r="CJ527">
        <v>0</v>
      </c>
      <c r="CK527">
        <v>0</v>
      </c>
      <c r="CL527">
        <v>0</v>
      </c>
      <c r="CM527">
        <v>0</v>
      </c>
      <c r="CN527">
        <v>0</v>
      </c>
      <c r="CO527">
        <v>0</v>
      </c>
      <c r="CP527">
        <v>0</v>
      </c>
      <c r="CQ527">
        <v>0</v>
      </c>
      <c r="CR527">
        <v>0</v>
      </c>
      <c r="CS527" t="s">
        <v>599</v>
      </c>
      <c r="CT527" t="s">
        <v>190</v>
      </c>
      <c r="CU527" t="s">
        <v>651</v>
      </c>
      <c r="CW527">
        <v>423.6927</v>
      </c>
      <c r="CZ527" s="1">
        <v>46045</v>
      </c>
      <c r="DA527" t="s">
        <v>172</v>
      </c>
      <c r="DB527" t="s">
        <v>172</v>
      </c>
      <c r="DC527" t="s">
        <v>172</v>
      </c>
      <c r="DD527" t="s">
        <v>172</v>
      </c>
      <c r="DF527" t="s">
        <v>2532</v>
      </c>
      <c r="DG527" s="1">
        <v>46045</v>
      </c>
      <c r="DH527">
        <v>0</v>
      </c>
      <c r="DI527">
        <v>0</v>
      </c>
      <c r="DJ527" s="1">
        <v>46055</v>
      </c>
      <c r="DL527" t="s">
        <v>963</v>
      </c>
      <c r="DM527" t="s">
        <v>172</v>
      </c>
      <c r="DN527" t="s">
        <v>225</v>
      </c>
      <c r="DV527" s="3">
        <v>248230.33</v>
      </c>
      <c r="DW527">
        <v>0</v>
      </c>
      <c r="DX527" s="3">
        <v>248230.33</v>
      </c>
      <c r="DY527">
        <v>0</v>
      </c>
      <c r="EG527" s="1">
        <v>46049</v>
      </c>
      <c r="EN527" t="s">
        <v>156</v>
      </c>
      <c r="EP527" s="1">
        <v>46050</v>
      </c>
      <c r="ER527" s="1">
        <v>46049</v>
      </c>
      <c r="ES527" t="s">
        <v>3206</v>
      </c>
      <c r="EU527" s="1">
        <v>46049</v>
      </c>
      <c r="EW527" s="1">
        <v>46045</v>
      </c>
    </row>
    <row r="528" spans="1:153" x14ac:dyDescent="0.35">
      <c r="A528" t="str">
        <f>HYPERLINK("https://7lm.cvcrm.com.br/gestor/comercial/reservas/6592/administrar","6592")</f>
        <v>6592</v>
      </c>
      <c r="B528" t="s">
        <v>156</v>
      </c>
      <c r="C528" s="1">
        <v>46044</v>
      </c>
      <c r="D528" s="2">
        <v>0.49549768518518517</v>
      </c>
      <c r="E528" t="s">
        <v>294</v>
      </c>
      <c r="F528" t="s">
        <v>957</v>
      </c>
      <c r="G528" t="s">
        <v>159</v>
      </c>
      <c r="H528" t="s">
        <v>592</v>
      </c>
      <c r="I528" t="s">
        <v>1027</v>
      </c>
      <c r="J528">
        <v>1</v>
      </c>
      <c r="L528">
        <v>30121</v>
      </c>
      <c r="M528" t="s">
        <v>3207</v>
      </c>
      <c r="N528" s="1">
        <v>46077</v>
      </c>
      <c r="O528" s="2">
        <v>0.60658564814814819</v>
      </c>
      <c r="R528" t="str">
        <f>HYPERLINK("https://7lm.cvcrm.com.br/gestor/relatorios/associado/html?q[1|r.idreserva]=6592","JOAO GABRIEL GONCALVES MACIEL FERREIRA")</f>
        <v>JOAO GABRIEL GONCALVES MACIEL FERREIRA</v>
      </c>
      <c r="S528">
        <v>8283735152</v>
      </c>
      <c r="T528">
        <v>5561986646899</v>
      </c>
      <c r="V528" t="s">
        <v>3208</v>
      </c>
      <c r="W528" t="s">
        <v>163</v>
      </c>
      <c r="X528" t="s">
        <v>492</v>
      </c>
      <c r="Y528" t="s">
        <v>189</v>
      </c>
      <c r="Z528" t="s">
        <v>190</v>
      </c>
      <c r="AA528" t="s">
        <v>367</v>
      </c>
      <c r="AB528" t="s">
        <v>3209</v>
      </c>
      <c r="AC528" t="s">
        <v>665</v>
      </c>
      <c r="AD528" t="s">
        <v>665</v>
      </c>
      <c r="AF528" t="s">
        <v>250</v>
      </c>
      <c r="AG528" t="s">
        <v>251</v>
      </c>
      <c r="AH528" s="3">
        <v>266000</v>
      </c>
      <c r="AI528" s="3">
        <v>266000</v>
      </c>
      <c r="AJ528" s="1">
        <v>46063</v>
      </c>
      <c r="AN528" t="s">
        <v>172</v>
      </c>
      <c r="AR528" t="s">
        <v>1203</v>
      </c>
      <c r="AT528" t="s">
        <v>261</v>
      </c>
      <c r="AU528" t="s">
        <v>175</v>
      </c>
      <c r="AW528">
        <v>0</v>
      </c>
      <c r="AX528" s="1">
        <v>46073</v>
      </c>
      <c r="AY528" s="2">
        <v>0.50387731481481479</v>
      </c>
      <c r="AZ528">
        <v>185589</v>
      </c>
      <c r="BA528" s="1">
        <v>46044</v>
      </c>
      <c r="BC528" t="s">
        <v>0</v>
      </c>
      <c r="BD528" s="1">
        <v>46044</v>
      </c>
      <c r="BE528" t="s">
        <v>176</v>
      </c>
      <c r="BL528" s="4">
        <v>0</v>
      </c>
      <c r="BM528" s="1">
        <v>47031</v>
      </c>
      <c r="BN528" s="1">
        <v>46073</v>
      </c>
      <c r="BO528">
        <v>0</v>
      </c>
      <c r="BP528">
        <v>27785</v>
      </c>
      <c r="BQ528" t="s">
        <v>156</v>
      </c>
      <c r="BR528">
        <v>0</v>
      </c>
      <c r="BS528">
        <v>0</v>
      </c>
      <c r="BT528">
        <v>0</v>
      </c>
      <c r="BU528">
        <v>0</v>
      </c>
      <c r="BV528" s="3">
        <v>266000</v>
      </c>
      <c r="BX528">
        <v>0</v>
      </c>
      <c r="BZ528">
        <v>0</v>
      </c>
      <c r="CA528">
        <v>0</v>
      </c>
      <c r="CB528">
        <v>0</v>
      </c>
      <c r="CC528" s="3">
        <v>266000</v>
      </c>
      <c r="CD528" s="5">
        <v>0</v>
      </c>
      <c r="CF528" s="6">
        <v>46054</v>
      </c>
      <c r="CH528">
        <v>0</v>
      </c>
      <c r="CI528">
        <v>0</v>
      </c>
      <c r="CJ528">
        <v>0</v>
      </c>
      <c r="CK528">
        <v>0</v>
      </c>
      <c r="CL528">
        <v>0</v>
      </c>
      <c r="CM528">
        <v>0</v>
      </c>
      <c r="CN528">
        <v>0</v>
      </c>
      <c r="CO528">
        <v>0</v>
      </c>
      <c r="CP528">
        <v>0</v>
      </c>
      <c r="CQ528">
        <v>0</v>
      </c>
      <c r="CR528">
        <v>0</v>
      </c>
      <c r="CS528" t="s">
        <v>360</v>
      </c>
      <c r="CT528" t="s">
        <v>190</v>
      </c>
      <c r="CU528" t="s">
        <v>1027</v>
      </c>
      <c r="CW528">
        <v>-45.582999999999998</v>
      </c>
      <c r="CZ528" s="1">
        <v>46044</v>
      </c>
      <c r="DA528" t="s">
        <v>172</v>
      </c>
      <c r="DB528" t="s">
        <v>172</v>
      </c>
      <c r="DC528" t="s">
        <v>172</v>
      </c>
      <c r="DD528" t="s">
        <v>172</v>
      </c>
      <c r="DG528" s="1">
        <v>46044</v>
      </c>
      <c r="DH528">
        <v>0</v>
      </c>
      <c r="DI528">
        <v>0</v>
      </c>
      <c r="DL528" t="s">
        <v>963</v>
      </c>
      <c r="DM528" t="s">
        <v>172</v>
      </c>
      <c r="DN528" t="s">
        <v>511</v>
      </c>
      <c r="DU528" t="s">
        <v>1238</v>
      </c>
      <c r="DV528" s="3">
        <v>271400</v>
      </c>
      <c r="DW528">
        <v>-50.5</v>
      </c>
      <c r="DX528" s="3">
        <v>271400</v>
      </c>
      <c r="DY528">
        <v>-50.5</v>
      </c>
      <c r="EF528" s="1">
        <v>46056</v>
      </c>
      <c r="EG528" s="1">
        <v>46055</v>
      </c>
      <c r="EK528" s="1">
        <v>46071</v>
      </c>
      <c r="EL528" s="1">
        <v>46071</v>
      </c>
      <c r="EN528" t="s">
        <v>172</v>
      </c>
      <c r="EP528" s="1">
        <v>46071</v>
      </c>
      <c r="ER528" s="1">
        <v>46069</v>
      </c>
      <c r="ES528" t="s">
        <v>3210</v>
      </c>
      <c r="ET528" t="s">
        <v>3211</v>
      </c>
      <c r="EW528" s="1">
        <v>46044</v>
      </c>
    </row>
    <row r="529" spans="1:153" ht="246.5" x14ac:dyDescent="0.35">
      <c r="A529" t="str">
        <f>HYPERLINK("https://7lm.cvcrm.com.br/gestor/comercial/reservas/6591/administrar","6591")</f>
        <v>6591</v>
      </c>
      <c r="B529" t="s">
        <v>156</v>
      </c>
      <c r="C529" s="1">
        <v>46043</v>
      </c>
      <c r="D529" s="2">
        <v>0.76488425925925929</v>
      </c>
      <c r="E529" t="s">
        <v>294</v>
      </c>
      <c r="F529" t="s">
        <v>957</v>
      </c>
      <c r="G529" t="s">
        <v>159</v>
      </c>
      <c r="H529" t="s">
        <v>183</v>
      </c>
      <c r="I529" t="s">
        <v>3212</v>
      </c>
      <c r="J529">
        <v>1</v>
      </c>
      <c r="L529">
        <v>30121</v>
      </c>
      <c r="M529" t="s">
        <v>3213</v>
      </c>
      <c r="N529" s="1">
        <v>46049</v>
      </c>
      <c r="O529" s="2">
        <v>0.67344907407407406</v>
      </c>
      <c r="R529" t="str">
        <f>HYPERLINK("https://7lm.cvcrm.com.br/gestor/relatorios/associado/html?q[1|r.idreserva]=6591","KEWER GONCALVES BONFIM")</f>
        <v>KEWER GONCALVES BONFIM</v>
      </c>
      <c r="S529">
        <v>10742432181</v>
      </c>
      <c r="T529">
        <v>5561996226433</v>
      </c>
      <c r="V529" t="s">
        <v>3214</v>
      </c>
      <c r="W529" t="s">
        <v>187</v>
      </c>
      <c r="X529" t="s">
        <v>376</v>
      </c>
      <c r="Y529" t="s">
        <v>189</v>
      </c>
      <c r="Z529" t="s">
        <v>190</v>
      </c>
      <c r="AA529" t="s">
        <v>1840</v>
      </c>
      <c r="AB529" t="s">
        <v>3215</v>
      </c>
      <c r="AC529" t="s">
        <v>534</v>
      </c>
      <c r="AF529" t="s">
        <v>352</v>
      </c>
      <c r="AG529" t="s">
        <v>251</v>
      </c>
      <c r="AH529" s="3">
        <v>244932.81</v>
      </c>
      <c r="AI529" s="3">
        <v>244932.81</v>
      </c>
      <c r="AJ529" s="1">
        <v>46096</v>
      </c>
      <c r="AN529" t="s">
        <v>172</v>
      </c>
      <c r="AR529" s="7" t="s">
        <v>353</v>
      </c>
      <c r="AT529" t="s">
        <v>196</v>
      </c>
      <c r="AU529" t="s">
        <v>292</v>
      </c>
      <c r="AW529">
        <v>0</v>
      </c>
      <c r="AX529" s="1">
        <v>46052</v>
      </c>
      <c r="AY529" s="2">
        <v>0.67062500000000003</v>
      </c>
      <c r="AZ529">
        <v>185117</v>
      </c>
      <c r="BA529" s="1">
        <v>46042</v>
      </c>
      <c r="BC529" t="s">
        <v>0</v>
      </c>
      <c r="BD529" s="1">
        <v>46043</v>
      </c>
      <c r="BE529" t="s">
        <v>176</v>
      </c>
      <c r="BL529" s="4">
        <v>0</v>
      </c>
      <c r="BM529" s="1">
        <v>47031</v>
      </c>
      <c r="BN529" s="1">
        <v>46052</v>
      </c>
      <c r="BO529">
        <v>0</v>
      </c>
      <c r="BP529">
        <v>27652</v>
      </c>
      <c r="BQ529" t="s">
        <v>156</v>
      </c>
      <c r="BR529" s="3">
        <v>136096.22</v>
      </c>
      <c r="BS529" s="3">
        <v>24961</v>
      </c>
      <c r="BT529">
        <v>0</v>
      </c>
      <c r="BU529" s="3">
        <v>161057.22</v>
      </c>
      <c r="BV529" s="3">
        <v>244932.81</v>
      </c>
      <c r="BX529">
        <v>0</v>
      </c>
      <c r="BZ529">
        <v>0</v>
      </c>
      <c r="CA529">
        <v>0</v>
      </c>
      <c r="CB529">
        <v>0</v>
      </c>
      <c r="CC529" s="3">
        <v>244932.81</v>
      </c>
      <c r="CD529" s="5">
        <v>0</v>
      </c>
      <c r="CF529" s="6">
        <v>46023</v>
      </c>
      <c r="CH529">
        <v>0</v>
      </c>
      <c r="CI529">
        <v>0</v>
      </c>
      <c r="CJ529">
        <v>0</v>
      </c>
      <c r="CK529">
        <v>0</v>
      </c>
      <c r="CL529">
        <v>0</v>
      </c>
      <c r="CM529">
        <v>0</v>
      </c>
      <c r="CN529">
        <v>0</v>
      </c>
      <c r="CO529">
        <v>0</v>
      </c>
      <c r="CP529">
        <v>0</v>
      </c>
      <c r="CQ529">
        <v>0</v>
      </c>
      <c r="CR529">
        <v>0</v>
      </c>
      <c r="CS529" t="s">
        <v>360</v>
      </c>
      <c r="CT529" t="s">
        <v>190</v>
      </c>
      <c r="CU529" t="s">
        <v>3212</v>
      </c>
      <c r="CW529">
        <v>416.73590000000002</v>
      </c>
      <c r="CZ529" s="1">
        <v>46043</v>
      </c>
      <c r="DA529" t="s">
        <v>172</v>
      </c>
      <c r="DB529" t="s">
        <v>172</v>
      </c>
      <c r="DC529" t="s">
        <v>172</v>
      </c>
      <c r="DD529" t="s">
        <v>172</v>
      </c>
      <c r="DG529" s="1">
        <v>46043</v>
      </c>
      <c r="DH529">
        <v>0</v>
      </c>
      <c r="DI529">
        <v>0</v>
      </c>
      <c r="DJ529" s="1">
        <v>46052</v>
      </c>
      <c r="DL529" t="s">
        <v>963</v>
      </c>
      <c r="DM529" t="s">
        <v>172</v>
      </c>
      <c r="DN529" t="s">
        <v>201</v>
      </c>
      <c r="DP529" s="4">
        <v>1.2E-2</v>
      </c>
      <c r="DV529" s="3">
        <v>244932.81</v>
      </c>
      <c r="DW529">
        <v>0</v>
      </c>
      <c r="DX529" s="3">
        <v>244932.81</v>
      </c>
      <c r="DY529">
        <v>0</v>
      </c>
      <c r="EF529" s="1">
        <v>46049</v>
      </c>
      <c r="EG529" s="1">
        <v>46048</v>
      </c>
      <c r="EK529" s="1">
        <v>46049</v>
      </c>
      <c r="EL529" s="1">
        <v>46049</v>
      </c>
      <c r="EN529" t="s">
        <v>156</v>
      </c>
      <c r="EP529" s="1">
        <v>46049</v>
      </c>
      <c r="ER529" s="1">
        <v>46048</v>
      </c>
      <c r="ES529" t="s">
        <v>3216</v>
      </c>
    </row>
    <row r="530" spans="1:153" ht="246.5" x14ac:dyDescent="0.35">
      <c r="A530" t="str">
        <f>HYPERLINK("https://7lm.cvcrm.com.br/gestor/comercial/reservas/6590/administrar","6590")</f>
        <v>6590</v>
      </c>
      <c r="B530" t="s">
        <v>156</v>
      </c>
      <c r="C530" s="1">
        <v>46043</v>
      </c>
      <c r="D530" s="2">
        <v>0.73070601851851846</v>
      </c>
      <c r="E530" t="s">
        <v>294</v>
      </c>
      <c r="F530" t="s">
        <v>1164</v>
      </c>
      <c r="G530" t="s">
        <v>203</v>
      </c>
      <c r="H530" t="s">
        <v>528</v>
      </c>
      <c r="I530" t="s">
        <v>1410</v>
      </c>
      <c r="J530">
        <v>1</v>
      </c>
      <c r="L530">
        <v>30001</v>
      </c>
      <c r="M530" t="s">
        <v>3217</v>
      </c>
      <c r="N530" s="1">
        <v>46050</v>
      </c>
      <c r="O530" s="2">
        <v>0.49888888888888888</v>
      </c>
      <c r="R530" t="str">
        <f>HYPERLINK("https://7lm.cvcrm.com.br/gestor/relatorios/associado/html?q[1|r.idreserva]=6590","LEDI THAWANNY DE ALMEIDA SANTANA")</f>
        <v>LEDI THAWANNY DE ALMEIDA SANTANA</v>
      </c>
      <c r="S530">
        <v>4225815188</v>
      </c>
      <c r="T530">
        <v>556198402415</v>
      </c>
      <c r="V530" t="s">
        <v>3218</v>
      </c>
      <c r="W530" t="s">
        <v>187</v>
      </c>
      <c r="X530" t="s">
        <v>492</v>
      </c>
      <c r="Y530" t="s">
        <v>189</v>
      </c>
      <c r="Z530" t="s">
        <v>190</v>
      </c>
      <c r="AA530" t="s">
        <v>3219</v>
      </c>
      <c r="AB530" t="s">
        <v>3220</v>
      </c>
      <c r="AC530" t="s">
        <v>988</v>
      </c>
      <c r="AF530" t="s">
        <v>250</v>
      </c>
      <c r="AG530" t="s">
        <v>251</v>
      </c>
      <c r="AH530" s="3">
        <v>250860.22</v>
      </c>
      <c r="AI530" s="3">
        <v>250860.22</v>
      </c>
      <c r="AJ530" s="1">
        <v>46043</v>
      </c>
      <c r="AN530" t="s">
        <v>172</v>
      </c>
      <c r="AR530" s="7" t="s">
        <v>353</v>
      </c>
      <c r="AU530" t="s">
        <v>175</v>
      </c>
      <c r="AW530">
        <v>0</v>
      </c>
      <c r="AX530" s="1">
        <v>46055</v>
      </c>
      <c r="AY530" s="2">
        <v>0.53081018518518519</v>
      </c>
      <c r="AZ530">
        <v>183649</v>
      </c>
      <c r="BA530" s="1">
        <v>46034</v>
      </c>
      <c r="BC530" t="s">
        <v>0</v>
      </c>
      <c r="BD530" s="1">
        <v>46043</v>
      </c>
      <c r="BE530" t="s">
        <v>175</v>
      </c>
      <c r="BL530" s="4">
        <v>0</v>
      </c>
      <c r="BM530" s="1">
        <v>46416</v>
      </c>
      <c r="BN530" s="1">
        <v>46053</v>
      </c>
      <c r="BO530">
        <v>0</v>
      </c>
      <c r="BP530">
        <v>27757</v>
      </c>
      <c r="BQ530" t="s">
        <v>156</v>
      </c>
      <c r="BR530">
        <v>0</v>
      </c>
      <c r="BS530">
        <v>0</v>
      </c>
      <c r="BT530">
        <v>0</v>
      </c>
      <c r="BU530">
        <v>0</v>
      </c>
      <c r="BV530" s="3">
        <v>250860.22</v>
      </c>
      <c r="BX530">
        <v>0</v>
      </c>
      <c r="BZ530">
        <v>0</v>
      </c>
      <c r="CA530">
        <v>0</v>
      </c>
      <c r="CB530">
        <v>0</v>
      </c>
      <c r="CC530" s="3">
        <v>250860.22</v>
      </c>
      <c r="CD530" s="5">
        <v>0</v>
      </c>
      <c r="CE530" t="s">
        <v>1170</v>
      </c>
      <c r="CF530" s="6">
        <v>46023</v>
      </c>
      <c r="CH530">
        <v>0</v>
      </c>
      <c r="CI530">
        <v>0</v>
      </c>
      <c r="CJ530">
        <v>0</v>
      </c>
      <c r="CK530">
        <v>0</v>
      </c>
      <c r="CL530">
        <v>0</v>
      </c>
      <c r="CM530">
        <v>0</v>
      </c>
      <c r="CN530">
        <v>0</v>
      </c>
      <c r="CO530">
        <v>0</v>
      </c>
      <c r="CP530">
        <v>0</v>
      </c>
      <c r="CQ530">
        <v>0</v>
      </c>
      <c r="CR530">
        <v>0</v>
      </c>
      <c r="CS530" t="s">
        <v>360</v>
      </c>
      <c r="CT530" t="s">
        <v>190</v>
      </c>
      <c r="CU530" t="s">
        <v>1410</v>
      </c>
      <c r="CW530">
        <v>0</v>
      </c>
      <c r="CX530" t="s">
        <v>194</v>
      </c>
      <c r="CZ530" s="1">
        <v>46043</v>
      </c>
      <c r="DA530" t="s">
        <v>172</v>
      </c>
      <c r="DB530" t="s">
        <v>172</v>
      </c>
      <c r="DC530" t="s">
        <v>172</v>
      </c>
      <c r="DD530" t="s">
        <v>172</v>
      </c>
      <c r="DF530" t="s">
        <v>495</v>
      </c>
      <c r="DG530" s="1">
        <v>46043</v>
      </c>
      <c r="DH530">
        <v>0</v>
      </c>
      <c r="DI530">
        <v>0</v>
      </c>
      <c r="DJ530" s="1">
        <v>46055</v>
      </c>
      <c r="DL530" t="s">
        <v>1171</v>
      </c>
      <c r="DM530" t="s">
        <v>172</v>
      </c>
      <c r="DN530" t="s">
        <v>201</v>
      </c>
      <c r="DV530" s="3">
        <v>250860.22</v>
      </c>
      <c r="DW530">
        <v>0</v>
      </c>
      <c r="DX530" s="3">
        <v>250860.22</v>
      </c>
      <c r="DY530">
        <v>0</v>
      </c>
      <c r="EF530" s="1">
        <v>46050</v>
      </c>
      <c r="EG530" s="1">
        <v>46048</v>
      </c>
      <c r="EK530" s="1">
        <v>46050</v>
      </c>
      <c r="EN530" t="s">
        <v>156</v>
      </c>
      <c r="ER530" s="1">
        <v>46048</v>
      </c>
      <c r="ES530" t="s">
        <v>3221</v>
      </c>
      <c r="EU530" s="1">
        <v>46048</v>
      </c>
    </row>
    <row r="531" spans="1:153" ht="246.5" x14ac:dyDescent="0.35">
      <c r="A531" t="str">
        <f>HYPERLINK("https://7lm.cvcrm.com.br/gestor/comercial/reservas/6589/administrar","6589")</f>
        <v>6589</v>
      </c>
      <c r="B531" t="s">
        <v>156</v>
      </c>
      <c r="C531" s="1">
        <v>46043</v>
      </c>
      <c r="D531" s="2">
        <v>0.7209606481481482</v>
      </c>
      <c r="E531" t="s">
        <v>294</v>
      </c>
      <c r="F531" t="s">
        <v>957</v>
      </c>
      <c r="G531" t="s">
        <v>159</v>
      </c>
      <c r="H531" t="s">
        <v>759</v>
      </c>
      <c r="I531" t="s">
        <v>2188</v>
      </c>
      <c r="J531">
        <v>1</v>
      </c>
      <c r="L531">
        <v>30121</v>
      </c>
      <c r="M531" t="s">
        <v>3222</v>
      </c>
      <c r="N531" s="1">
        <v>46049</v>
      </c>
      <c r="O531" s="2">
        <v>0.66975694444444445</v>
      </c>
      <c r="R531" t="str">
        <f>HYPERLINK("https://7lm.cvcrm.com.br/gestor/relatorios/associado/html?q[1|r.idreserva]=6589","JHONNATAN SOARES CARVALHO")</f>
        <v>JHONNATAN SOARES CARVALHO</v>
      </c>
      <c r="S531">
        <v>6616604195</v>
      </c>
      <c r="T531">
        <v>5561996979180</v>
      </c>
      <c r="V531" t="s">
        <v>3223</v>
      </c>
      <c r="W531" t="s">
        <v>163</v>
      </c>
      <c r="X531" t="s">
        <v>3224</v>
      </c>
      <c r="Y531" t="s">
        <v>189</v>
      </c>
      <c r="Z531" t="s">
        <v>190</v>
      </c>
      <c r="AA531" t="s">
        <v>3225</v>
      </c>
      <c r="AB531" t="s">
        <v>3226</v>
      </c>
      <c r="AC531" t="s">
        <v>988</v>
      </c>
      <c r="AF531" t="s">
        <v>250</v>
      </c>
      <c r="AG531" t="s">
        <v>251</v>
      </c>
      <c r="AH531" s="3">
        <v>245933.21</v>
      </c>
      <c r="AI531" s="3">
        <v>245933.21</v>
      </c>
      <c r="AJ531" s="1">
        <v>46074</v>
      </c>
      <c r="AN531" t="s">
        <v>172</v>
      </c>
      <c r="AR531" s="7" t="s">
        <v>353</v>
      </c>
      <c r="AT531" t="s">
        <v>261</v>
      </c>
      <c r="AU531" t="s">
        <v>292</v>
      </c>
      <c r="AW531">
        <v>0</v>
      </c>
      <c r="AX531" s="1">
        <v>46052</v>
      </c>
      <c r="AY531" s="2">
        <v>0.69901620370370365</v>
      </c>
      <c r="AZ531">
        <v>173717</v>
      </c>
      <c r="BA531" s="1">
        <v>45950</v>
      </c>
      <c r="BC531" t="s">
        <v>0</v>
      </c>
      <c r="BD531" s="1">
        <v>46043</v>
      </c>
      <c r="BE531" t="s">
        <v>175</v>
      </c>
      <c r="BL531" s="4">
        <v>0</v>
      </c>
      <c r="BM531" s="1">
        <v>47031</v>
      </c>
      <c r="BN531" s="1">
        <v>46052</v>
      </c>
      <c r="BO531">
        <v>0</v>
      </c>
      <c r="BP531">
        <v>27592</v>
      </c>
      <c r="BQ531" t="s">
        <v>156</v>
      </c>
      <c r="BR531" s="3">
        <v>136096.22</v>
      </c>
      <c r="BS531" s="3">
        <v>24961</v>
      </c>
      <c r="BT531">
        <v>0</v>
      </c>
      <c r="BU531" s="3">
        <v>161057.22</v>
      </c>
      <c r="BV531" s="3">
        <v>245933.21</v>
      </c>
      <c r="BX531">
        <v>0</v>
      </c>
      <c r="BZ531">
        <v>0</v>
      </c>
      <c r="CA531">
        <v>0</v>
      </c>
      <c r="CB531">
        <v>0</v>
      </c>
      <c r="CC531" s="3">
        <v>245933.21</v>
      </c>
      <c r="CD531" s="5">
        <v>0</v>
      </c>
      <c r="CF531" s="6">
        <v>46023</v>
      </c>
      <c r="CH531">
        <v>0</v>
      </c>
      <c r="CI531">
        <v>0</v>
      </c>
      <c r="CJ531">
        <v>0</v>
      </c>
      <c r="CK531">
        <v>0</v>
      </c>
      <c r="CL531">
        <v>0</v>
      </c>
      <c r="CM531">
        <v>0</v>
      </c>
      <c r="CN531">
        <v>0</v>
      </c>
      <c r="CO531">
        <v>0</v>
      </c>
      <c r="CP531">
        <v>0</v>
      </c>
      <c r="CQ531">
        <v>0</v>
      </c>
      <c r="CR531">
        <v>0</v>
      </c>
      <c r="CS531" t="s">
        <v>360</v>
      </c>
      <c r="CT531" t="s">
        <v>190</v>
      </c>
      <c r="CU531" t="s">
        <v>2188</v>
      </c>
      <c r="CW531">
        <v>456.25330000000002</v>
      </c>
      <c r="CZ531" s="1">
        <v>46043</v>
      </c>
      <c r="DA531" t="s">
        <v>172</v>
      </c>
      <c r="DB531" t="s">
        <v>172</v>
      </c>
      <c r="DC531" t="s">
        <v>172</v>
      </c>
      <c r="DD531" t="s">
        <v>172</v>
      </c>
      <c r="DG531" s="1">
        <v>46043</v>
      </c>
      <c r="DH531">
        <v>0</v>
      </c>
      <c r="DI531">
        <v>0</v>
      </c>
      <c r="DJ531" s="1">
        <v>46052</v>
      </c>
      <c r="DL531" t="s">
        <v>963</v>
      </c>
      <c r="DM531" t="s">
        <v>172</v>
      </c>
      <c r="DN531" t="s">
        <v>201</v>
      </c>
      <c r="DV531" s="3">
        <v>245933.21</v>
      </c>
      <c r="DW531">
        <v>0</v>
      </c>
      <c r="DX531" s="3">
        <v>245933.21</v>
      </c>
      <c r="DY531">
        <v>0</v>
      </c>
      <c r="EF531" s="1">
        <v>46049</v>
      </c>
      <c r="EG531" s="1">
        <v>46045</v>
      </c>
      <c r="EK531" s="1">
        <v>46049</v>
      </c>
      <c r="EL531" s="1">
        <v>46049</v>
      </c>
      <c r="EN531" t="s">
        <v>156</v>
      </c>
      <c r="EP531" s="1">
        <v>46050</v>
      </c>
      <c r="ER531" s="1">
        <v>46048</v>
      </c>
      <c r="ES531" t="s">
        <v>3227</v>
      </c>
      <c r="EU531" s="1">
        <v>46045</v>
      </c>
      <c r="EW531" s="1">
        <v>46044</v>
      </c>
    </row>
    <row r="532" spans="1:153" ht="246.5" x14ac:dyDescent="0.35">
      <c r="A532" t="str">
        <f>HYPERLINK("https://7lm.cvcrm.com.br/gestor/comercial/reservas/6588/administrar","6588")</f>
        <v>6588</v>
      </c>
      <c r="B532" t="s">
        <v>156</v>
      </c>
      <c r="C532" s="1">
        <v>46043</v>
      </c>
      <c r="D532" s="2">
        <v>0.67434027777777783</v>
      </c>
      <c r="E532" t="s">
        <v>294</v>
      </c>
      <c r="F532" t="s">
        <v>957</v>
      </c>
      <c r="G532" t="s">
        <v>159</v>
      </c>
      <c r="H532" t="s">
        <v>475</v>
      </c>
      <c r="I532" t="s">
        <v>2131</v>
      </c>
      <c r="J532">
        <v>1</v>
      </c>
      <c r="L532">
        <v>30121</v>
      </c>
      <c r="M532" t="s">
        <v>3228</v>
      </c>
      <c r="N532" s="1">
        <v>46049</v>
      </c>
      <c r="O532" s="2">
        <v>0.72013888888888888</v>
      </c>
      <c r="R532" t="str">
        <f>HYPERLINK("https://7lm.cvcrm.com.br/gestor/relatorios/associado/html?q[1|r.idreserva]=6588","GUSTAVO DANILLO FERREIRA AMADO")</f>
        <v>GUSTAVO DANILLO FERREIRA AMADO</v>
      </c>
      <c r="S532">
        <v>7553296198</v>
      </c>
      <c r="T532">
        <v>5561999320996</v>
      </c>
      <c r="V532" t="s">
        <v>3229</v>
      </c>
      <c r="W532" t="s">
        <v>163</v>
      </c>
      <c r="X532" t="s">
        <v>366</v>
      </c>
      <c r="Y532" t="s">
        <v>189</v>
      </c>
      <c r="Z532" t="s">
        <v>190</v>
      </c>
      <c r="AA532" t="s">
        <v>2508</v>
      </c>
      <c r="AB532" t="s">
        <v>3230</v>
      </c>
      <c r="AC532" t="s">
        <v>1993</v>
      </c>
      <c r="AD532" t="s">
        <v>1994</v>
      </c>
      <c r="AF532" t="s">
        <v>250</v>
      </c>
      <c r="AG532" t="s">
        <v>251</v>
      </c>
      <c r="AH532" s="3">
        <v>267800.32000000001</v>
      </c>
      <c r="AI532" s="3">
        <v>267800.32000000001</v>
      </c>
      <c r="AJ532" s="1">
        <v>46074</v>
      </c>
      <c r="AN532" t="s">
        <v>172</v>
      </c>
      <c r="AR532" s="7" t="s">
        <v>353</v>
      </c>
      <c r="AT532" t="s">
        <v>261</v>
      </c>
      <c r="AU532" t="s">
        <v>175</v>
      </c>
      <c r="AW532">
        <v>0</v>
      </c>
      <c r="AX532" s="1">
        <v>46055</v>
      </c>
      <c r="AY532" s="2">
        <v>0.38189814814814815</v>
      </c>
      <c r="AZ532">
        <v>114386</v>
      </c>
      <c r="BA532" s="1">
        <v>45396</v>
      </c>
      <c r="BB532" s="1">
        <v>46043</v>
      </c>
      <c r="BC532" t="s">
        <v>0</v>
      </c>
      <c r="BD532" s="1">
        <v>46043</v>
      </c>
      <c r="BE532" t="s">
        <v>317</v>
      </c>
      <c r="BL532" s="4">
        <v>0</v>
      </c>
      <c r="BM532" s="1">
        <v>47031</v>
      </c>
      <c r="BN532" s="1">
        <v>46053</v>
      </c>
      <c r="BO532">
        <v>0</v>
      </c>
      <c r="BP532">
        <v>27748</v>
      </c>
      <c r="BQ532" t="s">
        <v>156</v>
      </c>
      <c r="BR532">
        <v>0</v>
      </c>
      <c r="BS532">
        <v>0</v>
      </c>
      <c r="BT532">
        <v>0</v>
      </c>
      <c r="BU532">
        <v>0</v>
      </c>
      <c r="BV532" s="3">
        <v>267800.32000000001</v>
      </c>
      <c r="BX532">
        <v>0</v>
      </c>
      <c r="BZ532">
        <v>0</v>
      </c>
      <c r="CA532">
        <v>0</v>
      </c>
      <c r="CB532">
        <v>0</v>
      </c>
      <c r="CC532" s="3">
        <v>267800.32000000001</v>
      </c>
      <c r="CD532" s="5">
        <v>0</v>
      </c>
      <c r="CF532" s="6">
        <v>46023</v>
      </c>
      <c r="CH532">
        <v>0</v>
      </c>
      <c r="CI532">
        <v>0</v>
      </c>
      <c r="CJ532">
        <v>0</v>
      </c>
      <c r="CK532">
        <v>0</v>
      </c>
      <c r="CL532">
        <v>0</v>
      </c>
      <c r="CM532">
        <v>0</v>
      </c>
      <c r="CN532">
        <v>0</v>
      </c>
      <c r="CO532">
        <v>0</v>
      </c>
      <c r="CP532">
        <v>0</v>
      </c>
      <c r="CQ532">
        <v>0</v>
      </c>
      <c r="CR532">
        <v>0</v>
      </c>
      <c r="CS532" t="s">
        <v>599</v>
      </c>
      <c r="CT532" t="s">
        <v>190</v>
      </c>
      <c r="CU532" t="s">
        <v>2131</v>
      </c>
      <c r="CW532">
        <v>464.9796</v>
      </c>
      <c r="CZ532" s="1">
        <v>46043</v>
      </c>
      <c r="DA532" t="s">
        <v>172</v>
      </c>
      <c r="DB532" t="s">
        <v>172</v>
      </c>
      <c r="DC532" t="s">
        <v>172</v>
      </c>
      <c r="DD532" t="s">
        <v>172</v>
      </c>
      <c r="DG532" s="1">
        <v>46043</v>
      </c>
      <c r="DH532">
        <v>0</v>
      </c>
      <c r="DI532">
        <v>0</v>
      </c>
      <c r="DJ532" s="1">
        <v>46055</v>
      </c>
      <c r="DL532" t="s">
        <v>963</v>
      </c>
      <c r="DM532" t="s">
        <v>172</v>
      </c>
      <c r="DN532" t="s">
        <v>511</v>
      </c>
      <c r="DV532" s="3">
        <v>267800.32000000001</v>
      </c>
      <c r="DW532">
        <v>0</v>
      </c>
      <c r="DX532" s="3">
        <v>267800.32000000001</v>
      </c>
      <c r="DY532">
        <v>0</v>
      </c>
      <c r="EF532" s="1">
        <v>46051</v>
      </c>
      <c r="EG532" s="1">
        <v>46049</v>
      </c>
      <c r="EK532" s="1">
        <v>46051</v>
      </c>
      <c r="EL532" s="1">
        <v>46051</v>
      </c>
      <c r="EN532" t="s">
        <v>156</v>
      </c>
      <c r="EP532" s="1">
        <v>46051</v>
      </c>
      <c r="ER532" s="1">
        <v>46050</v>
      </c>
      <c r="ES532" t="s">
        <v>3231</v>
      </c>
      <c r="EU532" s="1">
        <v>46049</v>
      </c>
      <c r="EW532" s="1">
        <v>46043</v>
      </c>
    </row>
    <row r="533" spans="1:153" ht="246.5" x14ac:dyDescent="0.35">
      <c r="A533" t="str">
        <f>HYPERLINK("https://7lm.cvcrm.com.br/gestor/comercial/reservas/6587/administrar","6587")</f>
        <v>6587</v>
      </c>
      <c r="B533" t="s">
        <v>156</v>
      </c>
      <c r="C533" s="1">
        <v>46043</v>
      </c>
      <c r="D533" s="2">
        <v>0.50337962962962968</v>
      </c>
      <c r="E533" t="s">
        <v>294</v>
      </c>
      <c r="F533" t="s">
        <v>458</v>
      </c>
      <c r="G533" t="s">
        <v>203</v>
      </c>
      <c r="H533" t="s">
        <v>391</v>
      </c>
      <c r="I533" t="s">
        <v>3232</v>
      </c>
      <c r="J533">
        <v>1</v>
      </c>
      <c r="L533">
        <v>20001</v>
      </c>
      <c r="M533" t="s">
        <v>3233</v>
      </c>
      <c r="N533" s="1">
        <v>46064</v>
      </c>
      <c r="O533" s="2">
        <v>0.7029050925925926</v>
      </c>
      <c r="R533" t="str">
        <f>HYPERLINK("https://7lm.cvcrm.com.br/gestor/relatorios/associado/html?q[1|r.idreserva]=6587","WEVERTON JESUS DOS SANTOS")</f>
        <v>WEVERTON JESUS DOS SANTOS</v>
      </c>
      <c r="S533">
        <v>3507739127</v>
      </c>
      <c r="T533">
        <v>5561986322743</v>
      </c>
      <c r="V533" t="s">
        <v>3234</v>
      </c>
      <c r="W533" t="s">
        <v>163</v>
      </c>
      <c r="X533" t="s">
        <v>299</v>
      </c>
      <c r="Y533" t="s">
        <v>189</v>
      </c>
      <c r="Z533" t="s">
        <v>214</v>
      </c>
      <c r="AA533" t="s">
        <v>3235</v>
      </c>
      <c r="AB533" t="s">
        <v>3236</v>
      </c>
      <c r="AC533" t="s">
        <v>1327</v>
      </c>
      <c r="AD533" t="s">
        <v>1328</v>
      </c>
      <c r="AF533" t="s">
        <v>634</v>
      </c>
      <c r="AG533" t="s">
        <v>195</v>
      </c>
      <c r="AH533" s="3">
        <v>218034</v>
      </c>
      <c r="AI533" s="3">
        <v>218034</v>
      </c>
      <c r="AJ533" s="1">
        <v>46047</v>
      </c>
      <c r="AN533" t="s">
        <v>172</v>
      </c>
      <c r="AR533" s="7" t="s">
        <v>353</v>
      </c>
      <c r="AT533" t="s">
        <v>196</v>
      </c>
      <c r="AU533" t="s">
        <v>316</v>
      </c>
      <c r="AW533">
        <v>0</v>
      </c>
      <c r="AX533" s="1">
        <v>46051</v>
      </c>
      <c r="AY533" s="2">
        <v>0.70748842592592598</v>
      </c>
      <c r="AZ533">
        <v>130584</v>
      </c>
      <c r="BA533" s="1">
        <v>45544</v>
      </c>
      <c r="BC533" t="s">
        <v>0</v>
      </c>
      <c r="BD533" s="1">
        <v>46043</v>
      </c>
      <c r="BE533" t="s">
        <v>317</v>
      </c>
      <c r="BL533" s="4">
        <v>0</v>
      </c>
      <c r="BM533" s="1">
        <v>46572</v>
      </c>
      <c r="BN533" s="1">
        <v>46051</v>
      </c>
      <c r="BO533">
        <v>0</v>
      </c>
      <c r="BP533">
        <v>27310</v>
      </c>
      <c r="BQ533" t="s">
        <v>156</v>
      </c>
      <c r="BR533" s="3">
        <v>130686.1</v>
      </c>
      <c r="BS533" s="3">
        <v>26968</v>
      </c>
      <c r="BT533">
        <v>0</v>
      </c>
      <c r="BU533" s="3">
        <v>157654.1</v>
      </c>
      <c r="BV533" s="3">
        <v>218034</v>
      </c>
      <c r="BX533">
        <v>0</v>
      </c>
      <c r="BZ533">
        <v>0</v>
      </c>
      <c r="CA533">
        <v>0</v>
      </c>
      <c r="CB533">
        <v>0</v>
      </c>
      <c r="CC533" s="3">
        <v>218034</v>
      </c>
      <c r="CD533" s="5">
        <v>0</v>
      </c>
      <c r="CE533" t="s">
        <v>467</v>
      </c>
      <c r="CF533" s="6">
        <v>46023</v>
      </c>
      <c r="CH533">
        <v>0</v>
      </c>
      <c r="CI533">
        <v>0</v>
      </c>
      <c r="CJ533">
        <v>0</v>
      </c>
      <c r="CK533">
        <v>0</v>
      </c>
      <c r="CL533">
        <v>0</v>
      </c>
      <c r="CM533">
        <v>0</v>
      </c>
      <c r="CN533">
        <v>0</v>
      </c>
      <c r="CO533">
        <v>0</v>
      </c>
      <c r="CP533">
        <v>0</v>
      </c>
      <c r="CQ533">
        <v>0</v>
      </c>
      <c r="CR533">
        <v>0</v>
      </c>
      <c r="CS533" t="s">
        <v>360</v>
      </c>
      <c r="CT533" t="s">
        <v>214</v>
      </c>
      <c r="CU533" t="s">
        <v>3232</v>
      </c>
      <c r="CW533">
        <v>376.05680000000001</v>
      </c>
      <c r="CZ533" s="1">
        <v>46043</v>
      </c>
      <c r="DA533" t="s">
        <v>172</v>
      </c>
      <c r="DB533" t="s">
        <v>172</v>
      </c>
      <c r="DC533" t="s">
        <v>172</v>
      </c>
      <c r="DD533" t="s">
        <v>172</v>
      </c>
      <c r="DG533" s="1">
        <v>46043</v>
      </c>
      <c r="DH533">
        <v>0</v>
      </c>
      <c r="DI533">
        <v>0</v>
      </c>
      <c r="DJ533" s="1">
        <v>46051</v>
      </c>
      <c r="DL533" t="s">
        <v>200</v>
      </c>
      <c r="DM533" t="s">
        <v>172</v>
      </c>
      <c r="DN533" t="s">
        <v>201</v>
      </c>
      <c r="DV533" s="3">
        <v>218034</v>
      </c>
      <c r="DW533">
        <v>0</v>
      </c>
      <c r="DX533" s="3">
        <v>218034</v>
      </c>
      <c r="DY533">
        <v>0</v>
      </c>
      <c r="EF533" s="1">
        <v>46049</v>
      </c>
      <c r="EG533" s="1">
        <v>46044</v>
      </c>
      <c r="EK533" s="1">
        <v>46049</v>
      </c>
      <c r="EN533" t="s">
        <v>156</v>
      </c>
      <c r="EP533" s="1">
        <v>46045</v>
      </c>
      <c r="ET533" t="s">
        <v>2608</v>
      </c>
      <c r="EU533" s="1">
        <v>46049</v>
      </c>
      <c r="EW533" s="1">
        <v>46043</v>
      </c>
    </row>
    <row r="534" spans="1:153" ht="246.5" x14ac:dyDescent="0.35">
      <c r="A534" t="str">
        <f>HYPERLINK("https://7lm.cvcrm.com.br/gestor/comercial/reservas/6586/administrar","6586")</f>
        <v>6586</v>
      </c>
      <c r="B534" t="s">
        <v>156</v>
      </c>
      <c r="C534" s="1">
        <v>46043</v>
      </c>
      <c r="D534" s="2">
        <v>0.4629050925925926</v>
      </c>
      <c r="E534" t="s">
        <v>294</v>
      </c>
      <c r="F534" t="s">
        <v>957</v>
      </c>
      <c r="G534" t="s">
        <v>159</v>
      </c>
      <c r="H534" t="s">
        <v>362</v>
      </c>
      <c r="I534" t="s">
        <v>766</v>
      </c>
      <c r="J534">
        <v>1</v>
      </c>
      <c r="L534">
        <v>30121</v>
      </c>
      <c r="M534" t="s">
        <v>3237</v>
      </c>
      <c r="N534" s="1">
        <v>46058</v>
      </c>
      <c r="O534" s="2">
        <v>0.45340277777777777</v>
      </c>
      <c r="R534" t="str">
        <f>HYPERLINK("https://7lm.cvcrm.com.br/gestor/relatorios/associado/html?q[1|r.idreserva]=6586","ARICELMA SOUZA SOARES")</f>
        <v>ARICELMA SOUZA SOARES</v>
      </c>
      <c r="S534">
        <v>6009319196</v>
      </c>
      <c r="T534">
        <v>5561999996022</v>
      </c>
      <c r="V534" t="s">
        <v>3238</v>
      </c>
      <c r="W534" t="s">
        <v>187</v>
      </c>
      <c r="X534" t="s">
        <v>3239</v>
      </c>
      <c r="Y534" t="s">
        <v>189</v>
      </c>
      <c r="Z534" t="s">
        <v>190</v>
      </c>
      <c r="AA534" t="s">
        <v>2715</v>
      </c>
      <c r="AB534" t="s">
        <v>3240</v>
      </c>
      <c r="AC534" t="s">
        <v>1493</v>
      </c>
      <c r="AD534" t="s">
        <v>1493</v>
      </c>
      <c r="AF534" t="s">
        <v>250</v>
      </c>
      <c r="AG534" t="s">
        <v>251</v>
      </c>
      <c r="AH534" s="3">
        <v>245925.3</v>
      </c>
      <c r="AI534" s="3">
        <v>245925.3</v>
      </c>
      <c r="AJ534" s="1">
        <v>46074</v>
      </c>
      <c r="AN534" t="s">
        <v>172</v>
      </c>
      <c r="AR534" s="7" t="s">
        <v>353</v>
      </c>
      <c r="AT534" t="s">
        <v>261</v>
      </c>
      <c r="AU534" t="s">
        <v>175</v>
      </c>
      <c r="AW534">
        <v>0</v>
      </c>
      <c r="AX534" s="1">
        <v>46055</v>
      </c>
      <c r="AY534" s="2">
        <v>0.38850694444444445</v>
      </c>
      <c r="AZ534">
        <v>185383</v>
      </c>
      <c r="BA534" s="1">
        <v>46043</v>
      </c>
      <c r="BC534" t="s">
        <v>0</v>
      </c>
      <c r="BD534" s="1">
        <v>46043</v>
      </c>
      <c r="BE534" t="s">
        <v>175</v>
      </c>
      <c r="BL534" s="4">
        <v>0</v>
      </c>
      <c r="BM534" s="1">
        <v>47031</v>
      </c>
      <c r="BN534" s="1">
        <v>46053</v>
      </c>
      <c r="BO534">
        <v>0</v>
      </c>
      <c r="BP534">
        <v>27716</v>
      </c>
      <c r="BQ534" t="s">
        <v>156</v>
      </c>
      <c r="BR534">
        <v>0</v>
      </c>
      <c r="BS534">
        <v>0</v>
      </c>
      <c r="BT534">
        <v>0</v>
      </c>
      <c r="BU534">
        <v>0</v>
      </c>
      <c r="BV534" s="3">
        <v>245925.3</v>
      </c>
      <c r="BX534">
        <v>0</v>
      </c>
      <c r="BZ534">
        <v>0</v>
      </c>
      <c r="CA534">
        <v>0</v>
      </c>
      <c r="CB534">
        <v>0</v>
      </c>
      <c r="CC534" s="3">
        <v>245925.3</v>
      </c>
      <c r="CD534" s="5">
        <v>0</v>
      </c>
      <c r="CF534" s="6">
        <v>46023</v>
      </c>
      <c r="CH534">
        <v>0</v>
      </c>
      <c r="CI534">
        <v>0</v>
      </c>
      <c r="CJ534">
        <v>0</v>
      </c>
      <c r="CK534">
        <v>0</v>
      </c>
      <c r="CL534">
        <v>0</v>
      </c>
      <c r="CM534">
        <v>0</v>
      </c>
      <c r="CN534">
        <v>0</v>
      </c>
      <c r="CO534">
        <v>0</v>
      </c>
      <c r="CP534">
        <v>0</v>
      </c>
      <c r="CQ534">
        <v>0</v>
      </c>
      <c r="CR534">
        <v>0</v>
      </c>
      <c r="CS534" t="s">
        <v>649</v>
      </c>
      <c r="CT534" t="s">
        <v>190</v>
      </c>
      <c r="CU534" t="s">
        <v>766</v>
      </c>
      <c r="CW534">
        <v>418.8297</v>
      </c>
      <c r="CZ534" s="1">
        <v>46043</v>
      </c>
      <c r="DA534" t="s">
        <v>172</v>
      </c>
      <c r="DB534" t="s">
        <v>172</v>
      </c>
      <c r="DC534" t="s">
        <v>172</v>
      </c>
      <c r="DD534" t="s">
        <v>172</v>
      </c>
      <c r="DG534" s="1">
        <v>46043</v>
      </c>
      <c r="DH534">
        <v>0</v>
      </c>
      <c r="DI534">
        <v>0</v>
      </c>
      <c r="DJ534" s="1">
        <v>46055</v>
      </c>
      <c r="DL534" t="s">
        <v>963</v>
      </c>
      <c r="DM534" t="s">
        <v>172</v>
      </c>
      <c r="DN534" t="s">
        <v>201</v>
      </c>
      <c r="DV534" s="3">
        <v>245925.3</v>
      </c>
      <c r="DW534">
        <v>0</v>
      </c>
      <c r="DX534" s="3">
        <v>245925.3</v>
      </c>
      <c r="DY534">
        <v>0</v>
      </c>
      <c r="EF534" s="1">
        <v>46051</v>
      </c>
      <c r="EG534" s="1">
        <v>46049</v>
      </c>
      <c r="EK534" s="1">
        <v>46051</v>
      </c>
      <c r="EL534" s="1">
        <v>46051</v>
      </c>
      <c r="EN534" t="s">
        <v>156</v>
      </c>
      <c r="EP534" s="1">
        <v>46051</v>
      </c>
      <c r="ES534" t="s">
        <v>3241</v>
      </c>
      <c r="EU534" s="1">
        <v>46049</v>
      </c>
      <c r="EW534" s="1">
        <v>46044</v>
      </c>
    </row>
    <row r="535" spans="1:153" x14ac:dyDescent="0.35">
      <c r="A535" t="str">
        <f>HYPERLINK("https://7lm.cvcrm.com.br/gestor/comercial/reservas/6585/administrar","6585")</f>
        <v>6585</v>
      </c>
      <c r="B535" t="s">
        <v>156</v>
      </c>
      <c r="C535" s="1">
        <v>46043</v>
      </c>
      <c r="D535" s="2">
        <v>0.45717592592592593</v>
      </c>
      <c r="E535" t="s">
        <v>294</v>
      </c>
      <c r="F535" t="s">
        <v>458</v>
      </c>
      <c r="G535" t="s">
        <v>203</v>
      </c>
      <c r="H535" t="s">
        <v>404</v>
      </c>
      <c r="I535" t="s">
        <v>608</v>
      </c>
      <c r="J535">
        <v>1</v>
      </c>
      <c r="L535">
        <v>20001</v>
      </c>
      <c r="M535" t="s">
        <v>3242</v>
      </c>
      <c r="N535" s="1">
        <v>46052</v>
      </c>
      <c r="O535" s="2">
        <v>0.40299768518518519</v>
      </c>
      <c r="R535" t="str">
        <f>HYPERLINK("https://7lm.cvcrm.com.br/gestor/relatorios/associado/html?q[1|r.idreserva]=6585","JOÃO VICTOR ANDRADE FREIRE")</f>
        <v>JOÃO VICTOR ANDRADE FREIRE</v>
      </c>
      <c r="S535">
        <v>5114704109</v>
      </c>
      <c r="T535">
        <v>5561982451362</v>
      </c>
      <c r="V535" t="s">
        <v>3243</v>
      </c>
      <c r="W535" t="s">
        <v>163</v>
      </c>
      <c r="X535" t="s">
        <v>452</v>
      </c>
      <c r="Y535" t="s">
        <v>189</v>
      </c>
      <c r="Z535" t="s">
        <v>214</v>
      </c>
      <c r="AA535" t="s">
        <v>3244</v>
      </c>
      <c r="AB535" t="s">
        <v>3245</v>
      </c>
      <c r="AC535" t="s">
        <v>1091</v>
      </c>
      <c r="AD535" t="s">
        <v>1092</v>
      </c>
      <c r="AF535" t="s">
        <v>212</v>
      </c>
      <c r="AG535" t="s">
        <v>284</v>
      </c>
      <c r="AH535" s="3">
        <v>215000</v>
      </c>
      <c r="AI535" s="3">
        <v>215000</v>
      </c>
      <c r="AJ535" s="1">
        <v>46670</v>
      </c>
      <c r="AN535" t="s">
        <v>172</v>
      </c>
      <c r="AR535" t="s">
        <v>3246</v>
      </c>
      <c r="AT535" t="s">
        <v>196</v>
      </c>
      <c r="AU535" t="s">
        <v>175</v>
      </c>
      <c r="AW535">
        <v>0</v>
      </c>
      <c r="AX535" s="1">
        <v>46051</v>
      </c>
      <c r="AY535" s="2">
        <v>0.71665509259259264</v>
      </c>
      <c r="AZ535">
        <v>185376</v>
      </c>
      <c r="BA535" s="1">
        <v>46043</v>
      </c>
      <c r="BC535" t="s">
        <v>0</v>
      </c>
      <c r="BD535" s="1">
        <v>46043</v>
      </c>
      <c r="BE535" t="s">
        <v>175</v>
      </c>
      <c r="BL535" s="4">
        <v>0</v>
      </c>
      <c r="BM535" s="1">
        <v>46572</v>
      </c>
      <c r="BN535" s="1">
        <v>46051</v>
      </c>
      <c r="BO535">
        <v>0</v>
      </c>
      <c r="BP535">
        <v>27713</v>
      </c>
      <c r="BQ535" t="s">
        <v>156</v>
      </c>
      <c r="BR535" s="3">
        <v>168727.94</v>
      </c>
      <c r="BS535" s="3">
        <v>14427</v>
      </c>
      <c r="BT535">
        <v>0</v>
      </c>
      <c r="BU535" s="3">
        <v>183154.94</v>
      </c>
      <c r="BV535" s="3">
        <v>215000</v>
      </c>
      <c r="BX535">
        <v>0</v>
      </c>
      <c r="BZ535">
        <v>0</v>
      </c>
      <c r="CA535">
        <v>0</v>
      </c>
      <c r="CB535">
        <v>0</v>
      </c>
      <c r="CC535" s="3">
        <v>215000</v>
      </c>
      <c r="CD535" s="5">
        <v>0</v>
      </c>
      <c r="CE535" t="s">
        <v>467</v>
      </c>
      <c r="CF535" s="6">
        <v>46023</v>
      </c>
      <c r="CH535">
        <v>0</v>
      </c>
      <c r="CI535">
        <v>0</v>
      </c>
      <c r="CJ535">
        <v>0</v>
      </c>
      <c r="CK535">
        <v>0</v>
      </c>
      <c r="CL535">
        <v>0</v>
      </c>
      <c r="CM535">
        <v>0</v>
      </c>
      <c r="CN535">
        <v>0</v>
      </c>
      <c r="CO535">
        <v>0</v>
      </c>
      <c r="CP535">
        <v>0</v>
      </c>
      <c r="CQ535">
        <v>0</v>
      </c>
      <c r="CR535">
        <v>0</v>
      </c>
      <c r="CS535" t="s">
        <v>360</v>
      </c>
      <c r="CT535" t="s">
        <v>214</v>
      </c>
      <c r="CU535" t="s">
        <v>608</v>
      </c>
      <c r="CW535">
        <v>369.4323</v>
      </c>
      <c r="CZ535" s="1">
        <v>46043</v>
      </c>
      <c r="DA535" t="s">
        <v>172</v>
      </c>
      <c r="DB535" t="s">
        <v>172</v>
      </c>
      <c r="DC535" t="s">
        <v>172</v>
      </c>
      <c r="DD535" t="s">
        <v>172</v>
      </c>
      <c r="DG535" s="1">
        <v>46043</v>
      </c>
      <c r="DH535">
        <v>0</v>
      </c>
      <c r="DI535">
        <v>0</v>
      </c>
      <c r="DJ535" s="1">
        <v>46051</v>
      </c>
      <c r="DL535" t="s">
        <v>200</v>
      </c>
      <c r="DM535" t="s">
        <v>172</v>
      </c>
      <c r="DN535" t="s">
        <v>201</v>
      </c>
      <c r="DV535" s="3">
        <v>215000</v>
      </c>
      <c r="DW535">
        <v>0</v>
      </c>
      <c r="DX535" s="3">
        <v>215000</v>
      </c>
      <c r="DY535">
        <v>0</v>
      </c>
      <c r="EN535" t="s">
        <v>156</v>
      </c>
      <c r="EP535" s="1">
        <v>46049</v>
      </c>
      <c r="EU535" s="1">
        <v>46051</v>
      </c>
      <c r="EW535" s="1">
        <v>46043</v>
      </c>
    </row>
    <row r="536" spans="1:153" ht="362.5" x14ac:dyDescent="0.35">
      <c r="A536" t="str">
        <f>HYPERLINK("https://7lm.cvcrm.com.br/gestor/comercial/reservas/6584/administrar","6584")</f>
        <v>6584</v>
      </c>
      <c r="B536" t="s">
        <v>172</v>
      </c>
      <c r="C536" s="1">
        <v>46042</v>
      </c>
      <c r="D536" s="2">
        <v>0.8454976851851852</v>
      </c>
      <c r="E536" t="s">
        <v>527</v>
      </c>
      <c r="F536" t="s">
        <v>216</v>
      </c>
      <c r="G536" t="s">
        <v>159</v>
      </c>
      <c r="H536" t="s">
        <v>277</v>
      </c>
      <c r="I536" t="s">
        <v>278</v>
      </c>
      <c r="J536">
        <v>1</v>
      </c>
      <c r="L536">
        <v>20061</v>
      </c>
      <c r="M536" t="s">
        <v>3247</v>
      </c>
      <c r="R536" t="str">
        <f>HYPERLINK("https://7lm.cvcrm.com.br/gestor/relatorios/associado/html?q[1|r.idreserva]=6584","CLEYTON PEREIRA DE OLIVEIRA")</f>
        <v>CLEYTON PEREIRA DE OLIVEIRA</v>
      </c>
      <c r="S536">
        <v>72316985149</v>
      </c>
      <c r="T536">
        <v>5561992719032</v>
      </c>
      <c r="U536">
        <v>5561991496916</v>
      </c>
      <c r="V536" t="s">
        <v>3248</v>
      </c>
      <c r="W536" t="s">
        <v>163</v>
      </c>
      <c r="X536" t="s">
        <v>2547</v>
      </c>
      <c r="Y536" t="s">
        <v>189</v>
      </c>
      <c r="Z536" t="s">
        <v>3249</v>
      </c>
      <c r="AA536" t="s">
        <v>3250</v>
      </c>
      <c r="AB536" t="s">
        <v>1263</v>
      </c>
      <c r="AC536" t="s">
        <v>785</v>
      </c>
      <c r="AD536" t="s">
        <v>785</v>
      </c>
      <c r="AF536" t="s">
        <v>634</v>
      </c>
      <c r="AG536" t="s">
        <v>195</v>
      </c>
      <c r="AH536" s="3">
        <v>206758.1</v>
      </c>
      <c r="AI536" s="3">
        <v>206758.1</v>
      </c>
      <c r="AJ536" s="1">
        <v>46096</v>
      </c>
      <c r="AN536" t="s">
        <v>172</v>
      </c>
      <c r="AO536" t="s">
        <v>1175</v>
      </c>
      <c r="AR536" s="7" t="s">
        <v>3251</v>
      </c>
      <c r="AT536" t="s">
        <v>196</v>
      </c>
      <c r="AU536" t="s">
        <v>316</v>
      </c>
      <c r="AW536">
        <v>0</v>
      </c>
      <c r="AX536" s="1">
        <v>46087</v>
      </c>
      <c r="AY536" s="2">
        <v>0.43490740740740741</v>
      </c>
      <c r="AZ536">
        <v>168773</v>
      </c>
      <c r="BA536" s="1">
        <v>45909</v>
      </c>
      <c r="BC536" t="s">
        <v>0</v>
      </c>
      <c r="BD536" s="1">
        <v>46042</v>
      </c>
      <c r="BE536" t="s">
        <v>213</v>
      </c>
      <c r="BL536" s="4">
        <v>0</v>
      </c>
      <c r="BM536" s="1">
        <v>46995</v>
      </c>
      <c r="BO536">
        <v>0</v>
      </c>
      <c r="BP536">
        <v>27613</v>
      </c>
      <c r="BQ536" t="s">
        <v>156</v>
      </c>
      <c r="BR536" s="3">
        <v>97629.55</v>
      </c>
      <c r="BS536" s="3">
        <v>55000</v>
      </c>
      <c r="BT536">
        <v>0</v>
      </c>
      <c r="BU536" s="3">
        <v>152629.54999999999</v>
      </c>
      <c r="BV536" s="3">
        <v>206758.1</v>
      </c>
      <c r="BX536">
        <v>0</v>
      </c>
      <c r="BZ536">
        <v>0</v>
      </c>
      <c r="CA536">
        <v>0</v>
      </c>
      <c r="CB536">
        <v>0</v>
      </c>
      <c r="CC536" s="3">
        <v>206758.1</v>
      </c>
      <c r="CD536" s="5">
        <v>0</v>
      </c>
      <c r="CF536" s="6">
        <v>46082</v>
      </c>
      <c r="CH536">
        <v>0</v>
      </c>
      <c r="CI536">
        <v>0</v>
      </c>
      <c r="CJ536">
        <v>0</v>
      </c>
      <c r="CK536">
        <v>0</v>
      </c>
      <c r="CL536">
        <v>0</v>
      </c>
      <c r="CM536">
        <v>0</v>
      </c>
      <c r="CN536">
        <v>0</v>
      </c>
      <c r="CO536">
        <v>0</v>
      </c>
      <c r="CP536">
        <v>0</v>
      </c>
      <c r="CQ536">
        <v>0</v>
      </c>
      <c r="CR536">
        <v>0</v>
      </c>
      <c r="CT536" t="s">
        <v>214</v>
      </c>
      <c r="CU536" t="s">
        <v>278</v>
      </c>
      <c r="CW536">
        <v>0</v>
      </c>
      <c r="CZ536" s="1">
        <v>46042</v>
      </c>
      <c r="DA536" t="s">
        <v>172</v>
      </c>
      <c r="DB536" t="s">
        <v>172</v>
      </c>
      <c r="DC536" t="s">
        <v>172</v>
      </c>
      <c r="DD536" t="s">
        <v>172</v>
      </c>
      <c r="DG536" s="1">
        <v>46042</v>
      </c>
      <c r="DH536">
        <v>0</v>
      </c>
      <c r="DI536">
        <v>0</v>
      </c>
      <c r="DK536" t="s">
        <v>179</v>
      </c>
      <c r="DL536" t="s">
        <v>215</v>
      </c>
      <c r="DM536" t="s">
        <v>172</v>
      </c>
      <c r="DN536" t="s">
        <v>201</v>
      </c>
      <c r="DV536" s="3">
        <v>206758.1</v>
      </c>
      <c r="DW536">
        <v>0</v>
      </c>
      <c r="DX536" s="3">
        <v>206758.1</v>
      </c>
      <c r="DY536">
        <v>0</v>
      </c>
      <c r="EN536" t="s">
        <v>537</v>
      </c>
      <c r="ET536" t="s">
        <v>3252</v>
      </c>
      <c r="EW536" s="1">
        <v>46042</v>
      </c>
    </row>
    <row r="537" spans="1:153" x14ac:dyDescent="0.35">
      <c r="A537" t="str">
        <f>HYPERLINK("https://7lm.cvcrm.com.br/gestor/comercial/reservas/6583/administrar","6583")</f>
        <v>6583</v>
      </c>
      <c r="B537" t="s">
        <v>156</v>
      </c>
      <c r="C537" s="1">
        <v>46042</v>
      </c>
      <c r="D537" s="2">
        <v>0.73696759259259259</v>
      </c>
      <c r="E537" t="s">
        <v>527</v>
      </c>
      <c r="F537" t="s">
        <v>216</v>
      </c>
      <c r="G537" t="s">
        <v>159</v>
      </c>
      <c r="H537" t="s">
        <v>319</v>
      </c>
      <c r="I537" t="s">
        <v>3253</v>
      </c>
      <c r="J537">
        <v>1</v>
      </c>
      <c r="L537">
        <v>20061</v>
      </c>
      <c r="M537" t="s">
        <v>3254</v>
      </c>
      <c r="N537" s="1">
        <v>46042</v>
      </c>
      <c r="O537" s="2">
        <v>0.74072916666666666</v>
      </c>
      <c r="R537" t="str">
        <f>HYPERLINK("https://7lm.cvcrm.com.br/gestor/relatorios/associado/html?q[1|r.idreserva]=6583","LUAN DE SOUSA LIMA")</f>
        <v>LUAN DE SOUSA LIMA</v>
      </c>
      <c r="S537">
        <v>6808410160</v>
      </c>
      <c r="T537">
        <v>5561983778234</v>
      </c>
      <c r="V537" t="s">
        <v>3255</v>
      </c>
      <c r="W537" t="s">
        <v>163</v>
      </c>
      <c r="X537" t="s">
        <v>299</v>
      </c>
      <c r="Y537" t="s">
        <v>189</v>
      </c>
      <c r="AA537" t="s">
        <v>3256</v>
      </c>
      <c r="AB537" t="s">
        <v>3257</v>
      </c>
      <c r="AC537" t="s">
        <v>425</v>
      </c>
      <c r="AF537" t="s">
        <v>389</v>
      </c>
      <c r="AG537" t="s">
        <v>195</v>
      </c>
      <c r="AH537" s="3">
        <v>222000.02</v>
      </c>
      <c r="AI537" s="3">
        <v>222000.02</v>
      </c>
      <c r="AJ537" s="1">
        <v>46073</v>
      </c>
      <c r="AN537" t="s">
        <v>172</v>
      </c>
      <c r="AO537" t="s">
        <v>261</v>
      </c>
      <c r="AR537" t="s">
        <v>3258</v>
      </c>
      <c r="AT537" t="s">
        <v>196</v>
      </c>
      <c r="AU537" t="s">
        <v>292</v>
      </c>
      <c r="AW537">
        <v>0</v>
      </c>
      <c r="AX537" s="1">
        <v>46051</v>
      </c>
      <c r="AY537" s="2">
        <v>0.68424768518518519</v>
      </c>
      <c r="AZ537">
        <v>151075</v>
      </c>
      <c r="BA537" s="1">
        <v>45719</v>
      </c>
      <c r="BC537" t="s">
        <v>0</v>
      </c>
      <c r="BD537" s="1">
        <v>46042</v>
      </c>
      <c r="BE537" t="s">
        <v>317</v>
      </c>
      <c r="BL537" s="4">
        <v>0</v>
      </c>
      <c r="BM537" s="1">
        <v>46995</v>
      </c>
      <c r="BO537">
        <v>0</v>
      </c>
      <c r="BP537">
        <v>23863</v>
      </c>
      <c r="BQ537" t="s">
        <v>156</v>
      </c>
      <c r="BR537">
        <v>0</v>
      </c>
      <c r="BS537">
        <v>0</v>
      </c>
      <c r="BT537">
        <v>0</v>
      </c>
      <c r="BU537">
        <v>0</v>
      </c>
      <c r="BV537" s="3">
        <v>222000.02</v>
      </c>
      <c r="BX537">
        <v>0</v>
      </c>
      <c r="BZ537">
        <v>0</v>
      </c>
      <c r="CA537">
        <v>0</v>
      </c>
      <c r="CB537">
        <v>0</v>
      </c>
      <c r="CC537" s="3">
        <v>222000.02</v>
      </c>
      <c r="CD537" s="5">
        <v>0</v>
      </c>
      <c r="CF537" s="6">
        <v>46023</v>
      </c>
      <c r="CH537">
        <v>0</v>
      </c>
      <c r="CI537">
        <v>0</v>
      </c>
      <c r="CJ537">
        <v>0</v>
      </c>
      <c r="CK537">
        <v>0</v>
      </c>
      <c r="CL537">
        <v>0</v>
      </c>
      <c r="CM537">
        <v>0</v>
      </c>
      <c r="CN537">
        <v>0</v>
      </c>
      <c r="CO537">
        <v>0</v>
      </c>
      <c r="CP537">
        <v>0</v>
      </c>
      <c r="CQ537">
        <v>0</v>
      </c>
      <c r="CR537">
        <v>0</v>
      </c>
      <c r="CS537" t="s">
        <v>2497</v>
      </c>
      <c r="CT537" t="s">
        <v>214</v>
      </c>
      <c r="CU537" t="s">
        <v>3253</v>
      </c>
      <c r="CW537">
        <v>368.35449999999997</v>
      </c>
      <c r="CZ537" s="1">
        <v>46042</v>
      </c>
      <c r="DA537" t="s">
        <v>172</v>
      </c>
      <c r="DB537" t="s">
        <v>172</v>
      </c>
      <c r="DC537" t="s">
        <v>172</v>
      </c>
      <c r="DD537" t="s">
        <v>172</v>
      </c>
      <c r="DG537" s="1">
        <v>46042</v>
      </c>
      <c r="DH537">
        <v>0</v>
      </c>
      <c r="DI537">
        <v>0</v>
      </c>
      <c r="DK537" t="s">
        <v>179</v>
      </c>
      <c r="DL537" t="s">
        <v>224</v>
      </c>
      <c r="DM537" t="s">
        <v>172</v>
      </c>
      <c r="DN537" t="s">
        <v>201</v>
      </c>
      <c r="DV537" s="3">
        <v>222000.02</v>
      </c>
      <c r="DW537">
        <v>0</v>
      </c>
      <c r="DX537" s="3">
        <v>222000.02</v>
      </c>
      <c r="DY537">
        <v>0</v>
      </c>
      <c r="EN537" t="s">
        <v>172</v>
      </c>
      <c r="EU537" s="1">
        <v>46055</v>
      </c>
      <c r="EW537" s="1">
        <v>46043</v>
      </c>
    </row>
    <row r="538" spans="1:153" x14ac:dyDescent="0.35">
      <c r="A538" t="str">
        <f>HYPERLINK("https://7lm.cvcrm.com.br/gestor/comercial/reservas/6582/administrar","6582")</f>
        <v>6582</v>
      </c>
      <c r="B538" t="s">
        <v>172</v>
      </c>
      <c r="C538" s="1">
        <v>46042</v>
      </c>
      <c r="D538" s="2">
        <v>0.67252314814814818</v>
      </c>
      <c r="E538" t="s">
        <v>527</v>
      </c>
      <c r="F538" t="s">
        <v>957</v>
      </c>
      <c r="G538" t="s">
        <v>159</v>
      </c>
      <c r="H538" t="s">
        <v>2083</v>
      </c>
      <c r="I538" t="s">
        <v>2619</v>
      </c>
      <c r="J538">
        <v>1</v>
      </c>
      <c r="L538">
        <v>30121</v>
      </c>
      <c r="M538" t="s">
        <v>2620</v>
      </c>
      <c r="R538" t="str">
        <f>HYPERLINK("https://7lm.cvcrm.com.br/gestor/relatorios/associado/html?q[1|r.idreserva]=6582","EDUARDO DA SILVA CARLOS")</f>
        <v>EDUARDO DA SILVA CARLOS</v>
      </c>
      <c r="S538">
        <v>8331515170</v>
      </c>
      <c r="T538">
        <v>5561998694192</v>
      </c>
      <c r="V538" t="s">
        <v>3259</v>
      </c>
      <c r="W538" t="s">
        <v>163</v>
      </c>
      <c r="X538" t="s">
        <v>2626</v>
      </c>
      <c r="Y538" t="s">
        <v>189</v>
      </c>
      <c r="Z538" t="s">
        <v>190</v>
      </c>
      <c r="AA538" t="s">
        <v>480</v>
      </c>
      <c r="AB538" t="s">
        <v>3260</v>
      </c>
      <c r="AC538" t="s">
        <v>302</v>
      </c>
      <c r="AD538" t="s">
        <v>302</v>
      </c>
      <c r="AF538" t="s">
        <v>303</v>
      </c>
      <c r="AG538" t="s">
        <v>251</v>
      </c>
      <c r="AH538" s="3">
        <v>245041.22</v>
      </c>
      <c r="AI538" s="3">
        <v>245041.22</v>
      </c>
      <c r="AJ538" s="1">
        <v>46042</v>
      </c>
      <c r="AN538" t="s">
        <v>172</v>
      </c>
      <c r="AO538" t="s">
        <v>3261</v>
      </c>
      <c r="AR538" t="s">
        <v>3262</v>
      </c>
      <c r="AT538" t="s">
        <v>261</v>
      </c>
      <c r="AU538" t="s">
        <v>1073</v>
      </c>
      <c r="AW538">
        <v>0</v>
      </c>
      <c r="AX538" s="1">
        <v>46044</v>
      </c>
      <c r="AY538" s="2">
        <v>0.34480324074074076</v>
      </c>
      <c r="AZ538">
        <v>184941</v>
      </c>
      <c r="BA538" s="1">
        <v>46041</v>
      </c>
      <c r="BC538" t="s">
        <v>0</v>
      </c>
      <c r="BD538" s="1">
        <v>46042</v>
      </c>
      <c r="BE538" t="s">
        <v>276</v>
      </c>
      <c r="BL538" s="4">
        <v>0</v>
      </c>
      <c r="BM538" s="1">
        <v>47031</v>
      </c>
      <c r="BO538">
        <v>0</v>
      </c>
      <c r="BP538">
        <v>27627</v>
      </c>
      <c r="BQ538" t="s">
        <v>156</v>
      </c>
      <c r="BR538" s="3">
        <v>136096.22</v>
      </c>
      <c r="BS538" s="3">
        <v>24961</v>
      </c>
      <c r="BT538">
        <v>0</v>
      </c>
      <c r="BU538" s="3">
        <v>161057.22</v>
      </c>
      <c r="BV538" s="3">
        <v>245041.22</v>
      </c>
      <c r="BX538">
        <v>0</v>
      </c>
      <c r="BZ538">
        <v>0</v>
      </c>
      <c r="CA538">
        <v>0</v>
      </c>
      <c r="CB538">
        <v>0</v>
      </c>
      <c r="CC538" s="3">
        <v>245041.22</v>
      </c>
      <c r="CD538" s="5">
        <v>0</v>
      </c>
      <c r="CF538" s="6">
        <v>46023</v>
      </c>
      <c r="CH538">
        <v>0</v>
      </c>
      <c r="CI538">
        <v>0</v>
      </c>
      <c r="CJ538">
        <v>0</v>
      </c>
      <c r="CK538">
        <v>0</v>
      </c>
      <c r="CL538">
        <v>0</v>
      </c>
      <c r="CM538">
        <v>0</v>
      </c>
      <c r="CN538">
        <v>0</v>
      </c>
      <c r="CO538">
        <v>0</v>
      </c>
      <c r="CP538">
        <v>0</v>
      </c>
      <c r="CQ538">
        <v>0</v>
      </c>
      <c r="CR538">
        <v>0</v>
      </c>
      <c r="CT538" t="s">
        <v>190</v>
      </c>
      <c r="CU538" t="s">
        <v>2619</v>
      </c>
      <c r="CW538">
        <v>0</v>
      </c>
      <c r="CZ538" s="1">
        <v>46042</v>
      </c>
      <c r="DA538" t="s">
        <v>172</v>
      </c>
      <c r="DB538" t="s">
        <v>172</v>
      </c>
      <c r="DC538" t="s">
        <v>172</v>
      </c>
      <c r="DD538" t="s">
        <v>172</v>
      </c>
      <c r="DG538" s="1">
        <v>46042</v>
      </c>
      <c r="DH538">
        <v>0</v>
      </c>
      <c r="DI538">
        <v>0</v>
      </c>
      <c r="DL538" t="s">
        <v>963</v>
      </c>
      <c r="DM538" t="s">
        <v>172</v>
      </c>
      <c r="DN538" t="s">
        <v>201</v>
      </c>
      <c r="DV538" s="3">
        <v>245041.22</v>
      </c>
      <c r="DW538">
        <v>0</v>
      </c>
      <c r="DX538" s="3">
        <v>245041.22</v>
      </c>
      <c r="DY538">
        <v>0</v>
      </c>
      <c r="EN538" t="s">
        <v>537</v>
      </c>
      <c r="ET538" t="s">
        <v>3263</v>
      </c>
      <c r="EU538" s="1">
        <v>46044</v>
      </c>
      <c r="EW538" s="1">
        <v>46042</v>
      </c>
    </row>
    <row r="539" spans="1:153" ht="246.5" x14ac:dyDescent="0.35">
      <c r="A539" t="str">
        <f>HYPERLINK("https://7lm.cvcrm.com.br/gestor/comercial/reservas/6581/administrar","6581")</f>
        <v>6581</v>
      </c>
      <c r="B539" t="s">
        <v>156</v>
      </c>
      <c r="C539" s="1">
        <v>46042</v>
      </c>
      <c r="D539" s="2">
        <v>0.65327546296296302</v>
      </c>
      <c r="E539" t="s">
        <v>294</v>
      </c>
      <c r="F539" t="s">
        <v>957</v>
      </c>
      <c r="G539" t="s">
        <v>159</v>
      </c>
      <c r="H539" t="s">
        <v>183</v>
      </c>
      <c r="I539" t="s">
        <v>1283</v>
      </c>
      <c r="J539">
        <v>1</v>
      </c>
      <c r="L539">
        <v>30121</v>
      </c>
      <c r="M539" t="s">
        <v>3264</v>
      </c>
      <c r="N539" s="1">
        <v>46052</v>
      </c>
      <c r="O539" s="2">
        <v>0.69978009259259255</v>
      </c>
      <c r="R539" t="str">
        <f>HYPERLINK("https://7lm.cvcrm.com.br/gestor/relatorios/associado/html?q[1|r.idreserva]=6581","ADRIANA LIMA DOS REIS")</f>
        <v>ADRIANA LIMA DOS REIS</v>
      </c>
      <c r="S539">
        <v>3354836156</v>
      </c>
      <c r="T539">
        <v>5561991383612</v>
      </c>
      <c r="V539" t="s">
        <v>3265</v>
      </c>
      <c r="W539" t="s">
        <v>187</v>
      </c>
      <c r="X539" t="s">
        <v>395</v>
      </c>
      <c r="Y539" t="s">
        <v>189</v>
      </c>
      <c r="Z539" t="s">
        <v>190</v>
      </c>
      <c r="AA539" t="s">
        <v>1840</v>
      </c>
      <c r="AB539" t="s">
        <v>3266</v>
      </c>
      <c r="AC539" t="s">
        <v>534</v>
      </c>
      <c r="AF539" t="s">
        <v>352</v>
      </c>
      <c r="AG539" t="s">
        <v>251</v>
      </c>
      <c r="AH539" s="3">
        <v>244933.99</v>
      </c>
      <c r="AI539" s="3">
        <v>244933.99</v>
      </c>
      <c r="AJ539" s="1">
        <v>46096</v>
      </c>
      <c r="AN539" t="s">
        <v>172</v>
      </c>
      <c r="AR539" s="7" t="s">
        <v>353</v>
      </c>
      <c r="AT539" t="s">
        <v>1350</v>
      </c>
      <c r="AU539" t="s">
        <v>888</v>
      </c>
      <c r="AW539">
        <v>0</v>
      </c>
      <c r="AX539" s="1">
        <v>46052</v>
      </c>
      <c r="AY539" s="2">
        <v>0.70976851851851852</v>
      </c>
      <c r="AZ539">
        <v>183943</v>
      </c>
      <c r="BA539" s="1">
        <v>46036</v>
      </c>
      <c r="BC539" t="s">
        <v>0</v>
      </c>
      <c r="BD539" s="1">
        <v>46042</v>
      </c>
      <c r="BE539" t="s">
        <v>889</v>
      </c>
      <c r="BL539" s="4">
        <v>0</v>
      </c>
      <c r="BM539" s="1">
        <v>47031</v>
      </c>
      <c r="BN539" s="1">
        <v>46052</v>
      </c>
      <c r="BO539">
        <v>0</v>
      </c>
      <c r="BP539">
        <v>27532</v>
      </c>
      <c r="BQ539" t="s">
        <v>156</v>
      </c>
      <c r="BR539" s="3">
        <v>132736.87</v>
      </c>
      <c r="BS539" s="3">
        <v>24961</v>
      </c>
      <c r="BT539">
        <v>0</v>
      </c>
      <c r="BU539" s="3">
        <v>157697.87</v>
      </c>
      <c r="BV539" s="3">
        <v>244933.99</v>
      </c>
      <c r="BX539">
        <v>0</v>
      </c>
      <c r="BZ539">
        <v>0</v>
      </c>
      <c r="CA539">
        <v>0</v>
      </c>
      <c r="CB539">
        <v>0</v>
      </c>
      <c r="CC539" s="3">
        <v>244933.99</v>
      </c>
      <c r="CD539" s="5">
        <v>0</v>
      </c>
      <c r="CF539" s="6">
        <v>46023</v>
      </c>
      <c r="CH539">
        <v>0</v>
      </c>
      <c r="CI539">
        <v>0</v>
      </c>
      <c r="CJ539">
        <v>0</v>
      </c>
      <c r="CK539">
        <v>0</v>
      </c>
      <c r="CL539">
        <v>0</v>
      </c>
      <c r="CM539">
        <v>0</v>
      </c>
      <c r="CN539">
        <v>0</v>
      </c>
      <c r="CO539">
        <v>0</v>
      </c>
      <c r="CP539">
        <v>0</v>
      </c>
      <c r="CQ539">
        <v>0</v>
      </c>
      <c r="CR539">
        <v>0</v>
      </c>
      <c r="CS539" t="s">
        <v>649</v>
      </c>
      <c r="CT539" t="s">
        <v>190</v>
      </c>
      <c r="CU539" t="s">
        <v>1283</v>
      </c>
      <c r="CW539">
        <v>422.96499999999997</v>
      </c>
      <c r="CZ539" s="1">
        <v>46042</v>
      </c>
      <c r="DA539" t="s">
        <v>172</v>
      </c>
      <c r="DB539" t="s">
        <v>172</v>
      </c>
      <c r="DC539" t="s">
        <v>172</v>
      </c>
      <c r="DD539" t="s">
        <v>172</v>
      </c>
      <c r="DG539" s="1">
        <v>46042</v>
      </c>
      <c r="DH539">
        <v>0</v>
      </c>
      <c r="DI539">
        <v>0</v>
      </c>
      <c r="DJ539" s="1">
        <v>46052</v>
      </c>
      <c r="DL539" t="s">
        <v>963</v>
      </c>
      <c r="DM539" t="s">
        <v>172</v>
      </c>
      <c r="DN539" t="s">
        <v>201</v>
      </c>
      <c r="DP539" s="4">
        <v>1.2E-2</v>
      </c>
      <c r="DV539" s="3">
        <v>244933.99</v>
      </c>
      <c r="DW539">
        <v>0</v>
      </c>
      <c r="DX539" s="3">
        <v>244933.99</v>
      </c>
      <c r="DY539">
        <v>0</v>
      </c>
      <c r="EG539" s="1">
        <v>46045</v>
      </c>
      <c r="EN539" t="s">
        <v>156</v>
      </c>
      <c r="EP539" s="1">
        <v>46045</v>
      </c>
      <c r="ER539" s="1">
        <v>46044</v>
      </c>
      <c r="ES539" t="s">
        <v>3267</v>
      </c>
      <c r="EU539" s="1">
        <v>46044</v>
      </c>
      <c r="EW539" s="1">
        <v>46042</v>
      </c>
    </row>
    <row r="540" spans="1:153" ht="246.5" x14ac:dyDescent="0.35">
      <c r="A540" t="str">
        <f>HYPERLINK("https://7lm.cvcrm.com.br/gestor/comercial/reservas/6580/administrar","6580")</f>
        <v>6580</v>
      </c>
      <c r="B540" t="s">
        <v>156</v>
      </c>
      <c r="C540" s="1">
        <v>46042</v>
      </c>
      <c r="D540" s="2">
        <v>0.61016203703703709</v>
      </c>
      <c r="E540" t="s">
        <v>294</v>
      </c>
      <c r="F540" t="s">
        <v>957</v>
      </c>
      <c r="G540" t="s">
        <v>159</v>
      </c>
      <c r="H540" t="s">
        <v>643</v>
      </c>
      <c r="I540" t="s">
        <v>3268</v>
      </c>
      <c r="J540">
        <v>1</v>
      </c>
      <c r="L540">
        <v>30121</v>
      </c>
      <c r="M540" t="s">
        <v>3269</v>
      </c>
      <c r="N540" s="1">
        <v>46044</v>
      </c>
      <c r="O540" s="2">
        <v>0.77173611111111107</v>
      </c>
      <c r="R540" t="str">
        <f>HYPERLINK("https://7lm.cvcrm.com.br/gestor/relatorios/associado/html?q[1|r.idreserva]=6580","BRUNA LEITE RODRIGUES")</f>
        <v>BRUNA LEITE RODRIGUES</v>
      </c>
      <c r="S540">
        <v>70820428175</v>
      </c>
      <c r="T540">
        <v>5561999049868</v>
      </c>
      <c r="V540" t="s">
        <v>3270</v>
      </c>
      <c r="W540" t="s">
        <v>187</v>
      </c>
      <c r="X540" t="s">
        <v>299</v>
      </c>
      <c r="Y540" t="s">
        <v>189</v>
      </c>
      <c r="Z540" t="s">
        <v>190</v>
      </c>
      <c r="AA540" t="s">
        <v>3271</v>
      </c>
      <c r="AB540" t="s">
        <v>3272</v>
      </c>
      <c r="AC540" t="s">
        <v>1815</v>
      </c>
      <c r="AD540" t="s">
        <v>1815</v>
      </c>
      <c r="AF540" t="s">
        <v>352</v>
      </c>
      <c r="AG540" t="s">
        <v>195</v>
      </c>
      <c r="AH540" s="3">
        <v>250000.22</v>
      </c>
      <c r="AI540" s="3">
        <v>250000.22</v>
      </c>
      <c r="AJ540" s="1">
        <v>46096</v>
      </c>
      <c r="AN540" t="s">
        <v>172</v>
      </c>
      <c r="AR540" s="7" t="s">
        <v>353</v>
      </c>
      <c r="AT540" t="s">
        <v>196</v>
      </c>
      <c r="AU540" t="s">
        <v>292</v>
      </c>
      <c r="AW540">
        <v>0</v>
      </c>
      <c r="AX540" s="1">
        <v>46055</v>
      </c>
      <c r="AY540" s="2">
        <v>0.39414351851851853</v>
      </c>
      <c r="AZ540">
        <v>92758</v>
      </c>
      <c r="BA540" s="1">
        <v>45190</v>
      </c>
      <c r="BB540" s="1">
        <v>45251</v>
      </c>
      <c r="BC540" t="s">
        <v>0</v>
      </c>
      <c r="BD540" s="1">
        <v>46042</v>
      </c>
      <c r="BE540" t="s">
        <v>1848</v>
      </c>
      <c r="BL540" s="4">
        <v>0</v>
      </c>
      <c r="BM540" s="1">
        <v>47031</v>
      </c>
      <c r="BN540" s="1">
        <v>46053</v>
      </c>
      <c r="BO540">
        <v>0</v>
      </c>
      <c r="BP540">
        <v>27289</v>
      </c>
      <c r="BQ540" t="s">
        <v>156</v>
      </c>
      <c r="BR540" s="3">
        <v>146104.85999999999</v>
      </c>
      <c r="BS540" s="3">
        <v>24931</v>
      </c>
      <c r="BT540">
        <v>0</v>
      </c>
      <c r="BU540" s="3">
        <v>171035.86</v>
      </c>
      <c r="BV540" s="3">
        <v>250000.22</v>
      </c>
      <c r="BX540">
        <v>0</v>
      </c>
      <c r="BZ540">
        <v>0</v>
      </c>
      <c r="CA540">
        <v>0</v>
      </c>
      <c r="CB540">
        <v>0</v>
      </c>
      <c r="CC540" s="3">
        <v>250000.22</v>
      </c>
      <c r="CD540" s="5">
        <v>0</v>
      </c>
      <c r="CF540" s="6">
        <v>46023</v>
      </c>
      <c r="CH540">
        <v>0</v>
      </c>
      <c r="CI540">
        <v>0</v>
      </c>
      <c r="CJ540">
        <v>0</v>
      </c>
      <c r="CK540">
        <v>0</v>
      </c>
      <c r="CL540">
        <v>0</v>
      </c>
      <c r="CM540">
        <v>0</v>
      </c>
      <c r="CN540">
        <v>0</v>
      </c>
      <c r="CO540">
        <v>0</v>
      </c>
      <c r="CP540">
        <v>0</v>
      </c>
      <c r="CQ540">
        <v>0</v>
      </c>
      <c r="CR540">
        <v>0</v>
      </c>
      <c r="CS540" t="s">
        <v>305</v>
      </c>
      <c r="CT540" t="s">
        <v>190</v>
      </c>
      <c r="CU540" t="s">
        <v>3268</v>
      </c>
      <c r="CW540">
        <v>427.42660000000001</v>
      </c>
      <c r="CZ540" s="1">
        <v>46042</v>
      </c>
      <c r="DA540" t="s">
        <v>172</v>
      </c>
      <c r="DB540" t="s">
        <v>172</v>
      </c>
      <c r="DC540" t="s">
        <v>172</v>
      </c>
      <c r="DD540" t="s">
        <v>172</v>
      </c>
      <c r="DG540" s="1">
        <v>46042</v>
      </c>
      <c r="DH540">
        <v>0</v>
      </c>
      <c r="DI540">
        <v>0</v>
      </c>
      <c r="DJ540" s="1">
        <v>46055</v>
      </c>
      <c r="DL540" t="s">
        <v>963</v>
      </c>
      <c r="DM540" t="s">
        <v>172</v>
      </c>
      <c r="DN540" t="s">
        <v>225</v>
      </c>
      <c r="DV540" s="3">
        <v>250000.22</v>
      </c>
      <c r="DW540">
        <v>0</v>
      </c>
      <c r="DX540" s="3">
        <v>250000.22</v>
      </c>
      <c r="DY540">
        <v>0</v>
      </c>
      <c r="EG540" s="1">
        <v>46045</v>
      </c>
      <c r="EN540" t="s">
        <v>156</v>
      </c>
      <c r="EP540" s="1">
        <v>46318</v>
      </c>
      <c r="ER540" s="1">
        <v>46043</v>
      </c>
      <c r="ES540" t="s">
        <v>3273</v>
      </c>
      <c r="EU540" s="1">
        <v>46044</v>
      </c>
    </row>
    <row r="541" spans="1:153" x14ac:dyDescent="0.35">
      <c r="A541" t="str">
        <f>HYPERLINK("https://7lm.cvcrm.com.br/gestor/comercial/reservas/6579/administrar","6579")</f>
        <v>6579</v>
      </c>
      <c r="B541" t="s">
        <v>172</v>
      </c>
      <c r="C541" s="1">
        <v>46042</v>
      </c>
      <c r="D541" s="2">
        <v>0.59461805555555558</v>
      </c>
      <c r="E541" t="s">
        <v>527</v>
      </c>
      <c r="F541" t="s">
        <v>957</v>
      </c>
      <c r="G541" t="s">
        <v>159</v>
      </c>
      <c r="H541" t="s">
        <v>704</v>
      </c>
      <c r="I541" t="s">
        <v>1052</v>
      </c>
      <c r="J541">
        <v>1</v>
      </c>
      <c r="L541">
        <v>30121</v>
      </c>
      <c r="M541" t="s">
        <v>3274</v>
      </c>
      <c r="R541" t="str">
        <f>HYPERLINK("https://7lm.cvcrm.com.br/gestor/relatorios/associado/html?q[1|r.idreserva]=6579","BRUNA LEITE RODRIGUES")</f>
        <v>BRUNA LEITE RODRIGUES</v>
      </c>
      <c r="S541">
        <v>70820428175</v>
      </c>
      <c r="T541">
        <v>5561999049868</v>
      </c>
      <c r="V541" t="s">
        <v>3270</v>
      </c>
      <c r="W541" t="s">
        <v>187</v>
      </c>
      <c r="X541" t="s">
        <v>299</v>
      </c>
      <c r="Y541" t="s">
        <v>189</v>
      </c>
      <c r="Z541" t="s">
        <v>190</v>
      </c>
      <c r="AA541" t="s">
        <v>3271</v>
      </c>
      <c r="AB541" t="s">
        <v>3272</v>
      </c>
      <c r="AC541" t="s">
        <v>1815</v>
      </c>
      <c r="AD541" t="s">
        <v>1815</v>
      </c>
      <c r="AF541" t="s">
        <v>352</v>
      </c>
      <c r="AG541" t="s">
        <v>195</v>
      </c>
      <c r="AH541" s="3">
        <v>250000.22</v>
      </c>
      <c r="AI541" s="3">
        <v>250000.22</v>
      </c>
      <c r="AJ541" s="1">
        <v>46096</v>
      </c>
      <c r="AN541" t="s">
        <v>172</v>
      </c>
      <c r="AO541" t="s">
        <v>725</v>
      </c>
      <c r="AP541" t="s">
        <v>3275</v>
      </c>
      <c r="AR541" t="s">
        <v>2990</v>
      </c>
      <c r="AT541" t="s">
        <v>196</v>
      </c>
      <c r="AU541" t="s">
        <v>292</v>
      </c>
      <c r="AW541">
        <v>0</v>
      </c>
      <c r="AX541" s="1">
        <v>46042</v>
      </c>
      <c r="AY541" s="2">
        <v>0.67836805555555557</v>
      </c>
      <c r="AZ541">
        <v>92758</v>
      </c>
      <c r="BA541" s="1">
        <v>45190</v>
      </c>
      <c r="BB541" s="1">
        <v>45251</v>
      </c>
      <c r="BC541" t="s">
        <v>0</v>
      </c>
      <c r="BD541" s="1">
        <v>46042</v>
      </c>
      <c r="BE541" t="s">
        <v>1848</v>
      </c>
      <c r="BL541" s="4">
        <v>0</v>
      </c>
      <c r="BM541" s="1">
        <v>47031</v>
      </c>
      <c r="BO541">
        <v>0</v>
      </c>
      <c r="BP541">
        <v>27289</v>
      </c>
      <c r="BQ541" t="s">
        <v>156</v>
      </c>
      <c r="BR541" s="3">
        <v>146104.85999999999</v>
      </c>
      <c r="BS541" s="3">
        <v>24931</v>
      </c>
      <c r="BT541">
        <v>0</v>
      </c>
      <c r="BU541" s="3">
        <v>171035.86</v>
      </c>
      <c r="BV541" s="3">
        <v>250000.22</v>
      </c>
      <c r="BX541">
        <v>0</v>
      </c>
      <c r="BZ541">
        <v>0</v>
      </c>
      <c r="CA541">
        <v>0</v>
      </c>
      <c r="CB541">
        <v>0</v>
      </c>
      <c r="CC541" s="3">
        <v>250000.22</v>
      </c>
      <c r="CD541" s="5">
        <v>0</v>
      </c>
      <c r="CF541" s="6">
        <v>46023</v>
      </c>
      <c r="CH541">
        <v>0</v>
      </c>
      <c r="CI541">
        <v>0</v>
      </c>
      <c r="CJ541">
        <v>0</v>
      </c>
      <c r="CK541">
        <v>0</v>
      </c>
      <c r="CL541">
        <v>0</v>
      </c>
      <c r="CM541">
        <v>0</v>
      </c>
      <c r="CN541">
        <v>0</v>
      </c>
      <c r="CO541">
        <v>0</v>
      </c>
      <c r="CP541">
        <v>0</v>
      </c>
      <c r="CQ541">
        <v>0</v>
      </c>
      <c r="CR541">
        <v>0</v>
      </c>
      <c r="CT541" t="s">
        <v>190</v>
      </c>
      <c r="CU541" t="s">
        <v>1052</v>
      </c>
      <c r="CW541">
        <v>0</v>
      </c>
      <c r="CZ541" s="1">
        <v>46042</v>
      </c>
      <c r="DA541" t="s">
        <v>172</v>
      </c>
      <c r="DB541" t="s">
        <v>172</v>
      </c>
      <c r="DC541" t="s">
        <v>172</v>
      </c>
      <c r="DD541" t="s">
        <v>172</v>
      </c>
      <c r="DG541" s="1">
        <v>46042</v>
      </c>
      <c r="DH541">
        <v>0</v>
      </c>
      <c r="DI541">
        <v>0</v>
      </c>
      <c r="DL541" t="s">
        <v>963</v>
      </c>
      <c r="DM541" t="s">
        <v>172</v>
      </c>
      <c r="DN541" t="s">
        <v>225</v>
      </c>
      <c r="DV541" s="3">
        <v>250000.22</v>
      </c>
      <c r="DW541">
        <v>0</v>
      </c>
      <c r="DX541" s="3">
        <v>250000.22</v>
      </c>
      <c r="DY541">
        <v>0</v>
      </c>
    </row>
    <row r="542" spans="1:153" ht="246.5" x14ac:dyDescent="0.35">
      <c r="A542" t="str">
        <f>HYPERLINK("https://7lm.cvcrm.com.br/gestor/comercial/reservas/6578/administrar","6578")</f>
        <v>6578</v>
      </c>
      <c r="B542" t="s">
        <v>156</v>
      </c>
      <c r="C542" s="1">
        <v>46041</v>
      </c>
      <c r="D542" s="2">
        <v>0.87466435185185187</v>
      </c>
      <c r="E542" t="s">
        <v>294</v>
      </c>
      <c r="F542" t="s">
        <v>458</v>
      </c>
      <c r="G542" t="s">
        <v>203</v>
      </c>
      <c r="H542" t="s">
        <v>2553</v>
      </c>
      <c r="I542" t="s">
        <v>2231</v>
      </c>
      <c r="J542">
        <v>1</v>
      </c>
      <c r="L542">
        <v>20001</v>
      </c>
      <c r="M542" t="s">
        <v>3276</v>
      </c>
      <c r="N542" s="1">
        <v>46049</v>
      </c>
      <c r="O542" s="2">
        <v>0.33086805555555554</v>
      </c>
      <c r="R542" t="str">
        <f>HYPERLINK("https://7lm.cvcrm.com.br/gestor/relatorios/associado/html?q[1|r.idreserva]=6578","DARLIS CARVALHO SOARES")</f>
        <v>DARLIS CARVALHO SOARES</v>
      </c>
      <c r="S542">
        <v>6065662100</v>
      </c>
      <c r="T542">
        <v>5561995856689</v>
      </c>
      <c r="V542" t="s">
        <v>3277</v>
      </c>
      <c r="W542" t="s">
        <v>187</v>
      </c>
      <c r="X542" t="s">
        <v>2809</v>
      </c>
      <c r="Y542" t="s">
        <v>189</v>
      </c>
      <c r="Z542" t="s">
        <v>214</v>
      </c>
      <c r="AA542" t="s">
        <v>2601</v>
      </c>
      <c r="AB542" t="s">
        <v>2602</v>
      </c>
      <c r="AC542" t="s">
        <v>3278</v>
      </c>
      <c r="AF542" t="s">
        <v>634</v>
      </c>
      <c r="AG542" t="s">
        <v>195</v>
      </c>
      <c r="AH542" s="3">
        <v>226351.62</v>
      </c>
      <c r="AI542" s="3">
        <v>226351.62</v>
      </c>
      <c r="AJ542" s="1">
        <v>46106</v>
      </c>
      <c r="AN542" t="s">
        <v>172</v>
      </c>
      <c r="AR542" s="7" t="s">
        <v>3279</v>
      </c>
      <c r="AT542" t="s">
        <v>196</v>
      </c>
      <c r="AU542" t="s">
        <v>1073</v>
      </c>
      <c r="AW542">
        <v>0</v>
      </c>
      <c r="AX542" s="1">
        <v>46051</v>
      </c>
      <c r="AY542" s="2">
        <v>0.72171296296296295</v>
      </c>
      <c r="AZ542">
        <v>184881</v>
      </c>
      <c r="BA542" s="1">
        <v>46041</v>
      </c>
      <c r="BC542" t="s">
        <v>0</v>
      </c>
      <c r="BD542" s="1">
        <v>46041</v>
      </c>
      <c r="BE542" t="s">
        <v>276</v>
      </c>
      <c r="BL542" s="4">
        <v>0</v>
      </c>
      <c r="BM542" s="1">
        <v>46572</v>
      </c>
      <c r="BN542" s="1">
        <v>46051</v>
      </c>
      <c r="BO542">
        <v>0</v>
      </c>
      <c r="BP542">
        <v>27607</v>
      </c>
      <c r="BQ542" t="s">
        <v>156</v>
      </c>
      <c r="BR542" s="3">
        <v>124498.85</v>
      </c>
      <c r="BS542" s="3">
        <v>40401</v>
      </c>
      <c r="BT542">
        <v>0</v>
      </c>
      <c r="BU542" s="3">
        <v>164899.85</v>
      </c>
      <c r="BV542" s="3">
        <v>226351.62</v>
      </c>
      <c r="BX542">
        <v>0</v>
      </c>
      <c r="BZ542">
        <v>0</v>
      </c>
      <c r="CA542">
        <v>0</v>
      </c>
      <c r="CB542">
        <v>0</v>
      </c>
      <c r="CC542" s="3">
        <v>226351.62</v>
      </c>
      <c r="CD542" s="5">
        <v>0</v>
      </c>
      <c r="CE542" t="s">
        <v>467</v>
      </c>
      <c r="CF542" s="6">
        <v>46023</v>
      </c>
      <c r="CH542">
        <v>0</v>
      </c>
      <c r="CI542">
        <v>0</v>
      </c>
      <c r="CJ542">
        <v>0</v>
      </c>
      <c r="CK542">
        <v>0</v>
      </c>
      <c r="CL542">
        <v>0</v>
      </c>
      <c r="CM542">
        <v>0</v>
      </c>
      <c r="CN542">
        <v>0</v>
      </c>
      <c r="CO542">
        <v>0</v>
      </c>
      <c r="CP542">
        <v>0</v>
      </c>
      <c r="CQ542">
        <v>0</v>
      </c>
      <c r="CR542">
        <v>0</v>
      </c>
      <c r="CS542" t="s">
        <v>360</v>
      </c>
      <c r="CT542" t="s">
        <v>214</v>
      </c>
      <c r="CU542" t="s">
        <v>2231</v>
      </c>
      <c r="CW542">
        <v>400.82679999999999</v>
      </c>
      <c r="CZ542" s="1">
        <v>46041</v>
      </c>
      <c r="DA542" t="s">
        <v>172</v>
      </c>
      <c r="DB542" t="s">
        <v>172</v>
      </c>
      <c r="DC542" t="s">
        <v>172</v>
      </c>
      <c r="DD542" t="s">
        <v>172</v>
      </c>
      <c r="DG542" s="1">
        <v>46041</v>
      </c>
      <c r="DH542">
        <v>0</v>
      </c>
      <c r="DI542">
        <v>0</v>
      </c>
      <c r="DJ542" s="1">
        <v>46051</v>
      </c>
      <c r="DL542" t="s">
        <v>200</v>
      </c>
      <c r="DM542" t="s">
        <v>172</v>
      </c>
      <c r="DN542" t="s">
        <v>201</v>
      </c>
      <c r="DV542" s="3">
        <v>226351.62</v>
      </c>
      <c r="DW542">
        <v>0</v>
      </c>
      <c r="DX542" s="3">
        <v>226351.62</v>
      </c>
      <c r="DY542">
        <v>0</v>
      </c>
      <c r="EF542" s="1">
        <v>46048</v>
      </c>
      <c r="EG542" s="1">
        <v>46044</v>
      </c>
      <c r="EK542" s="1">
        <v>46048</v>
      </c>
      <c r="EN542" t="s">
        <v>156</v>
      </c>
      <c r="EP542" s="1">
        <v>46044</v>
      </c>
      <c r="ET542" t="s">
        <v>3280</v>
      </c>
      <c r="EU542" s="1">
        <v>46048</v>
      </c>
      <c r="EW542" s="1">
        <v>46041</v>
      </c>
    </row>
    <row r="543" spans="1:153" ht="409.5" x14ac:dyDescent="0.35">
      <c r="A543" t="str">
        <f>HYPERLINK("https://7lm.cvcrm.com.br/gestor/comercial/reservas/6577/administrar","6577")</f>
        <v>6577</v>
      </c>
      <c r="B543" t="s">
        <v>172</v>
      </c>
      <c r="C543" s="1">
        <v>46041</v>
      </c>
      <c r="D543" s="2">
        <v>0.84761574074074075</v>
      </c>
      <c r="E543" t="s">
        <v>527</v>
      </c>
      <c r="F543" t="s">
        <v>202</v>
      </c>
      <c r="G543" t="s">
        <v>203</v>
      </c>
      <c r="H543" t="s">
        <v>319</v>
      </c>
      <c r="I543" t="s">
        <v>1188</v>
      </c>
      <c r="J543">
        <v>1</v>
      </c>
      <c r="L543">
        <v>20031</v>
      </c>
      <c r="M543" t="s">
        <v>1189</v>
      </c>
      <c r="R543" t="str">
        <f>HYPERLINK("https://7lm.cvcrm.com.br/gestor/relatorios/associado/html?q[1|r.idreserva]=6577","ANGELA GABRIELA")</f>
        <v>ANGELA GABRIELA</v>
      </c>
      <c r="S543">
        <v>7619457178</v>
      </c>
      <c r="T543">
        <v>5561998151911</v>
      </c>
      <c r="V543" t="s">
        <v>3281</v>
      </c>
      <c r="W543" t="s">
        <v>187</v>
      </c>
      <c r="X543" t="s">
        <v>1401</v>
      </c>
      <c r="Y543" t="s">
        <v>165</v>
      </c>
      <c r="Z543" t="s">
        <v>257</v>
      </c>
      <c r="AA543" t="s">
        <v>1281</v>
      </c>
      <c r="AB543" t="s">
        <v>3282</v>
      </c>
      <c r="AC543" t="s">
        <v>633</v>
      </c>
      <c r="AF543" t="s">
        <v>413</v>
      </c>
      <c r="AG543" t="s">
        <v>195</v>
      </c>
      <c r="AH543" s="3">
        <v>215014.39999999999</v>
      </c>
      <c r="AI543" s="3">
        <v>215014.39999999999</v>
      </c>
      <c r="AJ543" s="1">
        <v>46096</v>
      </c>
      <c r="AN543" t="s">
        <v>172</v>
      </c>
      <c r="AO543" t="s">
        <v>1334</v>
      </c>
      <c r="AR543" s="7" t="s">
        <v>3283</v>
      </c>
      <c r="AT543" t="s">
        <v>196</v>
      </c>
      <c r="AU543" t="s">
        <v>401</v>
      </c>
      <c r="AW543">
        <v>0</v>
      </c>
      <c r="AX543" s="1">
        <v>46055</v>
      </c>
      <c r="AY543" s="2">
        <v>0.6519907407407407</v>
      </c>
      <c r="AZ543">
        <v>182063</v>
      </c>
      <c r="BA543" s="1">
        <v>46024</v>
      </c>
      <c r="BC543" t="s">
        <v>0</v>
      </c>
      <c r="BD543" s="1">
        <v>46041</v>
      </c>
      <c r="BE543" t="s">
        <v>786</v>
      </c>
      <c r="BL543" s="4">
        <v>0</v>
      </c>
      <c r="BM543" s="1">
        <v>46808</v>
      </c>
      <c r="BO543">
        <v>0</v>
      </c>
      <c r="BP543">
        <v>27551</v>
      </c>
      <c r="BQ543" t="s">
        <v>156</v>
      </c>
      <c r="BR543" s="3">
        <v>111055.4</v>
      </c>
      <c r="BS543" s="3">
        <v>54989</v>
      </c>
      <c r="BT543">
        <v>0</v>
      </c>
      <c r="BU543" s="3">
        <v>166044.4</v>
      </c>
      <c r="BV543" s="3">
        <v>215014.39999999999</v>
      </c>
      <c r="BX543">
        <v>0</v>
      </c>
      <c r="BZ543">
        <v>0</v>
      </c>
      <c r="CA543">
        <v>0</v>
      </c>
      <c r="CB543">
        <v>0</v>
      </c>
      <c r="CC543" s="3">
        <v>215014.39999999999</v>
      </c>
      <c r="CD543" s="5">
        <v>0</v>
      </c>
      <c r="CF543" s="6">
        <v>46054</v>
      </c>
      <c r="CH543">
        <v>0</v>
      </c>
      <c r="CI543">
        <v>0</v>
      </c>
      <c r="CJ543">
        <v>0</v>
      </c>
      <c r="CK543">
        <v>0</v>
      </c>
      <c r="CL543">
        <v>0</v>
      </c>
      <c r="CM543">
        <v>0</v>
      </c>
      <c r="CN543">
        <v>0</v>
      </c>
      <c r="CO543">
        <v>0</v>
      </c>
      <c r="CP543">
        <v>0</v>
      </c>
      <c r="CQ543">
        <v>0</v>
      </c>
      <c r="CR543">
        <v>0</v>
      </c>
      <c r="CT543" t="s">
        <v>214</v>
      </c>
      <c r="CU543" t="s">
        <v>1188</v>
      </c>
      <c r="CW543">
        <v>0</v>
      </c>
      <c r="CZ543" s="1">
        <v>46041</v>
      </c>
      <c r="DA543" t="s">
        <v>172</v>
      </c>
      <c r="DB543" t="s">
        <v>172</v>
      </c>
      <c r="DC543" t="s">
        <v>172</v>
      </c>
      <c r="DD543" t="s">
        <v>172</v>
      </c>
      <c r="DG543" s="1">
        <v>46041</v>
      </c>
      <c r="DH543">
        <v>0</v>
      </c>
      <c r="DI543">
        <v>0</v>
      </c>
      <c r="DL543" t="s">
        <v>224</v>
      </c>
      <c r="DM543" t="s">
        <v>172</v>
      </c>
      <c r="DN543" t="s">
        <v>225</v>
      </c>
      <c r="DV543" s="3">
        <v>215014.39999999999</v>
      </c>
      <c r="DW543">
        <v>0</v>
      </c>
      <c r="DX543" s="3">
        <v>215014.39999999999</v>
      </c>
      <c r="DY543">
        <v>0</v>
      </c>
      <c r="EN543" t="s">
        <v>172</v>
      </c>
      <c r="ET543" t="s">
        <v>2040</v>
      </c>
      <c r="EU543" s="1">
        <v>46055</v>
      </c>
      <c r="EW543" s="1">
        <v>46041</v>
      </c>
    </row>
    <row r="544" spans="1:153" ht="261" x14ac:dyDescent="0.35">
      <c r="A544" t="str">
        <f>HYPERLINK("https://7lm.cvcrm.com.br/gestor/comercial/reservas/6576/administrar","6576")</f>
        <v>6576</v>
      </c>
      <c r="B544" t="s">
        <v>156</v>
      </c>
      <c r="C544" s="1">
        <v>46041</v>
      </c>
      <c r="D544" s="2">
        <v>0.83335648148148145</v>
      </c>
      <c r="E544" t="s">
        <v>294</v>
      </c>
      <c r="F544" t="s">
        <v>957</v>
      </c>
      <c r="G544" t="s">
        <v>159</v>
      </c>
      <c r="H544" t="s">
        <v>759</v>
      </c>
      <c r="I544" t="s">
        <v>489</v>
      </c>
      <c r="J544">
        <v>1</v>
      </c>
      <c r="L544">
        <v>30121</v>
      </c>
      <c r="M544" t="s">
        <v>3284</v>
      </c>
      <c r="N544" s="1">
        <v>46049</v>
      </c>
      <c r="O544" s="2">
        <v>0.67630787037037032</v>
      </c>
      <c r="R544" t="str">
        <f>HYPERLINK("https://7lm.cvcrm.com.br/gestor/relatorios/associado/html?q[1|r.idreserva]=6576","LUCAS EDUARDO PERES DE SOUZA")</f>
        <v>LUCAS EDUARDO PERES DE SOUZA</v>
      </c>
      <c r="S544">
        <v>8854331147</v>
      </c>
      <c r="T544">
        <v>5561999025974</v>
      </c>
      <c r="V544" t="s">
        <v>3285</v>
      </c>
      <c r="W544" t="s">
        <v>163</v>
      </c>
      <c r="X544" t="s">
        <v>376</v>
      </c>
      <c r="Y544" t="s">
        <v>189</v>
      </c>
      <c r="Z544" t="s">
        <v>190</v>
      </c>
      <c r="AA544" t="s">
        <v>2715</v>
      </c>
      <c r="AB544" t="s">
        <v>3286</v>
      </c>
      <c r="AC544" t="s">
        <v>988</v>
      </c>
      <c r="AF544" t="s">
        <v>250</v>
      </c>
      <c r="AG544" t="s">
        <v>251</v>
      </c>
      <c r="AH544" s="3">
        <v>245933.43</v>
      </c>
      <c r="AI544" s="3">
        <v>245933.43</v>
      </c>
      <c r="AJ544" s="1">
        <v>46037</v>
      </c>
      <c r="AN544" t="s">
        <v>172</v>
      </c>
      <c r="AR544" s="7" t="s">
        <v>2833</v>
      </c>
      <c r="AT544" t="s">
        <v>400</v>
      </c>
      <c r="AU544" t="s">
        <v>175</v>
      </c>
      <c r="AW544">
        <v>0</v>
      </c>
      <c r="AX544" s="1">
        <v>46055</v>
      </c>
      <c r="AY544" s="2">
        <v>0.40091435185185187</v>
      </c>
      <c r="AZ544">
        <v>173618</v>
      </c>
      <c r="BA544" s="1">
        <v>45950</v>
      </c>
      <c r="BC544" t="s">
        <v>0</v>
      </c>
      <c r="BD544" s="1">
        <v>46041</v>
      </c>
      <c r="BE544" t="s">
        <v>175</v>
      </c>
      <c r="BL544" s="4">
        <v>0</v>
      </c>
      <c r="BM544" s="1">
        <v>47031</v>
      </c>
      <c r="BN544" s="1">
        <v>46053</v>
      </c>
      <c r="BO544">
        <v>0</v>
      </c>
      <c r="BP544">
        <v>27585</v>
      </c>
      <c r="BQ544" t="s">
        <v>156</v>
      </c>
      <c r="BR544" s="3">
        <v>136096.22</v>
      </c>
      <c r="BS544" s="3">
        <v>20658</v>
      </c>
      <c r="BT544">
        <v>0</v>
      </c>
      <c r="BU544" s="3">
        <v>156754.22</v>
      </c>
      <c r="BV544" s="3">
        <v>245933.43</v>
      </c>
      <c r="BX544">
        <v>0</v>
      </c>
      <c r="BZ544">
        <v>0</v>
      </c>
      <c r="CA544">
        <v>0</v>
      </c>
      <c r="CB544">
        <v>0</v>
      </c>
      <c r="CC544" s="3">
        <v>245933.43</v>
      </c>
      <c r="CD544" s="5">
        <v>0</v>
      </c>
      <c r="CF544" s="6">
        <v>46023</v>
      </c>
      <c r="CH544">
        <v>0</v>
      </c>
      <c r="CI544">
        <v>0</v>
      </c>
      <c r="CJ544">
        <v>0</v>
      </c>
      <c r="CK544">
        <v>0</v>
      </c>
      <c r="CL544">
        <v>0</v>
      </c>
      <c r="CM544">
        <v>0</v>
      </c>
      <c r="CN544">
        <v>0</v>
      </c>
      <c r="CO544">
        <v>0</v>
      </c>
      <c r="CP544">
        <v>0</v>
      </c>
      <c r="CQ544">
        <v>0</v>
      </c>
      <c r="CR544">
        <v>0</v>
      </c>
      <c r="CS544" t="s">
        <v>360</v>
      </c>
      <c r="CT544" t="s">
        <v>190</v>
      </c>
      <c r="CU544" t="s">
        <v>489</v>
      </c>
      <c r="CW544">
        <v>464.02010000000001</v>
      </c>
      <c r="CZ544" s="1">
        <v>46041</v>
      </c>
      <c r="DA544" t="s">
        <v>172</v>
      </c>
      <c r="DB544" t="s">
        <v>172</v>
      </c>
      <c r="DC544" t="s">
        <v>172</v>
      </c>
      <c r="DD544" t="s">
        <v>172</v>
      </c>
      <c r="DG544" s="1">
        <v>46041</v>
      </c>
      <c r="DH544">
        <v>0</v>
      </c>
      <c r="DI544">
        <v>0</v>
      </c>
      <c r="DJ544" s="1">
        <v>46055</v>
      </c>
      <c r="DL544" t="s">
        <v>963</v>
      </c>
      <c r="DM544" t="s">
        <v>172</v>
      </c>
      <c r="DN544" t="s">
        <v>201</v>
      </c>
      <c r="DV544" s="3">
        <v>245933.43</v>
      </c>
      <c r="DW544">
        <v>0</v>
      </c>
      <c r="DX544" s="3">
        <v>245933.43</v>
      </c>
      <c r="DY544">
        <v>0</v>
      </c>
      <c r="EF544" s="1">
        <v>46049</v>
      </c>
      <c r="EG544" s="1">
        <v>46048</v>
      </c>
      <c r="EK544" s="1">
        <v>46049</v>
      </c>
      <c r="EL544" s="1">
        <v>46049</v>
      </c>
      <c r="EN544" t="s">
        <v>156</v>
      </c>
      <c r="ER544" s="1">
        <v>46048</v>
      </c>
      <c r="ES544" t="s">
        <v>3287</v>
      </c>
      <c r="EU544" s="1">
        <v>46045</v>
      </c>
      <c r="EW544" s="1">
        <v>46041</v>
      </c>
    </row>
    <row r="545" spans="1:153" ht="43.5" x14ac:dyDescent="0.35">
      <c r="A545" t="str">
        <f>HYPERLINK("https://7lm.cvcrm.com.br/gestor/comercial/reservas/6575/administrar","6575")</f>
        <v>6575</v>
      </c>
      <c r="B545" t="s">
        <v>156</v>
      </c>
      <c r="C545" s="1">
        <v>46041</v>
      </c>
      <c r="D545" s="2">
        <v>0.77497685185185183</v>
      </c>
      <c r="E545" t="s">
        <v>294</v>
      </c>
      <c r="F545" t="s">
        <v>226</v>
      </c>
      <c r="G545" t="s">
        <v>159</v>
      </c>
      <c r="H545" t="s">
        <v>252</v>
      </c>
      <c r="I545" t="s">
        <v>1736</v>
      </c>
      <c r="J545">
        <v>1</v>
      </c>
      <c r="L545">
        <v>10031</v>
      </c>
      <c r="M545" t="s">
        <v>3288</v>
      </c>
      <c r="N545" s="1">
        <v>46087</v>
      </c>
      <c r="O545" s="2">
        <v>0.4713310185185185</v>
      </c>
      <c r="R545" t="str">
        <f>HYPERLINK("https://7lm.cvcrm.com.br/gestor/relatorios/associado/html?q[1|r.idreserva]=6575","DANIEL GIL AIRES SCHNEIDER")</f>
        <v>DANIEL GIL AIRES SCHNEIDER</v>
      </c>
      <c r="S545">
        <v>6751400136</v>
      </c>
      <c r="T545">
        <v>5561999296566</v>
      </c>
      <c r="U545">
        <v>5561999296566</v>
      </c>
      <c r="V545" t="s">
        <v>3289</v>
      </c>
      <c r="W545" t="s">
        <v>163</v>
      </c>
      <c r="Y545" t="s">
        <v>165</v>
      </c>
      <c r="Z545" t="s">
        <v>385</v>
      </c>
      <c r="AA545" t="s">
        <v>783</v>
      </c>
      <c r="AB545" t="s">
        <v>3290</v>
      </c>
      <c r="AC545" t="s">
        <v>550</v>
      </c>
      <c r="AD545" t="s">
        <v>551</v>
      </c>
      <c r="AE545" t="s">
        <v>169</v>
      </c>
      <c r="AF545" t="s">
        <v>170</v>
      </c>
      <c r="AG545" t="s">
        <v>195</v>
      </c>
      <c r="AH545" s="3">
        <v>350000</v>
      </c>
      <c r="AI545" s="3">
        <v>350000</v>
      </c>
      <c r="AJ545" s="1">
        <v>46064</v>
      </c>
      <c r="AN545" t="s">
        <v>172</v>
      </c>
      <c r="AR545" s="7" t="s">
        <v>3291</v>
      </c>
      <c r="AT545" t="s">
        <v>196</v>
      </c>
      <c r="AU545" t="s">
        <v>590</v>
      </c>
      <c r="AW545">
        <v>0</v>
      </c>
      <c r="AX545" s="1">
        <v>46087</v>
      </c>
      <c r="AY545" s="2">
        <v>0.47318287037037038</v>
      </c>
      <c r="AZ545">
        <v>184348</v>
      </c>
      <c r="BA545" s="1">
        <v>46038</v>
      </c>
      <c r="BC545" t="s">
        <v>0</v>
      </c>
      <c r="BD545" s="1">
        <v>46041</v>
      </c>
      <c r="BE545" t="s">
        <v>1073</v>
      </c>
      <c r="BL545" s="4">
        <v>0</v>
      </c>
      <c r="BM545" s="1">
        <v>46698</v>
      </c>
      <c r="BN545" s="1">
        <v>46087</v>
      </c>
      <c r="BO545">
        <v>0</v>
      </c>
      <c r="BP545">
        <v>27580</v>
      </c>
      <c r="BQ545" t="s">
        <v>156</v>
      </c>
      <c r="BR545" s="3">
        <v>400000</v>
      </c>
      <c r="BS545">
        <v>0</v>
      </c>
      <c r="BT545">
        <v>0</v>
      </c>
      <c r="BU545" s="3">
        <v>400000</v>
      </c>
      <c r="BV545" s="3">
        <v>350000</v>
      </c>
      <c r="BX545">
        <v>0</v>
      </c>
      <c r="BZ545">
        <v>0</v>
      </c>
      <c r="CA545">
        <v>0</v>
      </c>
      <c r="CB545">
        <v>0</v>
      </c>
      <c r="CC545" s="3">
        <v>350000</v>
      </c>
      <c r="CD545" s="5">
        <v>0</v>
      </c>
      <c r="CF545" s="6">
        <v>46082</v>
      </c>
      <c r="CH545">
        <v>0</v>
      </c>
      <c r="CI545">
        <v>0</v>
      </c>
      <c r="CJ545">
        <v>0</v>
      </c>
      <c r="CK545">
        <v>0</v>
      </c>
      <c r="CL545">
        <v>0</v>
      </c>
      <c r="CM545">
        <v>0</v>
      </c>
      <c r="CN545">
        <v>0</v>
      </c>
      <c r="CO545">
        <v>0</v>
      </c>
      <c r="CP545">
        <v>0</v>
      </c>
      <c r="CQ545">
        <v>0</v>
      </c>
      <c r="CR545">
        <v>0</v>
      </c>
      <c r="CS545" t="s">
        <v>649</v>
      </c>
      <c r="CT545" t="s">
        <v>238</v>
      </c>
      <c r="CU545" t="s">
        <v>1736</v>
      </c>
      <c r="CW545">
        <v>-61.7577</v>
      </c>
      <c r="CX545" t="s">
        <v>170</v>
      </c>
      <c r="CZ545" s="1">
        <v>46041</v>
      </c>
      <c r="DA545" t="s">
        <v>172</v>
      </c>
      <c r="DB545" t="s">
        <v>172</v>
      </c>
      <c r="DC545" t="s">
        <v>172</v>
      </c>
      <c r="DD545" t="s">
        <v>172</v>
      </c>
      <c r="DG545" s="1">
        <v>46041</v>
      </c>
      <c r="DH545">
        <v>0</v>
      </c>
      <c r="DI545">
        <v>0</v>
      </c>
      <c r="DL545" t="s">
        <v>263</v>
      </c>
      <c r="DM545" t="s">
        <v>172</v>
      </c>
      <c r="DN545" t="s">
        <v>264</v>
      </c>
      <c r="DU545" t="s">
        <v>240</v>
      </c>
      <c r="DV545" s="3">
        <v>565216.07999999996</v>
      </c>
      <c r="DW545">
        <v>-61.76</v>
      </c>
      <c r="DX545" s="3">
        <v>565216.07999999996</v>
      </c>
      <c r="DY545">
        <v>-61.76</v>
      </c>
    </row>
    <row r="546" spans="1:153" ht="72.5" x14ac:dyDescent="0.35">
      <c r="A546" t="str">
        <f>HYPERLINK("https://7lm.cvcrm.com.br/gestor/comercial/reservas/6574/administrar","6574")</f>
        <v>6574</v>
      </c>
      <c r="B546" t="s">
        <v>156</v>
      </c>
      <c r="C546" s="1">
        <v>46041</v>
      </c>
      <c r="D546" s="2">
        <v>0.76141203703703708</v>
      </c>
      <c r="E546" t="s">
        <v>294</v>
      </c>
      <c r="F546" t="s">
        <v>2451</v>
      </c>
      <c r="G546" t="s">
        <v>203</v>
      </c>
      <c r="H546" t="s">
        <v>391</v>
      </c>
      <c r="I546" t="s">
        <v>3292</v>
      </c>
      <c r="J546">
        <v>1</v>
      </c>
      <c r="L546">
        <v>30061</v>
      </c>
      <c r="M546" t="s">
        <v>3293</v>
      </c>
      <c r="N546" s="1">
        <v>46051</v>
      </c>
      <c r="O546" s="2">
        <v>0.51171296296296298</v>
      </c>
      <c r="R546" t="str">
        <f>HYPERLINK("https://7lm.cvcrm.com.br/gestor/relatorios/associado/html?q[1|r.idreserva]=6574","JEISIMARIA FRANCISCO DOS SANTOS")</f>
        <v>JEISIMARIA FRANCISCO DOS SANTOS</v>
      </c>
      <c r="S546">
        <v>4934715100</v>
      </c>
      <c r="T546">
        <v>5561998152852</v>
      </c>
      <c r="V546" t="s">
        <v>3294</v>
      </c>
      <c r="W546" t="s">
        <v>187</v>
      </c>
      <c r="X546" t="s">
        <v>188</v>
      </c>
      <c r="Y546" t="s">
        <v>189</v>
      </c>
      <c r="Z546" t="s">
        <v>190</v>
      </c>
      <c r="AA546" t="s">
        <v>1491</v>
      </c>
      <c r="AB546" t="s">
        <v>3295</v>
      </c>
      <c r="AC546" t="s">
        <v>2088</v>
      </c>
      <c r="AD546" t="s">
        <v>2088</v>
      </c>
      <c r="AF546" t="s">
        <v>303</v>
      </c>
      <c r="AG546" t="s">
        <v>251</v>
      </c>
      <c r="AH546" s="3">
        <v>245230.18</v>
      </c>
      <c r="AI546" s="3">
        <v>245230.18</v>
      </c>
      <c r="AJ546" s="1">
        <v>46106</v>
      </c>
      <c r="AN546" t="s">
        <v>172</v>
      </c>
      <c r="AR546" s="7" t="s">
        <v>3296</v>
      </c>
      <c r="AT546" t="s">
        <v>196</v>
      </c>
      <c r="AU546" t="s">
        <v>292</v>
      </c>
      <c r="AW546">
        <v>0</v>
      </c>
      <c r="AX546" s="1">
        <v>46055</v>
      </c>
      <c r="AY546" s="2">
        <v>0.40784722222222225</v>
      </c>
      <c r="AZ546">
        <v>131057</v>
      </c>
      <c r="BA546" s="1">
        <v>45548</v>
      </c>
      <c r="BB546" s="1">
        <v>45940</v>
      </c>
      <c r="BC546" t="s">
        <v>275</v>
      </c>
      <c r="BD546" s="1">
        <v>46102</v>
      </c>
      <c r="BE546" t="s">
        <v>317</v>
      </c>
      <c r="BL546" s="4">
        <v>0</v>
      </c>
      <c r="BM546" s="1">
        <v>46788</v>
      </c>
      <c r="BN546" s="1">
        <v>46053</v>
      </c>
      <c r="BO546">
        <v>0</v>
      </c>
      <c r="BP546">
        <v>27519</v>
      </c>
      <c r="BQ546" t="s">
        <v>156</v>
      </c>
      <c r="BR546" s="3">
        <v>123656.15</v>
      </c>
      <c r="BS546" s="3">
        <v>40978</v>
      </c>
      <c r="BT546">
        <v>0</v>
      </c>
      <c r="BU546" s="3">
        <v>164634.15</v>
      </c>
      <c r="BV546" s="3">
        <v>245230.18</v>
      </c>
      <c r="BX546">
        <v>0</v>
      </c>
      <c r="BZ546">
        <v>0</v>
      </c>
      <c r="CA546">
        <v>0</v>
      </c>
      <c r="CB546">
        <v>0</v>
      </c>
      <c r="CC546" s="3">
        <v>245230.18</v>
      </c>
      <c r="CD546" s="5">
        <v>0</v>
      </c>
      <c r="CF546" s="6">
        <v>46023</v>
      </c>
      <c r="CH546">
        <v>0</v>
      </c>
      <c r="CI546">
        <v>0</v>
      </c>
      <c r="CJ546">
        <v>0</v>
      </c>
      <c r="CK546">
        <v>0</v>
      </c>
      <c r="CL546">
        <v>0</v>
      </c>
      <c r="CM546">
        <v>0</v>
      </c>
      <c r="CN546">
        <v>0</v>
      </c>
      <c r="CO546">
        <v>0</v>
      </c>
      <c r="CP546">
        <v>0</v>
      </c>
      <c r="CQ546">
        <v>0</v>
      </c>
      <c r="CR546">
        <v>0</v>
      </c>
      <c r="CS546" t="s">
        <v>649</v>
      </c>
      <c r="CT546" t="s">
        <v>190</v>
      </c>
      <c r="CU546" t="s">
        <v>3292</v>
      </c>
      <c r="CW546">
        <v>435.43709999999999</v>
      </c>
      <c r="CZ546" s="1">
        <v>46041</v>
      </c>
      <c r="DA546" t="s">
        <v>172</v>
      </c>
      <c r="DB546" t="s">
        <v>172</v>
      </c>
      <c r="DC546" t="s">
        <v>172</v>
      </c>
      <c r="DD546" t="s">
        <v>172</v>
      </c>
      <c r="DG546" s="1">
        <v>46041</v>
      </c>
      <c r="DH546">
        <v>0</v>
      </c>
      <c r="DI546">
        <v>0</v>
      </c>
      <c r="DJ546" s="1">
        <v>46055</v>
      </c>
      <c r="DL546" t="s">
        <v>2473</v>
      </c>
      <c r="DM546" t="s">
        <v>172</v>
      </c>
      <c r="DN546" t="s">
        <v>201</v>
      </c>
      <c r="DV546" s="3">
        <v>245230.18</v>
      </c>
      <c r="DW546">
        <v>0</v>
      </c>
      <c r="DX546" s="3">
        <v>245230.18</v>
      </c>
      <c r="DY546">
        <v>0</v>
      </c>
      <c r="EG546" s="1">
        <v>46045</v>
      </c>
      <c r="EN546" t="s">
        <v>156</v>
      </c>
      <c r="EP546" s="1">
        <v>46045</v>
      </c>
      <c r="EU546" s="1">
        <v>46048</v>
      </c>
      <c r="EW546" s="1">
        <v>46043</v>
      </c>
    </row>
    <row r="547" spans="1:153" ht="261" x14ac:dyDescent="0.35">
      <c r="A547" t="str">
        <f>HYPERLINK("https://7lm.cvcrm.com.br/gestor/comercial/reservas/6573/administrar","6573")</f>
        <v>6573</v>
      </c>
      <c r="B547" t="s">
        <v>172</v>
      </c>
      <c r="C547" s="1">
        <v>46041</v>
      </c>
      <c r="D547" s="2">
        <v>0.51834490740740746</v>
      </c>
      <c r="E547" t="s">
        <v>527</v>
      </c>
      <c r="F547" t="s">
        <v>458</v>
      </c>
      <c r="G547" t="s">
        <v>203</v>
      </c>
      <c r="H547" t="s">
        <v>204</v>
      </c>
      <c r="I547" t="s">
        <v>2222</v>
      </c>
      <c r="J547">
        <v>1</v>
      </c>
      <c r="L547">
        <v>20001</v>
      </c>
      <c r="M547" t="s">
        <v>2223</v>
      </c>
      <c r="R547" t="str">
        <f>HYPERLINK("https://7lm.cvcrm.com.br/gestor/relatorios/associado/html?q[1|r.idreserva]=6573","PEDRO HENRIQUE DA SILVA GOMES")</f>
        <v>PEDRO HENRIQUE DA SILVA GOMES</v>
      </c>
      <c r="S547">
        <v>9046165175</v>
      </c>
      <c r="T547">
        <v>5561993822222</v>
      </c>
      <c r="V547" t="s">
        <v>3297</v>
      </c>
      <c r="W547" t="s">
        <v>163</v>
      </c>
      <c r="X547" t="s">
        <v>299</v>
      </c>
      <c r="Y547" t="s">
        <v>189</v>
      </c>
      <c r="Z547" t="s">
        <v>214</v>
      </c>
      <c r="AA547" t="s">
        <v>2601</v>
      </c>
      <c r="AB547" t="s">
        <v>2602</v>
      </c>
      <c r="AC547" t="s">
        <v>425</v>
      </c>
      <c r="AF547" t="s">
        <v>389</v>
      </c>
      <c r="AG547" t="s">
        <v>195</v>
      </c>
      <c r="AH547" s="3">
        <v>221937.83</v>
      </c>
      <c r="AI547" s="3">
        <v>221937.83</v>
      </c>
      <c r="AJ547" s="1">
        <v>46106</v>
      </c>
      <c r="AN547" t="s">
        <v>172</v>
      </c>
      <c r="AO547" t="s">
        <v>657</v>
      </c>
      <c r="AR547" s="7" t="s">
        <v>3298</v>
      </c>
      <c r="AT547" t="s">
        <v>261</v>
      </c>
      <c r="AU547" t="s">
        <v>197</v>
      </c>
      <c r="AW547">
        <v>0</v>
      </c>
      <c r="AX547" s="1">
        <v>46044</v>
      </c>
      <c r="AY547" s="2">
        <v>0.67521990740740745</v>
      </c>
      <c r="AZ547">
        <v>184157</v>
      </c>
      <c r="BA547" s="1">
        <v>46037</v>
      </c>
      <c r="BC547" t="s">
        <v>0</v>
      </c>
      <c r="BD547" s="1">
        <v>46041</v>
      </c>
      <c r="BE547" t="s">
        <v>276</v>
      </c>
      <c r="BL547" s="4">
        <v>0</v>
      </c>
      <c r="BM547" s="1">
        <v>46572</v>
      </c>
      <c r="BO547">
        <v>0</v>
      </c>
      <c r="BP547">
        <v>27561</v>
      </c>
      <c r="BQ547" t="s">
        <v>156</v>
      </c>
      <c r="BR547" s="3">
        <v>153162.41</v>
      </c>
      <c r="BS547" s="3">
        <v>10781</v>
      </c>
      <c r="BT547">
        <v>0</v>
      </c>
      <c r="BU547" s="3">
        <v>163943.41</v>
      </c>
      <c r="BV547" s="3">
        <v>221937.83</v>
      </c>
      <c r="BX547">
        <v>0</v>
      </c>
      <c r="BZ547">
        <v>0</v>
      </c>
      <c r="CA547">
        <v>0</v>
      </c>
      <c r="CB547">
        <v>0</v>
      </c>
      <c r="CC547" s="3">
        <v>221937.83</v>
      </c>
      <c r="CD547" s="5">
        <v>0</v>
      </c>
      <c r="CE547" t="s">
        <v>467</v>
      </c>
      <c r="CF547" s="6">
        <v>46023</v>
      </c>
      <c r="CH547">
        <v>0</v>
      </c>
      <c r="CI547">
        <v>0</v>
      </c>
      <c r="CJ547">
        <v>0</v>
      </c>
      <c r="CK547">
        <v>0</v>
      </c>
      <c r="CL547">
        <v>0</v>
      </c>
      <c r="CM547">
        <v>0</v>
      </c>
      <c r="CN547">
        <v>0</v>
      </c>
      <c r="CO547">
        <v>0</v>
      </c>
      <c r="CP547">
        <v>0</v>
      </c>
      <c r="CQ547">
        <v>0</v>
      </c>
      <c r="CR547">
        <v>0</v>
      </c>
      <c r="CT547" t="s">
        <v>214</v>
      </c>
      <c r="CU547" t="s">
        <v>2222</v>
      </c>
      <c r="CW547">
        <v>0</v>
      </c>
      <c r="CZ547" s="1">
        <v>46041</v>
      </c>
      <c r="DA547" t="s">
        <v>172</v>
      </c>
      <c r="DB547" t="s">
        <v>172</v>
      </c>
      <c r="DC547" t="s">
        <v>172</v>
      </c>
      <c r="DD547" t="s">
        <v>172</v>
      </c>
      <c r="DG547" s="1">
        <v>46041</v>
      </c>
      <c r="DH547">
        <v>0</v>
      </c>
      <c r="DI547">
        <v>0</v>
      </c>
      <c r="DL547" t="s">
        <v>200</v>
      </c>
      <c r="DM547" t="s">
        <v>172</v>
      </c>
      <c r="DN547" t="s">
        <v>201</v>
      </c>
      <c r="DU547" t="s">
        <v>1266</v>
      </c>
      <c r="DV547" s="3">
        <v>250862.17</v>
      </c>
      <c r="DW547">
        <v>-53.06</v>
      </c>
      <c r="DX547" s="3">
        <v>250862.17</v>
      </c>
      <c r="DY547">
        <v>-53.06</v>
      </c>
      <c r="EN547" t="s">
        <v>537</v>
      </c>
      <c r="ET547" t="s">
        <v>3299</v>
      </c>
    </row>
    <row r="548" spans="1:153" x14ac:dyDescent="0.35">
      <c r="A548" t="str">
        <f>HYPERLINK("https://7lm.cvcrm.com.br/gestor/comercial/reservas/6572/administrar","6572")</f>
        <v>6572</v>
      </c>
      <c r="B548" t="s">
        <v>156</v>
      </c>
      <c r="C548" s="1">
        <v>46039</v>
      </c>
      <c r="D548" s="2">
        <v>0.78907407407407404</v>
      </c>
      <c r="E548" t="s">
        <v>294</v>
      </c>
      <c r="F548" t="s">
        <v>458</v>
      </c>
      <c r="G548" t="s">
        <v>203</v>
      </c>
      <c r="H548" t="s">
        <v>204</v>
      </c>
      <c r="I548" t="s">
        <v>205</v>
      </c>
      <c r="J548">
        <v>1</v>
      </c>
      <c r="L548">
        <v>20001</v>
      </c>
      <c r="M548" t="s">
        <v>3300</v>
      </c>
      <c r="N548" s="1">
        <v>46043</v>
      </c>
      <c r="O548" s="2">
        <v>0.7565856481481481</v>
      </c>
      <c r="R548" t="str">
        <f>HYPERLINK("https://7lm.cvcrm.com.br/gestor/relatorios/associado/html?q[1|r.idreserva]=6572","PEDRO HENRIQUE VIANA DO CARMO")</f>
        <v>PEDRO HENRIQUE VIANA DO CARMO</v>
      </c>
      <c r="S548">
        <v>4374360123</v>
      </c>
      <c r="T548">
        <v>5561999128495</v>
      </c>
      <c r="V548" t="s">
        <v>3301</v>
      </c>
      <c r="W548" t="s">
        <v>163</v>
      </c>
      <c r="X548" t="s">
        <v>331</v>
      </c>
      <c r="Y548" t="s">
        <v>189</v>
      </c>
      <c r="Z548" t="s">
        <v>214</v>
      </c>
      <c r="AA548" t="s">
        <v>3302</v>
      </c>
      <c r="AB548" t="s">
        <v>3303</v>
      </c>
      <c r="AC548" t="s">
        <v>1444</v>
      </c>
      <c r="AF548" t="s">
        <v>413</v>
      </c>
      <c r="AG548" t="s">
        <v>195</v>
      </c>
      <c r="AH548" s="3">
        <v>220066.76</v>
      </c>
      <c r="AI548" s="3">
        <v>220066.76</v>
      </c>
      <c r="AJ548" s="1">
        <v>46096</v>
      </c>
      <c r="AN548" t="s">
        <v>172</v>
      </c>
      <c r="AR548" t="s">
        <v>3304</v>
      </c>
      <c r="AT548" t="s">
        <v>196</v>
      </c>
      <c r="AU548" t="s">
        <v>1232</v>
      </c>
      <c r="AW548">
        <v>0</v>
      </c>
      <c r="AX548" s="1">
        <v>46052</v>
      </c>
      <c r="AY548" s="2">
        <v>0.34437499999999999</v>
      </c>
      <c r="AZ548">
        <v>181192</v>
      </c>
      <c r="BA548" s="1">
        <v>46010</v>
      </c>
      <c r="BC548" t="s">
        <v>275</v>
      </c>
      <c r="BD548" s="1">
        <v>46111</v>
      </c>
      <c r="BE548" t="s">
        <v>786</v>
      </c>
      <c r="BL548" s="4">
        <v>0</v>
      </c>
      <c r="BM548" s="1">
        <v>46572</v>
      </c>
      <c r="BN548" s="1">
        <v>46052</v>
      </c>
      <c r="BO548">
        <v>0</v>
      </c>
      <c r="BP548">
        <v>27030</v>
      </c>
      <c r="BQ548" t="s">
        <v>156</v>
      </c>
      <c r="BR548" s="3">
        <v>103506.76</v>
      </c>
      <c r="BS548" s="3">
        <v>55000</v>
      </c>
      <c r="BT548">
        <v>0</v>
      </c>
      <c r="BU548" s="3">
        <v>158506.76</v>
      </c>
      <c r="BV548" s="3">
        <v>220066.76</v>
      </c>
      <c r="BX548">
        <v>0</v>
      </c>
      <c r="BZ548">
        <v>0</v>
      </c>
      <c r="CA548">
        <v>0</v>
      </c>
      <c r="CB548">
        <v>0</v>
      </c>
      <c r="CC548" s="3">
        <v>220066.76</v>
      </c>
      <c r="CD548" s="5">
        <v>0</v>
      </c>
      <c r="CE548" t="s">
        <v>467</v>
      </c>
      <c r="CF548" s="6">
        <v>46023</v>
      </c>
      <c r="CH548">
        <v>0</v>
      </c>
      <c r="CI548">
        <v>0</v>
      </c>
      <c r="CJ548">
        <v>0</v>
      </c>
      <c r="CK548">
        <v>0</v>
      </c>
      <c r="CL548">
        <v>0</v>
      </c>
      <c r="CM548">
        <v>0</v>
      </c>
      <c r="CN548">
        <v>0</v>
      </c>
      <c r="CO548">
        <v>0</v>
      </c>
      <c r="CP548">
        <v>0</v>
      </c>
      <c r="CQ548">
        <v>0</v>
      </c>
      <c r="CR548">
        <v>0</v>
      </c>
      <c r="CS548" t="s">
        <v>415</v>
      </c>
      <c r="CT548" t="s">
        <v>214</v>
      </c>
      <c r="CU548" t="s">
        <v>205</v>
      </c>
      <c r="CW548">
        <v>380.49509999999998</v>
      </c>
      <c r="CZ548" s="1">
        <v>46039</v>
      </c>
      <c r="DA548" t="s">
        <v>172</v>
      </c>
      <c r="DB548" t="s">
        <v>172</v>
      </c>
      <c r="DC548" t="s">
        <v>172</v>
      </c>
      <c r="DD548" t="s">
        <v>172</v>
      </c>
      <c r="DG548" s="1">
        <v>46039</v>
      </c>
      <c r="DH548">
        <v>0</v>
      </c>
      <c r="DI548">
        <v>0</v>
      </c>
      <c r="DJ548" s="1">
        <v>46052</v>
      </c>
      <c r="DL548" t="s">
        <v>200</v>
      </c>
      <c r="DM548" t="s">
        <v>172</v>
      </c>
      <c r="DN548" t="s">
        <v>201</v>
      </c>
      <c r="DU548" t="s">
        <v>1266</v>
      </c>
      <c r="DV548" s="3">
        <v>252733.24</v>
      </c>
      <c r="DW548">
        <v>-53.45</v>
      </c>
      <c r="DX548" s="3">
        <v>252733.24</v>
      </c>
      <c r="DY548">
        <v>-53.45</v>
      </c>
      <c r="EF548" s="1">
        <v>46049</v>
      </c>
      <c r="EG548" s="1">
        <v>46044</v>
      </c>
      <c r="EK548" s="1">
        <v>46049</v>
      </c>
      <c r="EN548" t="s">
        <v>156</v>
      </c>
      <c r="ET548" t="s">
        <v>699</v>
      </c>
      <c r="EU548" s="1">
        <v>46043</v>
      </c>
      <c r="EW548" s="1">
        <v>46039</v>
      </c>
    </row>
    <row r="549" spans="1:153" ht="333.5" x14ac:dyDescent="0.35">
      <c r="A549" t="str">
        <f>HYPERLINK("https://7lm.cvcrm.com.br/gestor/comercial/reservas/6571/administrar","6571")</f>
        <v>6571</v>
      </c>
      <c r="B549" t="s">
        <v>172</v>
      </c>
      <c r="C549" s="1">
        <v>46039</v>
      </c>
      <c r="D549" s="2">
        <v>0.6683796296296296</v>
      </c>
      <c r="E549" t="s">
        <v>527</v>
      </c>
      <c r="F549" t="s">
        <v>458</v>
      </c>
      <c r="G549" t="s">
        <v>203</v>
      </c>
      <c r="H549" t="s">
        <v>513</v>
      </c>
      <c r="I549" t="s">
        <v>1483</v>
      </c>
      <c r="J549">
        <v>1</v>
      </c>
      <c r="L549">
        <v>20001</v>
      </c>
      <c r="M549" t="s">
        <v>1484</v>
      </c>
      <c r="R549" t="str">
        <f>HYPERLINK("https://7lm.cvcrm.com.br/gestor/relatorios/associado/html?q[1|r.idreserva]=6571","RAMON MENDES OLIVEIRA")</f>
        <v>RAMON MENDES OLIVEIRA</v>
      </c>
      <c r="S549">
        <v>7905619133</v>
      </c>
      <c r="T549">
        <v>5561981777653</v>
      </c>
      <c r="V549" t="s">
        <v>3305</v>
      </c>
      <c r="W549" t="s">
        <v>163</v>
      </c>
      <c r="Y549" t="s">
        <v>189</v>
      </c>
      <c r="Z549" t="s">
        <v>214</v>
      </c>
      <c r="AA549" t="s">
        <v>471</v>
      </c>
      <c r="AB549" t="s">
        <v>3306</v>
      </c>
      <c r="AC549" t="s">
        <v>326</v>
      </c>
      <c r="AD549" t="s">
        <v>327</v>
      </c>
      <c r="AF549" t="s">
        <v>212</v>
      </c>
      <c r="AG549" t="s">
        <v>284</v>
      </c>
      <c r="AH549" s="3">
        <v>219948.38</v>
      </c>
      <c r="AI549" s="3">
        <v>219948.38</v>
      </c>
      <c r="AJ549" s="1">
        <v>46096</v>
      </c>
      <c r="AN549" t="s">
        <v>172</v>
      </c>
      <c r="AO549" t="s">
        <v>657</v>
      </c>
      <c r="AR549" s="7" t="s">
        <v>3307</v>
      </c>
      <c r="AT549" t="s">
        <v>196</v>
      </c>
      <c r="AU549" t="s">
        <v>175</v>
      </c>
      <c r="AW549">
        <v>0</v>
      </c>
      <c r="AX549" s="1">
        <v>46049</v>
      </c>
      <c r="AY549" s="2">
        <v>0.31739583333333332</v>
      </c>
      <c r="AZ549">
        <v>184552</v>
      </c>
      <c r="BA549" s="1">
        <v>46039</v>
      </c>
      <c r="BC549" t="s">
        <v>0</v>
      </c>
      <c r="BD549" s="1">
        <v>46039</v>
      </c>
      <c r="BE549" t="s">
        <v>175</v>
      </c>
      <c r="BL549" s="4">
        <v>0</v>
      </c>
      <c r="BM549" s="1">
        <v>46572</v>
      </c>
      <c r="BO549">
        <v>0</v>
      </c>
      <c r="BP549">
        <v>27603</v>
      </c>
      <c r="BQ549" t="s">
        <v>156</v>
      </c>
      <c r="BR549" s="3">
        <v>109557.38</v>
      </c>
      <c r="BS549" s="3">
        <v>54589</v>
      </c>
      <c r="BT549">
        <v>0</v>
      </c>
      <c r="BU549" s="3">
        <v>164146.38</v>
      </c>
      <c r="BV549" s="3">
        <v>219948.38</v>
      </c>
      <c r="BX549">
        <v>0</v>
      </c>
      <c r="BZ549">
        <v>0</v>
      </c>
      <c r="CA549">
        <v>0</v>
      </c>
      <c r="CB549">
        <v>0</v>
      </c>
      <c r="CC549" s="3">
        <v>219948.38</v>
      </c>
      <c r="CD549" s="5">
        <v>0</v>
      </c>
      <c r="CE549" t="s">
        <v>467</v>
      </c>
      <c r="CF549" s="6">
        <v>46023</v>
      </c>
      <c r="CH549">
        <v>0</v>
      </c>
      <c r="CI549">
        <v>0</v>
      </c>
      <c r="CJ549">
        <v>0</v>
      </c>
      <c r="CK549">
        <v>0</v>
      </c>
      <c r="CL549">
        <v>0</v>
      </c>
      <c r="CM549">
        <v>0</v>
      </c>
      <c r="CN549">
        <v>0</v>
      </c>
      <c r="CO549">
        <v>0</v>
      </c>
      <c r="CP549">
        <v>0</v>
      </c>
      <c r="CQ549">
        <v>0</v>
      </c>
      <c r="CR549">
        <v>0</v>
      </c>
      <c r="CT549" t="s">
        <v>214</v>
      </c>
      <c r="CU549" t="s">
        <v>1483</v>
      </c>
      <c r="CW549">
        <v>0</v>
      </c>
      <c r="CZ549" s="1">
        <v>46039</v>
      </c>
      <c r="DA549" t="s">
        <v>172</v>
      </c>
      <c r="DB549" t="s">
        <v>172</v>
      </c>
      <c r="DC549" t="s">
        <v>172</v>
      </c>
      <c r="DD549" t="s">
        <v>172</v>
      </c>
      <c r="DG549" s="1">
        <v>46039</v>
      </c>
      <c r="DH549">
        <v>0</v>
      </c>
      <c r="DI549">
        <v>0</v>
      </c>
      <c r="DL549" t="s">
        <v>200</v>
      </c>
      <c r="DM549" t="s">
        <v>172</v>
      </c>
      <c r="DN549" t="s">
        <v>201</v>
      </c>
      <c r="DV549" s="3">
        <v>219948.38</v>
      </c>
      <c r="DW549">
        <v>0</v>
      </c>
      <c r="DX549" s="3">
        <v>219948.38</v>
      </c>
      <c r="DY549">
        <v>0</v>
      </c>
      <c r="EN549" t="s">
        <v>537</v>
      </c>
      <c r="EU549" s="1">
        <v>46045</v>
      </c>
      <c r="EW549" s="1">
        <v>46039</v>
      </c>
    </row>
    <row r="550" spans="1:153" x14ac:dyDescent="0.35">
      <c r="A550" t="str">
        <f>HYPERLINK("https://7lm.cvcrm.com.br/gestor/comercial/reservas/6570/administrar","6570")</f>
        <v>6570</v>
      </c>
      <c r="B550" t="s">
        <v>156</v>
      </c>
      <c r="C550" s="1">
        <v>46039</v>
      </c>
      <c r="D550" s="2">
        <v>0.64716435185185184</v>
      </c>
      <c r="E550" t="s">
        <v>527</v>
      </c>
      <c r="F550" t="s">
        <v>458</v>
      </c>
      <c r="G550" t="s">
        <v>203</v>
      </c>
      <c r="H550" t="s">
        <v>404</v>
      </c>
      <c r="I550" t="s">
        <v>1020</v>
      </c>
      <c r="J550">
        <v>1</v>
      </c>
      <c r="L550">
        <v>20001</v>
      </c>
      <c r="M550" t="s">
        <v>2592</v>
      </c>
      <c r="N550" s="1">
        <v>46042</v>
      </c>
      <c r="O550" s="2">
        <v>0.78333333333333333</v>
      </c>
      <c r="R550" t="str">
        <f>HYPERLINK("https://7lm.cvcrm.com.br/gestor/relatorios/associado/html?q[1|r.idreserva]=6570","FELIPE DYLON ALVES RODRIGUES")</f>
        <v>FELIPE DYLON ALVES RODRIGUES</v>
      </c>
      <c r="S550">
        <v>7751771135</v>
      </c>
      <c r="T550">
        <v>556181936753</v>
      </c>
      <c r="V550" t="s">
        <v>3308</v>
      </c>
      <c r="W550" t="s">
        <v>163</v>
      </c>
      <c r="X550" t="s">
        <v>299</v>
      </c>
      <c r="Y550" t="s">
        <v>165</v>
      </c>
      <c r="Z550" t="s">
        <v>385</v>
      </c>
      <c r="AA550" t="s">
        <v>3309</v>
      </c>
      <c r="AB550" t="s">
        <v>3310</v>
      </c>
      <c r="AC550" t="s">
        <v>2589</v>
      </c>
      <c r="AD550" t="s">
        <v>2590</v>
      </c>
      <c r="AF550" t="s">
        <v>413</v>
      </c>
      <c r="AG550" t="s">
        <v>195</v>
      </c>
      <c r="AH550" s="3">
        <v>219999.75</v>
      </c>
      <c r="AI550" s="3">
        <v>219999.75</v>
      </c>
      <c r="AJ550" s="1">
        <v>46096</v>
      </c>
      <c r="AN550" t="s">
        <v>172</v>
      </c>
      <c r="AO550" t="s">
        <v>816</v>
      </c>
      <c r="AR550" t="s">
        <v>3311</v>
      </c>
      <c r="AT550" t="s">
        <v>261</v>
      </c>
      <c r="AU550" t="s">
        <v>316</v>
      </c>
      <c r="AW550">
        <v>0</v>
      </c>
      <c r="AX550" s="1">
        <v>46062</v>
      </c>
      <c r="AY550" s="2">
        <v>0.5931481481481482</v>
      </c>
      <c r="AZ550">
        <v>183153</v>
      </c>
      <c r="BA550" s="1">
        <v>46031</v>
      </c>
      <c r="BC550" t="s">
        <v>0</v>
      </c>
      <c r="BD550" s="1">
        <v>46039</v>
      </c>
      <c r="BE550" t="s">
        <v>198</v>
      </c>
      <c r="BL550" s="4">
        <v>0</v>
      </c>
      <c r="BM550" s="1">
        <v>46572</v>
      </c>
      <c r="BO550">
        <v>0</v>
      </c>
      <c r="BP550">
        <v>27544</v>
      </c>
      <c r="BQ550" t="s">
        <v>156</v>
      </c>
      <c r="BR550" s="3">
        <v>118520.95</v>
      </c>
      <c r="BS550" s="3">
        <v>45894</v>
      </c>
      <c r="BT550">
        <v>0</v>
      </c>
      <c r="BU550" s="3">
        <v>164414.95000000001</v>
      </c>
      <c r="BV550" s="3">
        <v>219999.75</v>
      </c>
      <c r="BX550">
        <v>0</v>
      </c>
      <c r="BZ550">
        <v>0</v>
      </c>
      <c r="CA550">
        <v>0</v>
      </c>
      <c r="CB550">
        <v>0</v>
      </c>
      <c r="CC550" s="3">
        <v>219999.75</v>
      </c>
      <c r="CD550" s="5">
        <v>0</v>
      </c>
      <c r="CE550" t="s">
        <v>467</v>
      </c>
      <c r="CF550" s="6">
        <v>46054</v>
      </c>
      <c r="CH550">
        <v>0</v>
      </c>
      <c r="CI550">
        <v>0</v>
      </c>
      <c r="CJ550">
        <v>0</v>
      </c>
      <c r="CK550">
        <v>0</v>
      </c>
      <c r="CL550">
        <v>0</v>
      </c>
      <c r="CM550">
        <v>0</v>
      </c>
      <c r="CN550">
        <v>0</v>
      </c>
      <c r="CO550">
        <v>0</v>
      </c>
      <c r="CP550">
        <v>0</v>
      </c>
      <c r="CQ550">
        <v>0</v>
      </c>
      <c r="CR550">
        <v>0</v>
      </c>
      <c r="CS550" t="s">
        <v>415</v>
      </c>
      <c r="CT550" t="s">
        <v>214</v>
      </c>
      <c r="CU550" t="s">
        <v>1020</v>
      </c>
      <c r="CW550">
        <v>380.34879999999998</v>
      </c>
      <c r="CZ550" s="1">
        <v>46039</v>
      </c>
      <c r="DA550" t="s">
        <v>172</v>
      </c>
      <c r="DB550" t="s">
        <v>172</v>
      </c>
      <c r="DC550" t="s">
        <v>172</v>
      </c>
      <c r="DD550" t="s">
        <v>172</v>
      </c>
      <c r="DG550" s="1">
        <v>46039</v>
      </c>
      <c r="DH550">
        <v>0</v>
      </c>
      <c r="DI550">
        <v>0</v>
      </c>
      <c r="DL550" t="s">
        <v>200</v>
      </c>
      <c r="DM550" t="s">
        <v>172</v>
      </c>
      <c r="DN550" t="s">
        <v>201</v>
      </c>
      <c r="DV550" s="3">
        <v>219999.75</v>
      </c>
      <c r="DW550">
        <v>0</v>
      </c>
      <c r="DX550" s="3">
        <v>219999.75</v>
      </c>
      <c r="DY550">
        <v>0</v>
      </c>
      <c r="EM550" s="1">
        <v>46046</v>
      </c>
      <c r="EN550" t="s">
        <v>537</v>
      </c>
      <c r="EP550" s="1">
        <v>46045</v>
      </c>
      <c r="ET550" t="s">
        <v>699</v>
      </c>
      <c r="EU550" s="1">
        <v>46063</v>
      </c>
      <c r="EW550" s="1">
        <v>46039</v>
      </c>
    </row>
    <row r="551" spans="1:153" ht="409.5" x14ac:dyDescent="0.35">
      <c r="A551" t="str">
        <f>HYPERLINK("https://7lm.cvcrm.com.br/gestor/comercial/reservas/6569/administrar","6569")</f>
        <v>6569</v>
      </c>
      <c r="B551" t="s">
        <v>172</v>
      </c>
      <c r="C551" s="1">
        <v>46039</v>
      </c>
      <c r="D551" s="2">
        <v>0.60961805555555559</v>
      </c>
      <c r="E551" t="s">
        <v>527</v>
      </c>
      <c r="F551" t="s">
        <v>216</v>
      </c>
      <c r="G551" t="s">
        <v>159</v>
      </c>
      <c r="H551" t="s">
        <v>204</v>
      </c>
      <c r="I551" t="s">
        <v>476</v>
      </c>
      <c r="J551">
        <v>1</v>
      </c>
      <c r="L551">
        <v>20061</v>
      </c>
      <c r="M551" t="s">
        <v>3312</v>
      </c>
      <c r="R551" t="str">
        <f>HYPERLINK("https://7lm.cvcrm.com.br/gestor/relatorios/associado/html?q[1|r.idreserva]=6569","Andréia Vitória Oliveira Sousa")</f>
        <v>Andréia Vitória Oliveira Sousa</v>
      </c>
      <c r="S551">
        <v>6601853186</v>
      </c>
      <c r="T551">
        <v>5561996136995</v>
      </c>
      <c r="U551">
        <v>556196136995</v>
      </c>
      <c r="V551" t="s">
        <v>3313</v>
      </c>
      <c r="W551" t="s">
        <v>187</v>
      </c>
      <c r="X551" t="s">
        <v>3314</v>
      </c>
      <c r="Y551" t="s">
        <v>165</v>
      </c>
      <c r="AA551" t="s">
        <v>3315</v>
      </c>
      <c r="AB551" t="s">
        <v>3316</v>
      </c>
      <c r="AC551" t="s">
        <v>3317</v>
      </c>
      <c r="AF551" t="s">
        <v>413</v>
      </c>
      <c r="AG551" t="s">
        <v>195</v>
      </c>
      <c r="AH551" s="3">
        <v>213005.91</v>
      </c>
      <c r="AI551" s="3">
        <v>213005.91</v>
      </c>
      <c r="AJ551" s="1">
        <v>46096</v>
      </c>
      <c r="AN551" t="s">
        <v>172</v>
      </c>
      <c r="AO551" t="s">
        <v>816</v>
      </c>
      <c r="AR551" s="7" t="s">
        <v>3318</v>
      </c>
      <c r="AT551" t="s">
        <v>196</v>
      </c>
      <c r="AU551" t="s">
        <v>3319</v>
      </c>
      <c r="AW551">
        <v>0</v>
      </c>
      <c r="AX551" s="1">
        <v>46045</v>
      </c>
      <c r="AY551" s="2">
        <v>0.39033564814814814</v>
      </c>
      <c r="AZ551">
        <v>182564</v>
      </c>
      <c r="BA551" s="1">
        <v>46028</v>
      </c>
      <c r="BC551" t="s">
        <v>0</v>
      </c>
      <c r="BD551" s="1">
        <v>46039</v>
      </c>
      <c r="BE551" t="s">
        <v>401</v>
      </c>
      <c r="BL551" s="4">
        <v>0</v>
      </c>
      <c r="BM551" s="1">
        <v>46995</v>
      </c>
      <c r="BO551">
        <v>0</v>
      </c>
      <c r="BP551">
        <v>27208</v>
      </c>
      <c r="BQ551" t="s">
        <v>156</v>
      </c>
      <c r="BR551" s="3">
        <v>106657.91</v>
      </c>
      <c r="BS551" s="3">
        <v>55000</v>
      </c>
      <c r="BT551">
        <v>0</v>
      </c>
      <c r="BU551" s="3">
        <v>161657.91</v>
      </c>
      <c r="BV551" s="3">
        <v>213005.91</v>
      </c>
      <c r="BX551">
        <v>0</v>
      </c>
      <c r="BZ551">
        <v>0</v>
      </c>
      <c r="CA551">
        <v>0</v>
      </c>
      <c r="CB551">
        <v>0</v>
      </c>
      <c r="CC551" s="3">
        <v>213005.91</v>
      </c>
      <c r="CD551" s="5">
        <v>0</v>
      </c>
      <c r="CF551" s="6">
        <v>46023</v>
      </c>
      <c r="CH551">
        <v>0</v>
      </c>
      <c r="CI551">
        <v>0</v>
      </c>
      <c r="CJ551">
        <v>0</v>
      </c>
      <c r="CK551">
        <v>0</v>
      </c>
      <c r="CL551">
        <v>0</v>
      </c>
      <c r="CM551">
        <v>0</v>
      </c>
      <c r="CN551">
        <v>0</v>
      </c>
      <c r="CO551">
        <v>0</v>
      </c>
      <c r="CP551">
        <v>0</v>
      </c>
      <c r="CQ551">
        <v>0</v>
      </c>
      <c r="CR551">
        <v>0</v>
      </c>
      <c r="CT551" t="s">
        <v>214</v>
      </c>
      <c r="CU551" t="s">
        <v>476</v>
      </c>
      <c r="CW551">
        <v>0</v>
      </c>
      <c r="CZ551" s="1">
        <v>46039</v>
      </c>
      <c r="DA551" t="s">
        <v>172</v>
      </c>
      <c r="DB551" t="s">
        <v>172</v>
      </c>
      <c r="DC551" t="s">
        <v>172</v>
      </c>
      <c r="DD551" t="s">
        <v>172</v>
      </c>
      <c r="DG551" s="1">
        <v>46039</v>
      </c>
      <c r="DH551">
        <v>0</v>
      </c>
      <c r="DI551">
        <v>0</v>
      </c>
      <c r="DK551" t="s">
        <v>179</v>
      </c>
      <c r="DL551" t="s">
        <v>224</v>
      </c>
      <c r="DM551" t="s">
        <v>172</v>
      </c>
      <c r="DN551" t="s">
        <v>201</v>
      </c>
      <c r="DV551" s="3">
        <v>213005.91</v>
      </c>
      <c r="DW551">
        <v>0</v>
      </c>
      <c r="DX551" s="3">
        <v>213005.91</v>
      </c>
      <c r="DY551">
        <v>0</v>
      </c>
      <c r="ET551" t="s">
        <v>2040</v>
      </c>
      <c r="EW551" s="1">
        <v>46039</v>
      </c>
    </row>
    <row r="552" spans="1:153" ht="246.5" x14ac:dyDescent="0.35">
      <c r="A552" t="str">
        <f>HYPERLINK("https://7lm.cvcrm.com.br/gestor/comercial/reservas/6568/administrar","6568")</f>
        <v>6568</v>
      </c>
      <c r="B552" t="s">
        <v>156</v>
      </c>
      <c r="C552" s="1">
        <v>46039</v>
      </c>
      <c r="D552" s="2">
        <v>0.57850694444444439</v>
      </c>
      <c r="E552" t="s">
        <v>294</v>
      </c>
      <c r="F552" t="s">
        <v>458</v>
      </c>
      <c r="G552" t="s">
        <v>203</v>
      </c>
      <c r="H552" t="s">
        <v>391</v>
      </c>
      <c r="I552" t="s">
        <v>392</v>
      </c>
      <c r="J552">
        <v>1</v>
      </c>
      <c r="L552">
        <v>20001</v>
      </c>
      <c r="M552" t="s">
        <v>3320</v>
      </c>
      <c r="N552" s="1">
        <v>46045</v>
      </c>
      <c r="O552" s="2">
        <v>0.48951388888888892</v>
      </c>
      <c r="R552" t="str">
        <f>HYPERLINK("https://7lm.cvcrm.com.br/gestor/relatorios/associado/html?q[1|r.idreserva]=6568","MISLEIDE SILVA ARAUJO")</f>
        <v>MISLEIDE SILVA ARAUJO</v>
      </c>
      <c r="S552">
        <v>6740194157</v>
      </c>
      <c r="T552">
        <v>5561998453211</v>
      </c>
      <c r="V552" t="s">
        <v>3321</v>
      </c>
      <c r="W552" t="s">
        <v>187</v>
      </c>
      <c r="X552" t="s">
        <v>2094</v>
      </c>
      <c r="Y552" t="s">
        <v>189</v>
      </c>
      <c r="Z552" t="s">
        <v>214</v>
      </c>
      <c r="AA552" t="s">
        <v>3322</v>
      </c>
      <c r="AB552" t="s">
        <v>3323</v>
      </c>
      <c r="AC552" t="s">
        <v>3324</v>
      </c>
      <c r="AD552" t="s">
        <v>3324</v>
      </c>
      <c r="AF552" t="s">
        <v>212</v>
      </c>
      <c r="AG552" t="s">
        <v>195</v>
      </c>
      <c r="AH552" s="3">
        <v>218059.72</v>
      </c>
      <c r="AI552" s="3">
        <v>218059.72</v>
      </c>
      <c r="AJ552" s="1">
        <v>46052</v>
      </c>
      <c r="AN552" t="s">
        <v>172</v>
      </c>
      <c r="AR552" s="7" t="s">
        <v>353</v>
      </c>
      <c r="AT552" t="s">
        <v>196</v>
      </c>
      <c r="AU552" t="s">
        <v>175</v>
      </c>
      <c r="AW552">
        <v>0</v>
      </c>
      <c r="AX552" s="1">
        <v>46045</v>
      </c>
      <c r="AY552" s="2">
        <v>0.48795138888888889</v>
      </c>
      <c r="AZ552" t="s">
        <v>3325</v>
      </c>
      <c r="BA552" t="s">
        <v>3326</v>
      </c>
      <c r="BB552" t="s">
        <v>356</v>
      </c>
      <c r="BC552" t="s">
        <v>3327</v>
      </c>
      <c r="BD552" t="s">
        <v>3326</v>
      </c>
      <c r="BE552" t="s">
        <v>3328</v>
      </c>
      <c r="BL552" s="4">
        <v>0</v>
      </c>
      <c r="BM552" s="1">
        <v>46572</v>
      </c>
      <c r="BN552" s="1">
        <v>46045</v>
      </c>
      <c r="BO552">
        <v>0</v>
      </c>
      <c r="BP552">
        <v>27539</v>
      </c>
      <c r="BQ552" t="s">
        <v>156</v>
      </c>
      <c r="BR552" s="3">
        <v>116431.72</v>
      </c>
      <c r="BS552" s="3">
        <v>55000</v>
      </c>
      <c r="BT552">
        <v>0</v>
      </c>
      <c r="BU552" s="3">
        <v>171431.72</v>
      </c>
      <c r="BV552" s="3">
        <v>218059.72</v>
      </c>
      <c r="BX552">
        <v>0</v>
      </c>
      <c r="BZ552">
        <v>0</v>
      </c>
      <c r="CA552">
        <v>0</v>
      </c>
      <c r="CB552">
        <v>0</v>
      </c>
      <c r="CC552" s="3">
        <v>218059.72</v>
      </c>
      <c r="CD552" s="5">
        <v>0</v>
      </c>
      <c r="CE552" t="s">
        <v>467</v>
      </c>
      <c r="CF552" s="6">
        <v>46023</v>
      </c>
      <c r="CH552">
        <v>0</v>
      </c>
      <c r="CI552">
        <v>0</v>
      </c>
      <c r="CJ552">
        <v>0</v>
      </c>
      <c r="CK552">
        <v>0</v>
      </c>
      <c r="CL552">
        <v>0</v>
      </c>
      <c r="CM552">
        <v>0</v>
      </c>
      <c r="CN552">
        <v>0</v>
      </c>
      <c r="CO552">
        <v>0</v>
      </c>
      <c r="CP552">
        <v>0</v>
      </c>
      <c r="CQ552">
        <v>0</v>
      </c>
      <c r="CR552">
        <v>0</v>
      </c>
      <c r="CS552" t="s">
        <v>360</v>
      </c>
      <c r="CT552" t="s">
        <v>214</v>
      </c>
      <c r="CU552" t="s">
        <v>392</v>
      </c>
      <c r="CW552">
        <v>376.11290000000002</v>
      </c>
      <c r="CZ552" s="1">
        <v>46039</v>
      </c>
      <c r="DA552" t="s">
        <v>172</v>
      </c>
      <c r="DB552" t="s">
        <v>172</v>
      </c>
      <c r="DC552" t="s">
        <v>172</v>
      </c>
      <c r="DD552" t="s">
        <v>172</v>
      </c>
      <c r="DG552" s="1">
        <v>46039</v>
      </c>
      <c r="DH552">
        <v>0</v>
      </c>
      <c r="DI552">
        <v>0</v>
      </c>
      <c r="DJ552" s="1">
        <v>46045</v>
      </c>
      <c r="DL552" t="s">
        <v>200</v>
      </c>
      <c r="DM552" t="s">
        <v>172</v>
      </c>
      <c r="DN552" t="s">
        <v>201</v>
      </c>
      <c r="DV552" s="3">
        <v>218059.72</v>
      </c>
      <c r="DW552">
        <v>0</v>
      </c>
      <c r="DX552" s="3">
        <v>218059.72</v>
      </c>
      <c r="DY552">
        <v>0</v>
      </c>
      <c r="EF552" s="1">
        <v>46045</v>
      </c>
      <c r="EG552" s="1">
        <v>46042</v>
      </c>
      <c r="EK552" s="1">
        <v>46045</v>
      </c>
      <c r="EN552" t="s">
        <v>156</v>
      </c>
      <c r="EU552" s="1">
        <v>46048</v>
      </c>
      <c r="EW552" s="1">
        <v>46039</v>
      </c>
    </row>
    <row r="553" spans="1:153" ht="246.5" x14ac:dyDescent="0.35">
      <c r="A553" t="str">
        <f>HYPERLINK("https://7lm.cvcrm.com.br/gestor/comercial/reservas/6567/administrar","6567")</f>
        <v>6567</v>
      </c>
      <c r="B553" t="s">
        <v>156</v>
      </c>
      <c r="C553" s="1">
        <v>46039</v>
      </c>
      <c r="D553" s="2">
        <v>0.48895833333333333</v>
      </c>
      <c r="E553" t="s">
        <v>294</v>
      </c>
      <c r="F553" t="s">
        <v>957</v>
      </c>
      <c r="G553" t="s">
        <v>159</v>
      </c>
      <c r="H553" t="s">
        <v>265</v>
      </c>
      <c r="I553" t="s">
        <v>1394</v>
      </c>
      <c r="J553">
        <v>1</v>
      </c>
      <c r="L553">
        <v>30121</v>
      </c>
      <c r="M553" t="s">
        <v>3329</v>
      </c>
      <c r="N553" s="1">
        <v>46043</v>
      </c>
      <c r="O553" s="2">
        <v>0.52861111111111114</v>
      </c>
      <c r="R553" t="str">
        <f>HYPERLINK("https://7lm.cvcrm.com.br/gestor/relatorios/associado/html?q[1|r.idreserva]=6567","PÂMELA APARECIDA DA COSTA RODRIGUES")</f>
        <v>PÂMELA APARECIDA DA COSTA RODRIGUES</v>
      </c>
      <c r="S553">
        <v>16352585612</v>
      </c>
      <c r="T553">
        <v>5561996210530</v>
      </c>
      <c r="V553" t="s">
        <v>3330</v>
      </c>
      <c r="W553" t="s">
        <v>187</v>
      </c>
      <c r="Y553" t="s">
        <v>189</v>
      </c>
      <c r="Z553" t="s">
        <v>190</v>
      </c>
      <c r="AA553" t="s">
        <v>270</v>
      </c>
      <c r="AB553" t="s">
        <v>3226</v>
      </c>
      <c r="AC553" t="s">
        <v>3157</v>
      </c>
      <c r="AF553" t="s">
        <v>194</v>
      </c>
      <c r="AG553" t="s">
        <v>251</v>
      </c>
      <c r="AH553" s="3">
        <v>245000.25</v>
      </c>
      <c r="AI553" s="3">
        <v>245000.25</v>
      </c>
      <c r="AJ553" s="1">
        <v>46039</v>
      </c>
      <c r="AN553" t="s">
        <v>172</v>
      </c>
      <c r="AR553" s="7" t="s">
        <v>353</v>
      </c>
      <c r="AT553" t="s">
        <v>261</v>
      </c>
      <c r="AU553" t="s">
        <v>3331</v>
      </c>
      <c r="AW553">
        <v>0</v>
      </c>
      <c r="AX553" s="1">
        <v>46055</v>
      </c>
      <c r="AY553" s="2">
        <v>0.41628472222222224</v>
      </c>
      <c r="AZ553">
        <v>87256</v>
      </c>
      <c r="BA553" s="1">
        <v>45049</v>
      </c>
      <c r="BB553" s="1">
        <v>45623</v>
      </c>
      <c r="BC553" t="s">
        <v>0</v>
      </c>
      <c r="BD553" s="1">
        <v>46039</v>
      </c>
      <c r="BE553" t="s">
        <v>317</v>
      </c>
      <c r="BL553" s="4">
        <v>0</v>
      </c>
      <c r="BM553" s="1">
        <v>47031</v>
      </c>
      <c r="BN553" s="1">
        <v>46053</v>
      </c>
      <c r="BO553">
        <v>0</v>
      </c>
      <c r="BP553">
        <v>27521</v>
      </c>
      <c r="BQ553" t="s">
        <v>156</v>
      </c>
      <c r="BR553" s="3">
        <v>123531.25</v>
      </c>
      <c r="BS553" s="3">
        <v>36693</v>
      </c>
      <c r="BT553">
        <v>0</v>
      </c>
      <c r="BU553" s="3">
        <v>160224.25</v>
      </c>
      <c r="BV553" s="3">
        <v>245000.25</v>
      </c>
      <c r="BX553">
        <v>0</v>
      </c>
      <c r="BZ553">
        <v>0</v>
      </c>
      <c r="CA553">
        <v>0</v>
      </c>
      <c r="CB553">
        <v>0</v>
      </c>
      <c r="CC553" s="3">
        <v>245000.25</v>
      </c>
      <c r="CD553" s="5">
        <v>0</v>
      </c>
      <c r="CF553" s="6">
        <v>46023</v>
      </c>
      <c r="CH553">
        <v>0</v>
      </c>
      <c r="CI553">
        <v>0</v>
      </c>
      <c r="CJ553">
        <v>0</v>
      </c>
      <c r="CK553">
        <v>0</v>
      </c>
      <c r="CL553">
        <v>0</v>
      </c>
      <c r="CM553">
        <v>0</v>
      </c>
      <c r="CN553">
        <v>0</v>
      </c>
      <c r="CO553">
        <v>0</v>
      </c>
      <c r="CP553">
        <v>0</v>
      </c>
      <c r="CQ553">
        <v>0</v>
      </c>
      <c r="CR553">
        <v>0</v>
      </c>
      <c r="CS553" t="s">
        <v>2029</v>
      </c>
      <c r="CT553" t="s">
        <v>190</v>
      </c>
      <c r="CU553" t="s">
        <v>1394</v>
      </c>
      <c r="CW553">
        <v>416.87819999999999</v>
      </c>
      <c r="CZ553" s="1">
        <v>46039</v>
      </c>
      <c r="DA553" t="s">
        <v>172</v>
      </c>
      <c r="DB553" t="s">
        <v>172</v>
      </c>
      <c r="DC553" t="s">
        <v>172</v>
      </c>
      <c r="DD553" t="s">
        <v>172</v>
      </c>
      <c r="DG553" s="1">
        <v>46039</v>
      </c>
      <c r="DH553">
        <v>0</v>
      </c>
      <c r="DI553">
        <v>0</v>
      </c>
      <c r="DJ553" s="1">
        <v>46055</v>
      </c>
      <c r="DL553" t="s">
        <v>963</v>
      </c>
      <c r="DM553" t="s">
        <v>172</v>
      </c>
      <c r="DN553" t="s">
        <v>225</v>
      </c>
      <c r="DV553" s="3">
        <v>245000.25</v>
      </c>
      <c r="DW553">
        <v>0</v>
      </c>
      <c r="DX553" s="3">
        <v>245000.25</v>
      </c>
      <c r="DY553">
        <v>0</v>
      </c>
      <c r="EG553" s="1">
        <v>46043</v>
      </c>
      <c r="EN553" t="s">
        <v>156</v>
      </c>
      <c r="EP553" s="1">
        <v>46044</v>
      </c>
      <c r="EU553" s="1">
        <v>46042</v>
      </c>
      <c r="EW553" s="1">
        <v>46039</v>
      </c>
    </row>
    <row r="554" spans="1:153" ht="246.5" x14ac:dyDescent="0.35">
      <c r="A554" t="str">
        <f>HYPERLINK("https://7lm.cvcrm.com.br/gestor/comercial/reservas/6566/administrar","6566")</f>
        <v>6566</v>
      </c>
      <c r="B554" t="s">
        <v>156</v>
      </c>
      <c r="C554" s="1">
        <v>46039</v>
      </c>
      <c r="D554" s="2">
        <v>0.44958333333333333</v>
      </c>
      <c r="E554" t="s">
        <v>294</v>
      </c>
      <c r="F554" t="s">
        <v>202</v>
      </c>
      <c r="G554" t="s">
        <v>203</v>
      </c>
      <c r="H554" t="s">
        <v>204</v>
      </c>
      <c r="I554" t="s">
        <v>672</v>
      </c>
      <c r="J554">
        <v>1</v>
      </c>
      <c r="L554">
        <v>20031</v>
      </c>
      <c r="M554" t="s">
        <v>3332</v>
      </c>
      <c r="N554" s="1">
        <v>46049</v>
      </c>
      <c r="O554" s="2">
        <v>0.4440277777777778</v>
      </c>
      <c r="R554" t="str">
        <f>HYPERLINK("https://7lm.cvcrm.com.br/gestor/relatorios/associado/html?q[1|r.idreserva]=6566","ROBERTA MACHADO DE OLIVEIRA")</f>
        <v>ROBERTA MACHADO DE OLIVEIRA</v>
      </c>
      <c r="S554">
        <v>60679530134</v>
      </c>
      <c r="T554">
        <v>5561984832133</v>
      </c>
      <c r="V554" t="s">
        <v>3333</v>
      </c>
      <c r="W554" t="s">
        <v>187</v>
      </c>
      <c r="Y554" t="s">
        <v>189</v>
      </c>
      <c r="Z554" t="s">
        <v>214</v>
      </c>
      <c r="AA554" t="s">
        <v>3334</v>
      </c>
      <c r="AB554" t="s">
        <v>3335</v>
      </c>
      <c r="AC554" t="s">
        <v>1044</v>
      </c>
      <c r="AD554" t="s">
        <v>1045</v>
      </c>
      <c r="AF554" t="s">
        <v>212</v>
      </c>
      <c r="AG554" t="s">
        <v>195</v>
      </c>
      <c r="AH554" s="3">
        <v>224040.49</v>
      </c>
      <c r="AI554" s="3">
        <v>224040.49</v>
      </c>
      <c r="AJ554" s="1">
        <v>46106</v>
      </c>
      <c r="AN554" t="s">
        <v>172</v>
      </c>
      <c r="AR554" s="7" t="s">
        <v>353</v>
      </c>
      <c r="AT554" t="s">
        <v>196</v>
      </c>
      <c r="AU554" t="s">
        <v>175</v>
      </c>
      <c r="AW554">
        <v>0</v>
      </c>
      <c r="AX554" s="1">
        <v>46052</v>
      </c>
      <c r="AY554" s="2">
        <v>0.41655092592592591</v>
      </c>
      <c r="AZ554">
        <v>184494</v>
      </c>
      <c r="BA554" s="1">
        <v>46039</v>
      </c>
      <c r="BC554" t="s">
        <v>0</v>
      </c>
      <c r="BD554" s="1">
        <v>46039</v>
      </c>
      <c r="BE554" t="s">
        <v>175</v>
      </c>
      <c r="BL554" s="4">
        <v>0</v>
      </c>
      <c r="BM554" s="1">
        <v>46808</v>
      </c>
      <c r="BN554" s="1">
        <v>46052</v>
      </c>
      <c r="BO554">
        <v>0</v>
      </c>
      <c r="BP554">
        <v>27597</v>
      </c>
      <c r="BQ554" t="s">
        <v>156</v>
      </c>
      <c r="BR554" s="3">
        <v>171400.49</v>
      </c>
      <c r="BS554">
        <v>0</v>
      </c>
      <c r="BT554">
        <v>0</v>
      </c>
      <c r="BU554" s="3">
        <v>171400.49</v>
      </c>
      <c r="BV554" s="3">
        <v>224040.49</v>
      </c>
      <c r="BX554">
        <v>0</v>
      </c>
      <c r="BZ554">
        <v>0</v>
      </c>
      <c r="CA554">
        <v>0</v>
      </c>
      <c r="CB554">
        <v>0</v>
      </c>
      <c r="CC554" s="3">
        <v>224040.49</v>
      </c>
      <c r="CD554" s="5">
        <v>0</v>
      </c>
      <c r="CF554" s="6">
        <v>46023</v>
      </c>
      <c r="CH554">
        <v>0</v>
      </c>
      <c r="CI554">
        <v>0</v>
      </c>
      <c r="CJ554">
        <v>0</v>
      </c>
      <c r="CK554">
        <v>0</v>
      </c>
      <c r="CL554">
        <v>0</v>
      </c>
      <c r="CM554">
        <v>0</v>
      </c>
      <c r="CN554">
        <v>0</v>
      </c>
      <c r="CO554">
        <v>0</v>
      </c>
      <c r="CP554">
        <v>0</v>
      </c>
      <c r="CQ554">
        <v>0</v>
      </c>
      <c r="CR554">
        <v>0</v>
      </c>
      <c r="CS554" t="s">
        <v>2202</v>
      </c>
      <c r="CT554" t="s">
        <v>214</v>
      </c>
      <c r="CU554" t="s">
        <v>672</v>
      </c>
      <c r="CW554">
        <v>372.65929999999997</v>
      </c>
      <c r="CZ554" s="1">
        <v>46039</v>
      </c>
      <c r="DA554" t="s">
        <v>172</v>
      </c>
      <c r="DB554" t="s">
        <v>172</v>
      </c>
      <c r="DC554" t="s">
        <v>172</v>
      </c>
      <c r="DD554" t="s">
        <v>172</v>
      </c>
      <c r="DG554" s="1">
        <v>46039</v>
      </c>
      <c r="DH554">
        <v>0</v>
      </c>
      <c r="DI554">
        <v>0</v>
      </c>
      <c r="DJ554" s="1">
        <v>46052</v>
      </c>
      <c r="DL554" t="s">
        <v>215</v>
      </c>
      <c r="DM554" t="s">
        <v>172</v>
      </c>
      <c r="DN554" t="s">
        <v>511</v>
      </c>
      <c r="DV554" s="3">
        <v>224040.49</v>
      </c>
      <c r="DW554">
        <v>0</v>
      </c>
      <c r="DX554" s="3">
        <v>224040.49</v>
      </c>
      <c r="DY554">
        <v>0</v>
      </c>
      <c r="EF554" s="1">
        <v>46049</v>
      </c>
      <c r="EG554" s="1">
        <v>46049</v>
      </c>
      <c r="EK554" s="1">
        <v>46050</v>
      </c>
      <c r="EN554" t="s">
        <v>172</v>
      </c>
      <c r="EP554" s="1">
        <v>46049</v>
      </c>
      <c r="EU554" s="1">
        <v>46050</v>
      </c>
      <c r="EW554" s="1">
        <v>46039</v>
      </c>
    </row>
    <row r="555" spans="1:153" ht="246.5" x14ac:dyDescent="0.35">
      <c r="A555" t="str">
        <f>HYPERLINK("https://7lm.cvcrm.com.br/gestor/comercial/reservas/6565/administrar","6565")</f>
        <v>6565</v>
      </c>
      <c r="B555" t="s">
        <v>156</v>
      </c>
      <c r="C555" s="1">
        <v>46038</v>
      </c>
      <c r="D555" s="2">
        <v>0.80841435185185184</v>
      </c>
      <c r="E555" t="s">
        <v>294</v>
      </c>
      <c r="F555" t="s">
        <v>957</v>
      </c>
      <c r="G555" t="s">
        <v>159</v>
      </c>
      <c r="H555" t="s">
        <v>958</v>
      </c>
      <c r="I555" t="s">
        <v>3336</v>
      </c>
      <c r="J555">
        <v>1</v>
      </c>
      <c r="L555">
        <v>30121</v>
      </c>
      <c r="M555" t="s">
        <v>3337</v>
      </c>
      <c r="N555" s="1">
        <v>46045</v>
      </c>
      <c r="O555" s="2">
        <v>0.67357638888888893</v>
      </c>
      <c r="R555" t="str">
        <f>HYPERLINK("https://7lm.cvcrm.com.br/gestor/relatorios/associado/html?q[1|r.idreserva]=6565","FRANCISCA DEISIANE DA SILVA CEZARIO")</f>
        <v>FRANCISCA DEISIANE DA SILVA CEZARIO</v>
      </c>
      <c r="S555">
        <v>10473056151</v>
      </c>
      <c r="T555">
        <v>5561999716116</v>
      </c>
      <c r="V555" t="s">
        <v>3338</v>
      </c>
      <c r="W555" t="s">
        <v>187</v>
      </c>
      <c r="X555" t="s">
        <v>3339</v>
      </c>
      <c r="Y555" t="s">
        <v>189</v>
      </c>
      <c r="Z555" t="s">
        <v>190</v>
      </c>
      <c r="AA555" t="s">
        <v>821</v>
      </c>
      <c r="AB555" t="s">
        <v>3340</v>
      </c>
      <c r="AC555" t="s">
        <v>302</v>
      </c>
      <c r="AD555" t="s">
        <v>302</v>
      </c>
      <c r="AF555" t="s">
        <v>303</v>
      </c>
      <c r="AG555" t="s">
        <v>195</v>
      </c>
      <c r="AH555" s="3">
        <v>249932.09</v>
      </c>
      <c r="AI555" s="3">
        <v>249932.09</v>
      </c>
      <c r="AJ555" s="1">
        <v>46096</v>
      </c>
      <c r="AN555" t="s">
        <v>172</v>
      </c>
      <c r="AR555" s="7" t="s">
        <v>353</v>
      </c>
      <c r="AT555" t="s">
        <v>261</v>
      </c>
      <c r="AU555" t="s">
        <v>292</v>
      </c>
      <c r="AW555">
        <v>0</v>
      </c>
      <c r="AX555" s="1">
        <v>46055</v>
      </c>
      <c r="AY555" s="2">
        <v>0.42394675925925923</v>
      </c>
      <c r="AZ555">
        <v>184260</v>
      </c>
      <c r="BA555" s="1">
        <v>46038</v>
      </c>
      <c r="BC555" t="s">
        <v>0</v>
      </c>
      <c r="BD555" s="1">
        <v>46038</v>
      </c>
      <c r="BE555" t="s">
        <v>276</v>
      </c>
      <c r="BL555" s="4">
        <v>0</v>
      </c>
      <c r="BM555" s="1">
        <v>47031</v>
      </c>
      <c r="BN555" s="1">
        <v>46053</v>
      </c>
      <c r="BO555">
        <v>0</v>
      </c>
      <c r="BP555">
        <v>27573</v>
      </c>
      <c r="BQ555" t="s">
        <v>156</v>
      </c>
      <c r="BR555" s="3">
        <v>135473.85999999999</v>
      </c>
      <c r="BS555" s="3">
        <v>25367</v>
      </c>
      <c r="BT555">
        <v>0</v>
      </c>
      <c r="BU555" s="3">
        <v>160840.85999999999</v>
      </c>
      <c r="BV555" s="3">
        <v>249932.09</v>
      </c>
      <c r="BX555">
        <v>0</v>
      </c>
      <c r="BZ555">
        <v>0</v>
      </c>
      <c r="CA555">
        <v>0</v>
      </c>
      <c r="CB555">
        <v>0</v>
      </c>
      <c r="CC555" s="3">
        <v>249932.09</v>
      </c>
      <c r="CD555" s="5">
        <v>0</v>
      </c>
      <c r="CF555" s="6">
        <v>46023</v>
      </c>
      <c r="CH555">
        <v>0</v>
      </c>
      <c r="CI555">
        <v>0</v>
      </c>
      <c r="CJ555">
        <v>0</v>
      </c>
      <c r="CK555">
        <v>0</v>
      </c>
      <c r="CL555">
        <v>0</v>
      </c>
      <c r="CM555">
        <v>0</v>
      </c>
      <c r="CN555">
        <v>0</v>
      </c>
      <c r="CO555">
        <v>0</v>
      </c>
      <c r="CP555">
        <v>0</v>
      </c>
      <c r="CQ555">
        <v>0</v>
      </c>
      <c r="CR555">
        <v>0</v>
      </c>
      <c r="CS555" t="s">
        <v>360</v>
      </c>
      <c r="CT555" t="s">
        <v>190</v>
      </c>
      <c r="CU555" t="s">
        <v>3336</v>
      </c>
      <c r="CW555">
        <v>427.28289999999998</v>
      </c>
      <c r="CZ555" s="1">
        <v>46038</v>
      </c>
      <c r="DA555" t="s">
        <v>172</v>
      </c>
      <c r="DB555" t="s">
        <v>172</v>
      </c>
      <c r="DC555" t="s">
        <v>172</v>
      </c>
      <c r="DD555" t="s">
        <v>172</v>
      </c>
      <c r="DG555" s="1">
        <v>46038</v>
      </c>
      <c r="DH555">
        <v>0</v>
      </c>
      <c r="DI555">
        <v>0</v>
      </c>
      <c r="DJ555" s="1">
        <v>46055</v>
      </c>
      <c r="DL555" t="s">
        <v>963</v>
      </c>
      <c r="DM555" t="s">
        <v>172</v>
      </c>
      <c r="DN555" t="s">
        <v>201</v>
      </c>
      <c r="DV555" s="3">
        <v>249932.09</v>
      </c>
      <c r="DW555">
        <v>0</v>
      </c>
      <c r="DX555" s="3">
        <v>249932.09</v>
      </c>
      <c r="DY555">
        <v>0</v>
      </c>
      <c r="EG555" s="1">
        <v>46043</v>
      </c>
      <c r="EN555" t="s">
        <v>156</v>
      </c>
      <c r="EP555" s="1">
        <v>46042</v>
      </c>
      <c r="ER555" s="1">
        <v>46042</v>
      </c>
      <c r="ES555" t="s">
        <v>3341</v>
      </c>
      <c r="EU555" s="1">
        <v>46043</v>
      </c>
    </row>
    <row r="556" spans="1:153" x14ac:dyDescent="0.35">
      <c r="A556" t="str">
        <f>HYPERLINK("https://7lm.cvcrm.com.br/gestor/comercial/reservas/6564/administrar","6564")</f>
        <v>6564</v>
      </c>
      <c r="B556" t="s">
        <v>156</v>
      </c>
      <c r="C556" s="1">
        <v>46038</v>
      </c>
      <c r="D556" s="2">
        <v>0.79142361111111115</v>
      </c>
      <c r="E556" t="s">
        <v>527</v>
      </c>
      <c r="F556" t="s">
        <v>458</v>
      </c>
      <c r="G556" t="s">
        <v>203</v>
      </c>
      <c r="H556" t="s">
        <v>391</v>
      </c>
      <c r="I556" t="s">
        <v>1394</v>
      </c>
      <c r="J556">
        <v>1</v>
      </c>
      <c r="L556">
        <v>20001</v>
      </c>
      <c r="M556" t="s">
        <v>1695</v>
      </c>
      <c r="N556" s="1">
        <v>46052</v>
      </c>
      <c r="O556" s="2">
        <v>0.74339120370370371</v>
      </c>
      <c r="R556" t="str">
        <f>HYPERLINK("https://7lm.cvcrm.com.br/gestor/relatorios/associado/html?q[1|r.idreserva]=6564","DAVID HEBERT JHONE DIAS DE SOUSA SILVA")</f>
        <v>DAVID HEBERT JHONE DIAS DE SOUSA SILVA</v>
      </c>
      <c r="S556">
        <v>5754681143</v>
      </c>
      <c r="T556">
        <v>5561999379776</v>
      </c>
      <c r="V556" t="s">
        <v>3342</v>
      </c>
      <c r="W556" t="s">
        <v>163</v>
      </c>
      <c r="X556" t="s">
        <v>3343</v>
      </c>
      <c r="Y556" t="s">
        <v>189</v>
      </c>
      <c r="Z556" t="s">
        <v>214</v>
      </c>
      <c r="AA556" t="s">
        <v>3344</v>
      </c>
      <c r="AB556" t="s">
        <v>3345</v>
      </c>
      <c r="AC556" t="s">
        <v>1444</v>
      </c>
      <c r="AF556" t="s">
        <v>413</v>
      </c>
      <c r="AG556" t="s">
        <v>195</v>
      </c>
      <c r="AH556" s="3">
        <v>229882.02</v>
      </c>
      <c r="AI556" s="3">
        <v>229882.02</v>
      </c>
      <c r="AJ556" s="1">
        <v>46063</v>
      </c>
      <c r="AN556" t="s">
        <v>172</v>
      </c>
      <c r="AO556" t="s">
        <v>689</v>
      </c>
      <c r="AP556" t="s">
        <v>3346</v>
      </c>
      <c r="AR556" t="s">
        <v>3346</v>
      </c>
      <c r="AT556" t="s">
        <v>196</v>
      </c>
      <c r="AU556" t="s">
        <v>2153</v>
      </c>
      <c r="AW556">
        <v>0</v>
      </c>
      <c r="AX556" s="1">
        <v>46066</v>
      </c>
      <c r="AY556" s="2">
        <v>0.35599537037037038</v>
      </c>
      <c r="AZ556">
        <v>179041</v>
      </c>
      <c r="BA556" s="1">
        <v>45995</v>
      </c>
      <c r="BC556" t="s">
        <v>0</v>
      </c>
      <c r="BD556" s="1">
        <v>46038</v>
      </c>
      <c r="BE556" t="s">
        <v>786</v>
      </c>
      <c r="BL556" s="4">
        <v>0</v>
      </c>
      <c r="BM556" s="1">
        <v>46572</v>
      </c>
      <c r="BO556">
        <v>0</v>
      </c>
      <c r="BP556">
        <v>26703</v>
      </c>
      <c r="BQ556" t="s">
        <v>156</v>
      </c>
      <c r="BR556" s="3">
        <v>136225.17000000001</v>
      </c>
      <c r="BS556" s="3">
        <v>13774</v>
      </c>
      <c r="BT556">
        <v>0</v>
      </c>
      <c r="BU556" s="3">
        <v>149999.17000000001</v>
      </c>
      <c r="BV556" s="3">
        <v>229882.02</v>
      </c>
      <c r="BX556">
        <v>0</v>
      </c>
      <c r="BZ556">
        <v>0</v>
      </c>
      <c r="CA556">
        <v>0</v>
      </c>
      <c r="CB556">
        <v>0</v>
      </c>
      <c r="CC556" s="3">
        <v>229882.02</v>
      </c>
      <c r="CD556" s="5">
        <v>0</v>
      </c>
      <c r="CE556" t="s">
        <v>467</v>
      </c>
      <c r="CF556" s="6">
        <v>46054</v>
      </c>
      <c r="CH556">
        <v>0</v>
      </c>
      <c r="CI556">
        <v>0</v>
      </c>
      <c r="CJ556">
        <v>0</v>
      </c>
      <c r="CK556">
        <v>0</v>
      </c>
      <c r="CL556">
        <v>0</v>
      </c>
      <c r="CM556">
        <v>0</v>
      </c>
      <c r="CN556">
        <v>0</v>
      </c>
      <c r="CO556">
        <v>0</v>
      </c>
      <c r="CP556">
        <v>0</v>
      </c>
      <c r="CQ556">
        <v>0</v>
      </c>
      <c r="CR556">
        <v>0</v>
      </c>
      <c r="CS556" t="s">
        <v>2202</v>
      </c>
      <c r="CT556" t="s">
        <v>214</v>
      </c>
      <c r="CU556" t="s">
        <v>1394</v>
      </c>
      <c r="CW556">
        <v>401.92579999999998</v>
      </c>
      <c r="CZ556" s="1">
        <v>46038</v>
      </c>
      <c r="DA556" t="s">
        <v>172</v>
      </c>
      <c r="DB556" t="s">
        <v>172</v>
      </c>
      <c r="DC556" t="s">
        <v>172</v>
      </c>
      <c r="DD556" t="s">
        <v>172</v>
      </c>
      <c r="DG556" s="1">
        <v>46038</v>
      </c>
      <c r="DH556">
        <v>0</v>
      </c>
      <c r="DI556">
        <v>0</v>
      </c>
      <c r="DL556" t="s">
        <v>200</v>
      </c>
      <c r="DM556" t="s">
        <v>172</v>
      </c>
      <c r="DN556" t="s">
        <v>525</v>
      </c>
      <c r="DV556" s="3">
        <v>229882.02</v>
      </c>
      <c r="DW556">
        <v>0</v>
      </c>
      <c r="DX556" s="3">
        <v>229882.02</v>
      </c>
      <c r="DY556">
        <v>0</v>
      </c>
      <c r="EF556" s="1">
        <v>46048</v>
      </c>
      <c r="EG556" s="1">
        <v>46044</v>
      </c>
      <c r="EK556" s="1">
        <v>46048</v>
      </c>
      <c r="EL556" s="1">
        <v>46048</v>
      </c>
      <c r="EM556" s="1">
        <v>46045</v>
      </c>
      <c r="EN556" t="s">
        <v>156</v>
      </c>
      <c r="EP556" s="1">
        <v>46044</v>
      </c>
      <c r="ET556" t="s">
        <v>3347</v>
      </c>
      <c r="EU556" s="1">
        <v>46066</v>
      </c>
      <c r="EW556" s="1">
        <v>46038</v>
      </c>
    </row>
    <row r="557" spans="1:153" ht="246.5" x14ac:dyDescent="0.35">
      <c r="A557" t="str">
        <f>HYPERLINK("https://7lm.cvcrm.com.br/gestor/comercial/reservas/6563/administrar","6563")</f>
        <v>6563</v>
      </c>
      <c r="B557" t="s">
        <v>156</v>
      </c>
      <c r="C557" s="1">
        <v>46038</v>
      </c>
      <c r="D557" s="2">
        <v>0.64747685185185189</v>
      </c>
      <c r="E557" t="s">
        <v>294</v>
      </c>
      <c r="F557" t="s">
        <v>2451</v>
      </c>
      <c r="G557" t="s">
        <v>203</v>
      </c>
      <c r="H557" t="s">
        <v>391</v>
      </c>
      <c r="I557" t="s">
        <v>430</v>
      </c>
      <c r="J557">
        <v>1</v>
      </c>
      <c r="L557">
        <v>30061</v>
      </c>
      <c r="M557" t="s">
        <v>3348</v>
      </c>
      <c r="N557" s="1">
        <v>46041</v>
      </c>
      <c r="O557" s="2">
        <v>0.75407407407407412</v>
      </c>
      <c r="R557" t="str">
        <f>HYPERLINK("https://7lm.cvcrm.com.br/gestor/relatorios/associado/html?q[1|r.idreserva]=6563","CLARA CRISTINNA SANTOS CARDOSO")</f>
        <v>CLARA CRISTINNA SANTOS CARDOSO</v>
      </c>
      <c r="S557">
        <v>10086575147</v>
      </c>
      <c r="T557">
        <v>5561996573539</v>
      </c>
      <c r="V557" t="s">
        <v>3349</v>
      </c>
      <c r="W557" t="s">
        <v>187</v>
      </c>
      <c r="X557" t="s">
        <v>299</v>
      </c>
      <c r="Y557" t="s">
        <v>189</v>
      </c>
      <c r="Z557" t="s">
        <v>190</v>
      </c>
      <c r="AA557" t="s">
        <v>500</v>
      </c>
      <c r="AB557" t="s">
        <v>3350</v>
      </c>
      <c r="AC557" t="s">
        <v>3104</v>
      </c>
      <c r="AD557" t="s">
        <v>3104</v>
      </c>
      <c r="AF557" t="s">
        <v>303</v>
      </c>
      <c r="AG557" t="s">
        <v>195</v>
      </c>
      <c r="AH557" s="3">
        <v>248679.03</v>
      </c>
      <c r="AI557" s="3">
        <v>248679.03</v>
      </c>
      <c r="AJ557" s="1">
        <v>46106</v>
      </c>
      <c r="AN557" t="s">
        <v>172</v>
      </c>
      <c r="AR557" s="7" t="s">
        <v>353</v>
      </c>
      <c r="AT557" t="s">
        <v>196</v>
      </c>
      <c r="AU557" t="s">
        <v>292</v>
      </c>
      <c r="AW557">
        <v>0</v>
      </c>
      <c r="AX557" s="1">
        <v>46055</v>
      </c>
      <c r="AY557" s="2">
        <v>0.43444444444444447</v>
      </c>
      <c r="AZ557">
        <v>183949</v>
      </c>
      <c r="BA557" s="1">
        <v>46036</v>
      </c>
      <c r="BC557" t="s">
        <v>0</v>
      </c>
      <c r="BD557" s="1">
        <v>46038</v>
      </c>
      <c r="BE557" t="s">
        <v>176</v>
      </c>
      <c r="BL557" s="4">
        <v>0</v>
      </c>
      <c r="BM557" s="1">
        <v>46788</v>
      </c>
      <c r="BN557" s="1">
        <v>46053</v>
      </c>
      <c r="BO557">
        <v>0</v>
      </c>
      <c r="BP557">
        <v>27480</v>
      </c>
      <c r="BQ557" t="s">
        <v>156</v>
      </c>
      <c r="BR557" s="3">
        <v>125301.03</v>
      </c>
      <c r="BS557" s="3">
        <v>43027</v>
      </c>
      <c r="BT557">
        <v>0</v>
      </c>
      <c r="BU557" s="3">
        <v>168328.03</v>
      </c>
      <c r="BV557" s="3">
        <v>248679.03</v>
      </c>
      <c r="BX557">
        <v>0</v>
      </c>
      <c r="BZ557">
        <v>0</v>
      </c>
      <c r="CA557">
        <v>0</v>
      </c>
      <c r="CB557">
        <v>0</v>
      </c>
      <c r="CC557" s="3">
        <v>248679.03</v>
      </c>
      <c r="CD557" s="5">
        <v>0</v>
      </c>
      <c r="CF557" s="6">
        <v>46023</v>
      </c>
      <c r="CH557">
        <v>0</v>
      </c>
      <c r="CI557">
        <v>0</v>
      </c>
      <c r="CJ557">
        <v>0</v>
      </c>
      <c r="CK557">
        <v>0</v>
      </c>
      <c r="CL557">
        <v>0</v>
      </c>
      <c r="CM557">
        <v>0</v>
      </c>
      <c r="CN557">
        <v>0</v>
      </c>
      <c r="CO557">
        <v>0</v>
      </c>
      <c r="CP557">
        <v>0</v>
      </c>
      <c r="CQ557">
        <v>0</v>
      </c>
      <c r="CR557">
        <v>0</v>
      </c>
      <c r="CS557" t="s">
        <v>305</v>
      </c>
      <c r="CT557" t="s">
        <v>190</v>
      </c>
      <c r="CU557" t="s">
        <v>430</v>
      </c>
      <c r="CW557">
        <v>442.96730000000002</v>
      </c>
      <c r="CZ557" s="1">
        <v>46038</v>
      </c>
      <c r="DA557" t="s">
        <v>172</v>
      </c>
      <c r="DB557" t="s">
        <v>172</v>
      </c>
      <c r="DC557" t="s">
        <v>172</v>
      </c>
      <c r="DD557" t="s">
        <v>172</v>
      </c>
      <c r="DG557" s="1">
        <v>46038</v>
      </c>
      <c r="DH557">
        <v>0</v>
      </c>
      <c r="DI557">
        <v>0</v>
      </c>
      <c r="DJ557" s="1">
        <v>46055</v>
      </c>
      <c r="DL557" t="s">
        <v>2473</v>
      </c>
      <c r="DM557" t="s">
        <v>172</v>
      </c>
      <c r="DN557" t="s">
        <v>225</v>
      </c>
      <c r="DP557" s="8">
        <v>0.01</v>
      </c>
      <c r="DV557" s="3">
        <v>248679.03</v>
      </c>
      <c r="DW557">
        <v>0</v>
      </c>
      <c r="DX557" s="3">
        <v>248679.03</v>
      </c>
      <c r="DY557">
        <v>0</v>
      </c>
      <c r="EG557" s="1">
        <v>46042</v>
      </c>
      <c r="EN557" t="s">
        <v>156</v>
      </c>
      <c r="EP557" s="1">
        <v>46043</v>
      </c>
      <c r="ER557" s="1">
        <v>46042</v>
      </c>
      <c r="ES557" t="s">
        <v>3351</v>
      </c>
      <c r="EU557" s="1">
        <v>46044</v>
      </c>
    </row>
    <row r="558" spans="1:153" ht="246.5" x14ac:dyDescent="0.35">
      <c r="A558" t="str">
        <f>HYPERLINK("https://7lm.cvcrm.com.br/gestor/comercial/reservas/6562/administrar","6562")</f>
        <v>6562</v>
      </c>
      <c r="B558" t="s">
        <v>156</v>
      </c>
      <c r="C558" s="1">
        <v>46038</v>
      </c>
      <c r="D558" s="2">
        <v>0.57731481481481484</v>
      </c>
      <c r="E558" t="s">
        <v>294</v>
      </c>
      <c r="F558" t="s">
        <v>957</v>
      </c>
      <c r="G558" t="s">
        <v>159</v>
      </c>
      <c r="H558" t="s">
        <v>265</v>
      </c>
      <c r="I558" t="s">
        <v>3352</v>
      </c>
      <c r="J558">
        <v>1</v>
      </c>
      <c r="L558">
        <v>30121</v>
      </c>
      <c r="M558" t="s">
        <v>3353</v>
      </c>
      <c r="N558" s="1">
        <v>46077</v>
      </c>
      <c r="O558" s="2">
        <v>0.67248842592592595</v>
      </c>
      <c r="R558" t="str">
        <f>HYPERLINK("https://7lm.cvcrm.com.br/gestor/relatorios/associado/html?q[1|r.idreserva]=6562","CLARISSE APARECIDA BELLAMIO ALVES")</f>
        <v>CLARISSE APARECIDA BELLAMIO ALVES</v>
      </c>
      <c r="S558">
        <v>43285950838</v>
      </c>
      <c r="T558">
        <v>5561999634949</v>
      </c>
      <c r="V558" t="s">
        <v>3354</v>
      </c>
      <c r="W558" t="s">
        <v>187</v>
      </c>
      <c r="X558" t="s">
        <v>3355</v>
      </c>
      <c r="Y558" t="s">
        <v>189</v>
      </c>
      <c r="Z558" t="s">
        <v>190</v>
      </c>
      <c r="AA558" t="s">
        <v>433</v>
      </c>
      <c r="AB558" t="s">
        <v>3356</v>
      </c>
      <c r="AC558" t="s">
        <v>379</v>
      </c>
      <c r="AD558" t="s">
        <v>379</v>
      </c>
      <c r="AF558" t="s">
        <v>352</v>
      </c>
      <c r="AG558" t="s">
        <v>251</v>
      </c>
      <c r="AH558" s="3">
        <v>249934.79</v>
      </c>
      <c r="AI558" s="3">
        <v>249934.79</v>
      </c>
      <c r="AJ558" s="1">
        <v>46096</v>
      </c>
      <c r="AN558" t="s">
        <v>172</v>
      </c>
      <c r="AR558" s="7" t="s">
        <v>353</v>
      </c>
      <c r="AT558" t="s">
        <v>261</v>
      </c>
      <c r="AU558" t="s">
        <v>3357</v>
      </c>
      <c r="AW558">
        <v>0</v>
      </c>
      <c r="AX558" s="1">
        <v>46055</v>
      </c>
      <c r="AY558" s="2">
        <v>0.44034722222222222</v>
      </c>
      <c r="AZ558">
        <v>183985</v>
      </c>
      <c r="BA558" s="1">
        <v>46036</v>
      </c>
      <c r="BC558" t="s">
        <v>0</v>
      </c>
      <c r="BD558" s="1">
        <v>46038</v>
      </c>
      <c r="BE558" t="s">
        <v>176</v>
      </c>
      <c r="BL558" s="4">
        <v>0</v>
      </c>
      <c r="BM558" s="1">
        <v>47031</v>
      </c>
      <c r="BN558" s="1">
        <v>46053</v>
      </c>
      <c r="BO558">
        <v>0</v>
      </c>
      <c r="BP558">
        <v>27499</v>
      </c>
      <c r="BQ558" t="s">
        <v>156</v>
      </c>
      <c r="BR558" s="3">
        <v>133663.85999999999</v>
      </c>
      <c r="BS558" s="3">
        <v>24960</v>
      </c>
      <c r="BT558">
        <v>0</v>
      </c>
      <c r="BU558" s="3">
        <v>158623.85999999999</v>
      </c>
      <c r="BV558" s="3">
        <v>249934.79</v>
      </c>
      <c r="BX558">
        <v>0</v>
      </c>
      <c r="BZ558">
        <v>0</v>
      </c>
      <c r="CA558">
        <v>0</v>
      </c>
      <c r="CB558">
        <v>0</v>
      </c>
      <c r="CC558" s="3">
        <v>249934.79</v>
      </c>
      <c r="CD558" s="5">
        <v>0</v>
      </c>
      <c r="CF558" s="6">
        <v>46023</v>
      </c>
      <c r="CH558">
        <v>0</v>
      </c>
      <c r="CI558">
        <v>0</v>
      </c>
      <c r="CJ558">
        <v>0</v>
      </c>
      <c r="CK558">
        <v>0</v>
      </c>
      <c r="CL558">
        <v>0</v>
      </c>
      <c r="CM558">
        <v>0</v>
      </c>
      <c r="CN558">
        <v>0</v>
      </c>
      <c r="CO558">
        <v>0</v>
      </c>
      <c r="CP558">
        <v>0</v>
      </c>
      <c r="CQ558">
        <v>0</v>
      </c>
      <c r="CR558">
        <v>0</v>
      </c>
      <c r="CS558" t="s">
        <v>199</v>
      </c>
      <c r="CT558" t="s">
        <v>190</v>
      </c>
      <c r="CU558" t="s">
        <v>3352</v>
      </c>
      <c r="CW558">
        <v>-50.742100000000001</v>
      </c>
      <c r="CZ558" s="1">
        <v>46038</v>
      </c>
      <c r="DA558" t="s">
        <v>172</v>
      </c>
      <c r="DB558" t="s">
        <v>172</v>
      </c>
      <c r="DC558" t="s">
        <v>172</v>
      </c>
      <c r="DD558" t="s">
        <v>172</v>
      </c>
      <c r="DG558" s="1">
        <v>46038</v>
      </c>
      <c r="DH558">
        <v>0</v>
      </c>
      <c r="DI558">
        <v>0</v>
      </c>
      <c r="DJ558" s="1">
        <v>46055</v>
      </c>
      <c r="DL558" t="s">
        <v>963</v>
      </c>
      <c r="DM558" t="s">
        <v>172</v>
      </c>
      <c r="DN558" t="s">
        <v>201</v>
      </c>
      <c r="DV558" s="3">
        <v>249934.79</v>
      </c>
      <c r="DW558">
        <v>0</v>
      </c>
      <c r="DX558" s="3">
        <v>249934.79</v>
      </c>
      <c r="DY558">
        <v>0</v>
      </c>
      <c r="EG558" s="1">
        <v>46044</v>
      </c>
      <c r="EN558" t="s">
        <v>156</v>
      </c>
      <c r="EP558" s="1">
        <v>46045</v>
      </c>
      <c r="ES558" t="s">
        <v>3358</v>
      </c>
      <c r="ET558" t="s">
        <v>2168</v>
      </c>
      <c r="EU558" s="1">
        <v>46045</v>
      </c>
      <c r="EW558" s="1">
        <v>46038</v>
      </c>
    </row>
    <row r="559" spans="1:153" x14ac:dyDescent="0.35">
      <c r="A559" t="str">
        <f>HYPERLINK("https://7lm.cvcrm.com.br/gestor/comercial/reservas/6561/administrar","6561")</f>
        <v>6561</v>
      </c>
      <c r="B559" t="s">
        <v>172</v>
      </c>
      <c r="C559" s="1">
        <v>46038</v>
      </c>
      <c r="D559" s="2">
        <v>0.49805555555555553</v>
      </c>
      <c r="E559" t="s">
        <v>527</v>
      </c>
      <c r="F559" t="s">
        <v>458</v>
      </c>
      <c r="G559" t="s">
        <v>203</v>
      </c>
      <c r="H559" t="s">
        <v>1431</v>
      </c>
      <c r="I559" t="s">
        <v>1432</v>
      </c>
      <c r="J559">
        <v>1</v>
      </c>
      <c r="L559">
        <v>20001</v>
      </c>
      <c r="M559" t="s">
        <v>1433</v>
      </c>
      <c r="R559" t="str">
        <f>HYPERLINK("https://7lm.cvcrm.com.br/gestor/relatorios/associado/html?q[1|r.idreserva]=6561","JOSE ARAUJO DA SILVA")</f>
        <v>JOSE ARAUJO DA SILVA</v>
      </c>
      <c r="S559">
        <v>63638860310</v>
      </c>
      <c r="T559">
        <v>5561984627339</v>
      </c>
      <c r="U559">
        <v>5561992263618</v>
      </c>
      <c r="V559" t="s">
        <v>3359</v>
      </c>
      <c r="W559" t="s">
        <v>163</v>
      </c>
      <c r="Y559" t="s">
        <v>165</v>
      </c>
      <c r="Z559" t="s">
        <v>257</v>
      </c>
      <c r="AA559" t="s">
        <v>1281</v>
      </c>
      <c r="AB559" t="s">
        <v>3360</v>
      </c>
      <c r="AC559" t="s">
        <v>326</v>
      </c>
      <c r="AD559" t="s">
        <v>327</v>
      </c>
      <c r="AF559" t="s">
        <v>212</v>
      </c>
      <c r="AG559" t="s">
        <v>284</v>
      </c>
      <c r="AH559" s="3">
        <v>240002.57</v>
      </c>
      <c r="AI559" s="3">
        <v>240002.57</v>
      </c>
      <c r="AJ559" s="1">
        <v>46096</v>
      </c>
      <c r="AN559" t="s">
        <v>172</v>
      </c>
      <c r="AO559" t="s">
        <v>2880</v>
      </c>
      <c r="AR559" t="s">
        <v>2881</v>
      </c>
      <c r="AT559" t="s">
        <v>196</v>
      </c>
      <c r="AU559" t="s">
        <v>175</v>
      </c>
      <c r="AW559">
        <v>0</v>
      </c>
      <c r="AX559" s="1">
        <v>46065</v>
      </c>
      <c r="AY559" s="2">
        <v>0.40538194444444442</v>
      </c>
      <c r="AZ559">
        <v>183942</v>
      </c>
      <c r="BA559" s="1">
        <v>46036</v>
      </c>
      <c r="BC559" t="s">
        <v>0</v>
      </c>
      <c r="BD559" s="1">
        <v>46038</v>
      </c>
      <c r="BE559" t="s">
        <v>175</v>
      </c>
      <c r="BL559" s="4">
        <v>0</v>
      </c>
      <c r="BM559" s="1">
        <v>46572</v>
      </c>
      <c r="BO559">
        <v>0</v>
      </c>
      <c r="BP559">
        <v>27483</v>
      </c>
      <c r="BQ559" t="s">
        <v>156</v>
      </c>
      <c r="BR559" s="3">
        <v>113262.57</v>
      </c>
      <c r="BS559" s="3">
        <v>50768</v>
      </c>
      <c r="BT559">
        <v>0</v>
      </c>
      <c r="BU559" s="3">
        <v>164030.57</v>
      </c>
      <c r="BV559" s="3">
        <v>240002.57</v>
      </c>
      <c r="BX559">
        <v>0</v>
      </c>
      <c r="BZ559">
        <v>0</v>
      </c>
      <c r="CA559">
        <v>0</v>
      </c>
      <c r="CB559">
        <v>0</v>
      </c>
      <c r="CC559" s="3">
        <v>240002.57</v>
      </c>
      <c r="CD559" s="5">
        <v>0</v>
      </c>
      <c r="CE559" t="s">
        <v>467</v>
      </c>
      <c r="CF559" s="6">
        <v>46054</v>
      </c>
      <c r="CH559">
        <v>0</v>
      </c>
      <c r="CI559">
        <v>0</v>
      </c>
      <c r="CJ559">
        <v>0</v>
      </c>
      <c r="CK559">
        <v>0</v>
      </c>
      <c r="CL559">
        <v>0</v>
      </c>
      <c r="CM559">
        <v>0</v>
      </c>
      <c r="CN559">
        <v>0</v>
      </c>
      <c r="CO559">
        <v>0</v>
      </c>
      <c r="CP559">
        <v>0</v>
      </c>
      <c r="CQ559">
        <v>0</v>
      </c>
      <c r="CR559">
        <v>0</v>
      </c>
      <c r="CT559" t="s">
        <v>214</v>
      </c>
      <c r="CU559" t="s">
        <v>1432</v>
      </c>
      <c r="CW559">
        <v>0</v>
      </c>
      <c r="CZ559" s="1">
        <v>46038</v>
      </c>
      <c r="DA559" t="s">
        <v>172</v>
      </c>
      <c r="DB559" t="s">
        <v>172</v>
      </c>
      <c r="DC559" t="s">
        <v>172</v>
      </c>
      <c r="DD559" t="s">
        <v>172</v>
      </c>
      <c r="DG559" s="1">
        <v>46038</v>
      </c>
      <c r="DH559">
        <v>0</v>
      </c>
      <c r="DI559">
        <v>0</v>
      </c>
      <c r="DL559" t="s">
        <v>200</v>
      </c>
      <c r="DM559" t="s">
        <v>172</v>
      </c>
      <c r="DN559" t="s">
        <v>511</v>
      </c>
      <c r="DV559" s="3">
        <v>240002.57</v>
      </c>
      <c r="DW559">
        <v>0</v>
      </c>
      <c r="DX559" s="3">
        <v>240002.57</v>
      </c>
      <c r="DY559">
        <v>0</v>
      </c>
      <c r="EN559" t="s">
        <v>172</v>
      </c>
      <c r="EU559" s="1">
        <v>46066</v>
      </c>
      <c r="EW559" s="1">
        <v>46038</v>
      </c>
    </row>
    <row r="560" spans="1:153" x14ac:dyDescent="0.35">
      <c r="A560" t="str">
        <f>HYPERLINK("https://7lm.cvcrm.com.br/gestor/comercial/reservas/6560/administrar","6560")</f>
        <v>6560</v>
      </c>
      <c r="B560" t="s">
        <v>172</v>
      </c>
      <c r="C560" s="1">
        <v>46038</v>
      </c>
      <c r="D560" s="2">
        <v>0.47620370370370368</v>
      </c>
      <c r="E560" t="s">
        <v>527</v>
      </c>
      <c r="F560" t="s">
        <v>957</v>
      </c>
      <c r="G560" t="s">
        <v>159</v>
      </c>
      <c r="H560" t="s">
        <v>2907</v>
      </c>
      <c r="I560" t="s">
        <v>3071</v>
      </c>
      <c r="J560">
        <v>1</v>
      </c>
      <c r="L560">
        <v>30121</v>
      </c>
      <c r="M560" t="s">
        <v>3072</v>
      </c>
      <c r="R560" t="str">
        <f>HYPERLINK("https://7lm.cvcrm.com.br/gestor/relatorios/associado/html?q[1|r.idreserva]=6560","ANA LUIZA FERREIRA MORAIS")</f>
        <v>ANA LUIZA FERREIRA MORAIS</v>
      </c>
      <c r="S560">
        <v>4626497179</v>
      </c>
      <c r="T560">
        <v>5561998753585</v>
      </c>
      <c r="V560" t="s">
        <v>3361</v>
      </c>
      <c r="W560" t="s">
        <v>187</v>
      </c>
      <c r="X560" t="s">
        <v>2401</v>
      </c>
      <c r="Y560" t="s">
        <v>189</v>
      </c>
      <c r="Z560" t="s">
        <v>190</v>
      </c>
      <c r="AA560" t="s">
        <v>3362</v>
      </c>
      <c r="AB560" t="s">
        <v>3363</v>
      </c>
      <c r="AC560" t="s">
        <v>302</v>
      </c>
      <c r="AD560" t="s">
        <v>302</v>
      </c>
      <c r="AF560" t="s">
        <v>303</v>
      </c>
      <c r="AG560" t="s">
        <v>251</v>
      </c>
      <c r="AH560" s="3">
        <v>245001.25</v>
      </c>
      <c r="AI560" s="3">
        <v>245001.25</v>
      </c>
      <c r="AJ560" s="1">
        <v>46069</v>
      </c>
      <c r="AN560" t="s">
        <v>172</v>
      </c>
      <c r="AO560" t="s">
        <v>1334</v>
      </c>
      <c r="AR560" t="s">
        <v>3364</v>
      </c>
      <c r="AT560" t="s">
        <v>196</v>
      </c>
      <c r="AU560" t="s">
        <v>292</v>
      </c>
      <c r="AW560">
        <v>0</v>
      </c>
      <c r="AX560" s="1">
        <v>46043</v>
      </c>
      <c r="AY560" s="2">
        <v>0.58699074074074076</v>
      </c>
      <c r="AZ560">
        <v>94797</v>
      </c>
      <c r="BA560" s="1">
        <v>45216</v>
      </c>
      <c r="BC560" t="s">
        <v>275</v>
      </c>
      <c r="BD560" s="1">
        <v>46104</v>
      </c>
      <c r="BE560" t="s">
        <v>317</v>
      </c>
      <c r="BL560" s="4">
        <v>0</v>
      </c>
      <c r="BM560" s="1">
        <v>47031</v>
      </c>
      <c r="BO560">
        <v>0</v>
      </c>
      <c r="BP560">
        <v>27500</v>
      </c>
      <c r="BQ560" t="s">
        <v>156</v>
      </c>
      <c r="BR560" s="3">
        <v>123531.25</v>
      </c>
      <c r="BS560" s="3">
        <v>36693</v>
      </c>
      <c r="BT560">
        <v>0</v>
      </c>
      <c r="BU560" s="3">
        <v>160224.25</v>
      </c>
      <c r="BV560" s="3">
        <v>245001.25</v>
      </c>
      <c r="BX560">
        <v>0</v>
      </c>
      <c r="BZ560">
        <v>0</v>
      </c>
      <c r="CA560">
        <v>0</v>
      </c>
      <c r="CB560">
        <v>0</v>
      </c>
      <c r="CC560" s="3">
        <v>245001.25</v>
      </c>
      <c r="CD560" s="5">
        <v>0</v>
      </c>
      <c r="CF560" s="6">
        <v>46023</v>
      </c>
      <c r="CH560">
        <v>0</v>
      </c>
      <c r="CI560">
        <v>0</v>
      </c>
      <c r="CJ560">
        <v>0</v>
      </c>
      <c r="CK560">
        <v>0</v>
      </c>
      <c r="CL560">
        <v>0</v>
      </c>
      <c r="CM560">
        <v>0</v>
      </c>
      <c r="CN560">
        <v>0</v>
      </c>
      <c r="CO560">
        <v>0</v>
      </c>
      <c r="CP560">
        <v>0</v>
      </c>
      <c r="CQ560">
        <v>0</v>
      </c>
      <c r="CR560">
        <v>0</v>
      </c>
      <c r="CT560" t="s">
        <v>190</v>
      </c>
      <c r="CU560" t="s">
        <v>3071</v>
      </c>
      <c r="CW560">
        <v>0</v>
      </c>
      <c r="CZ560" s="1">
        <v>46038</v>
      </c>
      <c r="DA560" t="s">
        <v>172</v>
      </c>
      <c r="DB560" t="s">
        <v>172</v>
      </c>
      <c r="DC560" t="s">
        <v>172</v>
      </c>
      <c r="DD560" t="s">
        <v>172</v>
      </c>
      <c r="DG560" s="1">
        <v>46038</v>
      </c>
      <c r="DH560">
        <v>0</v>
      </c>
      <c r="DI560">
        <v>0</v>
      </c>
      <c r="DL560" t="s">
        <v>963</v>
      </c>
      <c r="DM560" t="s">
        <v>172</v>
      </c>
      <c r="DN560" t="s">
        <v>201</v>
      </c>
      <c r="DV560" s="3">
        <v>245001.25</v>
      </c>
      <c r="DW560">
        <v>0</v>
      </c>
      <c r="DX560" s="3">
        <v>245001.25</v>
      </c>
      <c r="DY560">
        <v>0</v>
      </c>
      <c r="EN560" t="s">
        <v>156</v>
      </c>
      <c r="EU560" s="1">
        <v>46044</v>
      </c>
      <c r="EW560" s="1">
        <v>46038</v>
      </c>
    </row>
    <row r="561" spans="1:153" ht="246.5" x14ac:dyDescent="0.35">
      <c r="A561" t="str">
        <f>HYPERLINK("https://7lm.cvcrm.com.br/gestor/comercial/reservas/6559/administrar","6559")</f>
        <v>6559</v>
      </c>
      <c r="B561" t="s">
        <v>156</v>
      </c>
      <c r="C561" s="1">
        <v>46037</v>
      </c>
      <c r="D561" s="2">
        <v>0.82799768518518524</v>
      </c>
      <c r="E561" t="s">
        <v>294</v>
      </c>
      <c r="F561" t="s">
        <v>957</v>
      </c>
      <c r="G561" t="s">
        <v>159</v>
      </c>
      <c r="H561" t="s">
        <v>418</v>
      </c>
      <c r="I561" t="s">
        <v>3365</v>
      </c>
      <c r="J561">
        <v>1</v>
      </c>
      <c r="L561">
        <v>30121</v>
      </c>
      <c r="M561" t="s">
        <v>3366</v>
      </c>
      <c r="N561" s="1">
        <v>46041</v>
      </c>
      <c r="O561" s="2">
        <v>0.56533564814814818</v>
      </c>
      <c r="R561" t="str">
        <f>HYPERLINK("https://7lm.cvcrm.com.br/gestor/relatorios/associado/html?q[1|r.idreserva]=6559","ERIK VIEIRA FELIX")</f>
        <v>ERIK VIEIRA FELIX</v>
      </c>
      <c r="S561">
        <v>7737839119</v>
      </c>
      <c r="T561">
        <v>5561999893174</v>
      </c>
      <c r="V561" t="s">
        <v>3367</v>
      </c>
      <c r="W561" t="s">
        <v>163</v>
      </c>
      <c r="X561" t="s">
        <v>376</v>
      </c>
      <c r="Y561" t="s">
        <v>189</v>
      </c>
      <c r="Z561" t="s">
        <v>190</v>
      </c>
      <c r="AA561" t="s">
        <v>532</v>
      </c>
      <c r="AB561" t="s">
        <v>3368</v>
      </c>
      <c r="AC561" t="s">
        <v>534</v>
      </c>
      <c r="AF561" t="s">
        <v>352</v>
      </c>
      <c r="AG561" t="s">
        <v>195</v>
      </c>
      <c r="AH561" s="3">
        <v>260000.28</v>
      </c>
      <c r="AI561" s="3">
        <v>260000.28</v>
      </c>
      <c r="AJ561" s="1">
        <v>46096</v>
      </c>
      <c r="AN561" t="s">
        <v>172</v>
      </c>
      <c r="AR561" s="7" t="s">
        <v>353</v>
      </c>
      <c r="AT561" t="s">
        <v>196</v>
      </c>
      <c r="AU561" t="s">
        <v>292</v>
      </c>
      <c r="AW561">
        <v>0</v>
      </c>
      <c r="AX561" s="1">
        <v>46055</v>
      </c>
      <c r="AY561" s="2">
        <v>0.46011574074074074</v>
      </c>
      <c r="AZ561" t="s">
        <v>3369</v>
      </c>
      <c r="BA561" t="s">
        <v>3370</v>
      </c>
      <c r="BB561" t="s">
        <v>356</v>
      </c>
      <c r="BC561" t="s">
        <v>485</v>
      </c>
      <c r="BD561" t="s">
        <v>3371</v>
      </c>
      <c r="BE561" t="s">
        <v>850</v>
      </c>
      <c r="BL561" s="4">
        <v>0</v>
      </c>
      <c r="BM561" s="1">
        <v>47031</v>
      </c>
      <c r="BN561" s="1">
        <v>46053</v>
      </c>
      <c r="BO561">
        <v>0</v>
      </c>
      <c r="BP561">
        <v>27319</v>
      </c>
      <c r="BQ561" t="s">
        <v>156</v>
      </c>
      <c r="BR561" s="3">
        <v>180000</v>
      </c>
      <c r="BS561">
        <v>0</v>
      </c>
      <c r="BT561">
        <v>0</v>
      </c>
      <c r="BU561" s="3">
        <v>180000</v>
      </c>
      <c r="BV561" s="3">
        <v>260000.28</v>
      </c>
      <c r="BX561">
        <v>0</v>
      </c>
      <c r="BZ561">
        <v>0</v>
      </c>
      <c r="CA561">
        <v>0</v>
      </c>
      <c r="CB561">
        <v>0</v>
      </c>
      <c r="CC561" s="3">
        <v>260000.28</v>
      </c>
      <c r="CD561" s="5">
        <v>0</v>
      </c>
      <c r="CF561" s="6">
        <v>46023</v>
      </c>
      <c r="CH561">
        <v>0</v>
      </c>
      <c r="CI561">
        <v>0</v>
      </c>
      <c r="CJ561">
        <v>0</v>
      </c>
      <c r="CK561">
        <v>0</v>
      </c>
      <c r="CL561">
        <v>0</v>
      </c>
      <c r="CM561">
        <v>0</v>
      </c>
      <c r="CN561">
        <v>0</v>
      </c>
      <c r="CO561">
        <v>0</v>
      </c>
      <c r="CP561">
        <v>0</v>
      </c>
      <c r="CQ561">
        <v>0</v>
      </c>
      <c r="CR561">
        <v>0</v>
      </c>
      <c r="CS561" t="s">
        <v>199</v>
      </c>
      <c r="CT561" t="s">
        <v>190</v>
      </c>
      <c r="CU561" t="s">
        <v>3365</v>
      </c>
      <c r="CW561">
        <v>448.52379999999999</v>
      </c>
      <c r="CZ561" s="1">
        <v>46037</v>
      </c>
      <c r="DA561" t="s">
        <v>172</v>
      </c>
      <c r="DB561" t="s">
        <v>172</v>
      </c>
      <c r="DC561" t="s">
        <v>172</v>
      </c>
      <c r="DD561" t="s">
        <v>172</v>
      </c>
      <c r="DG561" s="1">
        <v>46037</v>
      </c>
      <c r="DH561">
        <v>0</v>
      </c>
      <c r="DI561">
        <v>0</v>
      </c>
      <c r="DJ561" s="1">
        <v>46055</v>
      </c>
      <c r="DL561" t="s">
        <v>963</v>
      </c>
      <c r="DM561" t="s">
        <v>172</v>
      </c>
      <c r="DN561" t="s">
        <v>525</v>
      </c>
      <c r="DP561" s="4">
        <v>1.2E-2</v>
      </c>
      <c r="DV561" s="3">
        <v>260000.28</v>
      </c>
      <c r="DW561">
        <v>0</v>
      </c>
      <c r="DX561" s="3">
        <v>260000.28</v>
      </c>
      <c r="DY561">
        <v>0</v>
      </c>
      <c r="EG561" s="1">
        <v>46041</v>
      </c>
      <c r="EN561" t="s">
        <v>156</v>
      </c>
      <c r="EP561" s="1">
        <v>46041</v>
      </c>
    </row>
    <row r="562" spans="1:153" x14ac:dyDescent="0.35">
      <c r="A562" t="str">
        <f>HYPERLINK("https://7lm.cvcrm.com.br/gestor/comercial/reservas/6558/administrar","6558")</f>
        <v>6558</v>
      </c>
      <c r="B562" t="s">
        <v>156</v>
      </c>
      <c r="C562" s="1">
        <v>46037</v>
      </c>
      <c r="D562" s="2">
        <v>0.78218750000000004</v>
      </c>
      <c r="E562" t="s">
        <v>527</v>
      </c>
      <c r="F562" t="s">
        <v>458</v>
      </c>
      <c r="G562" t="s">
        <v>203</v>
      </c>
      <c r="H562" t="s">
        <v>404</v>
      </c>
      <c r="I562" t="s">
        <v>1027</v>
      </c>
      <c r="J562">
        <v>1</v>
      </c>
      <c r="L562">
        <v>20001</v>
      </c>
      <c r="M562" t="s">
        <v>2983</v>
      </c>
      <c r="N562" s="1">
        <v>46041</v>
      </c>
      <c r="O562" s="2">
        <v>0.42026620370370371</v>
      </c>
      <c r="R562" t="str">
        <f>HYPERLINK("https://7lm.cvcrm.com.br/gestor/relatorios/associado/html?q[1|r.idreserva]=6558","DAVIELI DIAS DE CARVALHO")</f>
        <v>DAVIELI DIAS DE CARVALHO</v>
      </c>
      <c r="S562">
        <v>2960632311</v>
      </c>
      <c r="T562">
        <v>5561986083024</v>
      </c>
      <c r="V562" t="s">
        <v>3372</v>
      </c>
      <c r="W562" t="s">
        <v>187</v>
      </c>
      <c r="X562" t="s">
        <v>3373</v>
      </c>
      <c r="Y562" t="s">
        <v>165</v>
      </c>
      <c r="Z562" t="s">
        <v>385</v>
      </c>
      <c r="AA562" t="s">
        <v>3374</v>
      </c>
      <c r="AB562" t="s">
        <v>3375</v>
      </c>
      <c r="AC562" t="s">
        <v>2149</v>
      </c>
      <c r="AF562" t="s">
        <v>399</v>
      </c>
      <c r="AG562" t="s">
        <v>195</v>
      </c>
      <c r="AH562" s="3">
        <v>237000</v>
      </c>
      <c r="AI562" s="3">
        <v>237000</v>
      </c>
      <c r="AJ562" s="1">
        <v>46106</v>
      </c>
      <c r="AN562" t="s">
        <v>172</v>
      </c>
      <c r="AO562" t="s">
        <v>261</v>
      </c>
      <c r="AR562" t="s">
        <v>3376</v>
      </c>
      <c r="AT562" t="s">
        <v>261</v>
      </c>
      <c r="AU562" t="s">
        <v>316</v>
      </c>
      <c r="AW562">
        <v>0</v>
      </c>
      <c r="AX562" s="1">
        <v>46055</v>
      </c>
      <c r="AY562" s="2">
        <v>0.6524537037037037</v>
      </c>
      <c r="AZ562">
        <v>78489</v>
      </c>
      <c r="BA562" s="1">
        <v>44824</v>
      </c>
      <c r="BC562" t="s">
        <v>0</v>
      </c>
      <c r="BD562" s="1">
        <v>46037</v>
      </c>
      <c r="BE562" t="s">
        <v>317</v>
      </c>
      <c r="BL562" s="4">
        <v>0</v>
      </c>
      <c r="BM562" s="1">
        <v>46572</v>
      </c>
      <c r="BO562">
        <v>0</v>
      </c>
      <c r="BP562">
        <v>27418</v>
      </c>
      <c r="BQ562" t="s">
        <v>156</v>
      </c>
      <c r="BR562" s="3">
        <v>159610.20000000001</v>
      </c>
      <c r="BS562" s="3">
        <v>13678</v>
      </c>
      <c r="BT562">
        <v>0</v>
      </c>
      <c r="BU562" s="3">
        <v>173288.2</v>
      </c>
      <c r="BV562" s="3">
        <v>237000</v>
      </c>
      <c r="BX562">
        <v>0</v>
      </c>
      <c r="BZ562">
        <v>0</v>
      </c>
      <c r="CA562">
        <v>0</v>
      </c>
      <c r="CB562">
        <v>0</v>
      </c>
      <c r="CC562" s="3">
        <v>237000</v>
      </c>
      <c r="CD562" s="5">
        <v>0</v>
      </c>
      <c r="CE562" t="s">
        <v>467</v>
      </c>
      <c r="CF562" s="6">
        <v>46054</v>
      </c>
      <c r="CH562">
        <v>0</v>
      </c>
      <c r="CI562">
        <v>0</v>
      </c>
      <c r="CJ562">
        <v>0</v>
      </c>
      <c r="CK562">
        <v>0</v>
      </c>
      <c r="CL562">
        <v>0</v>
      </c>
      <c r="CM562">
        <v>0</v>
      </c>
      <c r="CN562">
        <v>0</v>
      </c>
      <c r="CO562">
        <v>0</v>
      </c>
      <c r="CP562">
        <v>0</v>
      </c>
      <c r="CQ562">
        <v>0</v>
      </c>
      <c r="CR562">
        <v>0</v>
      </c>
      <c r="CS562" t="s">
        <v>2497</v>
      </c>
      <c r="CT562" t="s">
        <v>214</v>
      </c>
      <c r="CU562" t="s">
        <v>1027</v>
      </c>
      <c r="CW562">
        <v>417.46719999999999</v>
      </c>
      <c r="CZ562" s="1">
        <v>46037</v>
      </c>
      <c r="DA562" t="s">
        <v>172</v>
      </c>
      <c r="DB562" t="s">
        <v>172</v>
      </c>
      <c r="DC562" t="s">
        <v>172</v>
      </c>
      <c r="DD562" t="s">
        <v>172</v>
      </c>
      <c r="DG562" s="1">
        <v>46037</v>
      </c>
      <c r="DH562">
        <v>0</v>
      </c>
      <c r="DI562">
        <v>0</v>
      </c>
      <c r="DL562" t="s">
        <v>200</v>
      </c>
      <c r="DM562" t="s">
        <v>172</v>
      </c>
      <c r="DN562" t="s">
        <v>511</v>
      </c>
      <c r="DU562" t="s">
        <v>1266</v>
      </c>
      <c r="DV562" s="3">
        <v>258800</v>
      </c>
      <c r="DW562">
        <v>-52.2</v>
      </c>
      <c r="DX562" s="3">
        <v>258800</v>
      </c>
      <c r="DY562">
        <v>-52.2</v>
      </c>
      <c r="EN562" t="s">
        <v>156</v>
      </c>
      <c r="EU562" s="1">
        <v>46057</v>
      </c>
      <c r="EW562" s="1">
        <v>46038</v>
      </c>
    </row>
    <row r="563" spans="1:153" ht="246.5" x14ac:dyDescent="0.35">
      <c r="A563" t="str">
        <f>HYPERLINK("https://7lm.cvcrm.com.br/gestor/comercial/reservas/6557/administrar","6557")</f>
        <v>6557</v>
      </c>
      <c r="B563" t="s">
        <v>156</v>
      </c>
      <c r="C563" s="1">
        <v>46037</v>
      </c>
      <c r="D563" s="2">
        <v>0.76850694444444445</v>
      </c>
      <c r="E563" t="s">
        <v>294</v>
      </c>
      <c r="F563" t="s">
        <v>957</v>
      </c>
      <c r="G563" t="s">
        <v>159</v>
      </c>
      <c r="H563" t="s">
        <v>643</v>
      </c>
      <c r="I563" t="s">
        <v>3377</v>
      </c>
      <c r="J563">
        <v>1</v>
      </c>
      <c r="L563">
        <v>30121</v>
      </c>
      <c r="M563" t="s">
        <v>3378</v>
      </c>
      <c r="N563" s="1">
        <v>46051</v>
      </c>
      <c r="O563" s="2">
        <v>0.45001157407407405</v>
      </c>
      <c r="R563" t="str">
        <f>HYPERLINK("https://7lm.cvcrm.com.br/gestor/relatorios/associado/html?q[1|r.idreserva]=6557","MARCOS VINÍCIUS APARECIDO NEVES")</f>
        <v>MARCOS VINÍCIUS APARECIDO NEVES</v>
      </c>
      <c r="S563">
        <v>71406955124</v>
      </c>
      <c r="T563">
        <v>5561999422958</v>
      </c>
      <c r="V563" t="s">
        <v>3379</v>
      </c>
      <c r="W563" t="s">
        <v>163</v>
      </c>
      <c r="X563" t="s">
        <v>366</v>
      </c>
      <c r="Y563" t="s">
        <v>189</v>
      </c>
      <c r="Z563" t="s">
        <v>190</v>
      </c>
      <c r="AA563" t="s">
        <v>596</v>
      </c>
      <c r="AB563" t="s">
        <v>3380</v>
      </c>
      <c r="AC563" t="s">
        <v>589</v>
      </c>
      <c r="AF563" t="s">
        <v>194</v>
      </c>
      <c r="AG563" t="s">
        <v>251</v>
      </c>
      <c r="AH563" s="3">
        <v>243687.93</v>
      </c>
      <c r="AI563" s="3">
        <v>243687.93</v>
      </c>
      <c r="AJ563" s="1">
        <v>46106</v>
      </c>
      <c r="AN563" t="s">
        <v>172</v>
      </c>
      <c r="AR563" s="7" t="s">
        <v>353</v>
      </c>
      <c r="AT563" t="s">
        <v>261</v>
      </c>
      <c r="AU563" t="s">
        <v>3381</v>
      </c>
      <c r="AW563">
        <v>0</v>
      </c>
      <c r="AX563" s="1">
        <v>46055</v>
      </c>
      <c r="AY563" s="2">
        <v>0.47354166666666669</v>
      </c>
      <c r="AZ563">
        <v>77742</v>
      </c>
      <c r="BA563" s="1">
        <v>44802</v>
      </c>
      <c r="BB563" s="1">
        <v>45022</v>
      </c>
      <c r="BC563" t="s">
        <v>275</v>
      </c>
      <c r="BD563" s="1">
        <v>46169</v>
      </c>
      <c r="BE563" t="s">
        <v>276</v>
      </c>
      <c r="BL563" s="4">
        <v>0</v>
      </c>
      <c r="BM563" s="1">
        <v>47031</v>
      </c>
      <c r="BN563" s="1">
        <v>46053</v>
      </c>
      <c r="BO563">
        <v>0</v>
      </c>
      <c r="BP563">
        <v>27443</v>
      </c>
      <c r="BQ563" t="s">
        <v>156</v>
      </c>
      <c r="BR563" s="3">
        <v>136096.22</v>
      </c>
      <c r="BS563" s="3">
        <v>26209</v>
      </c>
      <c r="BT563">
        <v>0</v>
      </c>
      <c r="BU563" s="3">
        <v>162305.22</v>
      </c>
      <c r="BV563" s="3">
        <v>243687.93</v>
      </c>
      <c r="BX563">
        <v>0</v>
      </c>
      <c r="BZ563">
        <v>0</v>
      </c>
      <c r="CA563">
        <v>0</v>
      </c>
      <c r="CB563">
        <v>0</v>
      </c>
      <c r="CC563" s="3">
        <v>243687.93</v>
      </c>
      <c r="CD563" s="5">
        <v>0</v>
      </c>
      <c r="CF563" s="6">
        <v>46023</v>
      </c>
      <c r="CH563">
        <v>0</v>
      </c>
      <c r="CI563">
        <v>0</v>
      </c>
      <c r="CJ563">
        <v>0</v>
      </c>
      <c r="CK563">
        <v>0</v>
      </c>
      <c r="CL563">
        <v>0</v>
      </c>
      <c r="CM563">
        <v>0</v>
      </c>
      <c r="CN563">
        <v>0</v>
      </c>
      <c r="CO563">
        <v>0</v>
      </c>
      <c r="CP563">
        <v>0</v>
      </c>
      <c r="CQ563">
        <v>0</v>
      </c>
      <c r="CR563">
        <v>0</v>
      </c>
      <c r="CS563" t="s">
        <v>199</v>
      </c>
      <c r="CT563" t="s">
        <v>190</v>
      </c>
      <c r="CU563" t="s">
        <v>3377</v>
      </c>
      <c r="CW563">
        <v>414.1096</v>
      </c>
      <c r="CZ563" s="1">
        <v>46037</v>
      </c>
      <c r="DA563" t="s">
        <v>172</v>
      </c>
      <c r="DB563" t="s">
        <v>172</v>
      </c>
      <c r="DC563" t="s">
        <v>172</v>
      </c>
      <c r="DD563" t="s">
        <v>172</v>
      </c>
      <c r="DG563" s="1">
        <v>46037</v>
      </c>
      <c r="DH563">
        <v>0</v>
      </c>
      <c r="DI563">
        <v>0</v>
      </c>
      <c r="DJ563" s="1">
        <v>46055</v>
      </c>
      <c r="DL563" t="s">
        <v>963</v>
      </c>
      <c r="DM563" t="s">
        <v>172</v>
      </c>
      <c r="DN563" t="s">
        <v>201</v>
      </c>
      <c r="DV563" s="3">
        <v>243687.93</v>
      </c>
      <c r="DW563">
        <v>0</v>
      </c>
      <c r="DX563" s="3">
        <v>243687.93</v>
      </c>
      <c r="DY563">
        <v>0</v>
      </c>
      <c r="EF563" s="1">
        <v>46050</v>
      </c>
      <c r="EG563" s="1">
        <v>46048</v>
      </c>
      <c r="EK563" s="1">
        <v>46050</v>
      </c>
      <c r="EL563" s="1">
        <v>46050</v>
      </c>
      <c r="EN563" t="s">
        <v>156</v>
      </c>
      <c r="EP563" s="1">
        <v>46051</v>
      </c>
      <c r="ET563" t="s">
        <v>3382</v>
      </c>
      <c r="EU563" s="1">
        <v>46049</v>
      </c>
      <c r="EW563" s="1">
        <v>46037</v>
      </c>
    </row>
    <row r="564" spans="1:153" x14ac:dyDescent="0.35">
      <c r="A564" t="str">
        <f>HYPERLINK("https://7lm.cvcrm.com.br/gestor/comercial/reservas/6556/administrar","6556")</f>
        <v>6556</v>
      </c>
      <c r="B564" t="s">
        <v>172</v>
      </c>
      <c r="C564" s="1">
        <v>46037</v>
      </c>
      <c r="D564" s="2">
        <v>0.75936342592592587</v>
      </c>
      <c r="E564" t="s">
        <v>527</v>
      </c>
      <c r="F564" t="s">
        <v>957</v>
      </c>
      <c r="G564" t="s">
        <v>159</v>
      </c>
      <c r="H564" t="s">
        <v>418</v>
      </c>
      <c r="I564" t="s">
        <v>3383</v>
      </c>
      <c r="J564">
        <v>1</v>
      </c>
      <c r="L564">
        <v>30121</v>
      </c>
      <c r="M564" t="s">
        <v>3384</v>
      </c>
      <c r="R564" t="str">
        <f>HYPERLINK("https://7lm.cvcrm.com.br/gestor/relatorios/associado/html?q[1|r.idreserva]=6556","ERIK VIEIRA FELIX")</f>
        <v>ERIK VIEIRA FELIX</v>
      </c>
      <c r="S564">
        <v>7737839119</v>
      </c>
      <c r="T564">
        <v>5561999893174</v>
      </c>
      <c r="V564" t="s">
        <v>3367</v>
      </c>
      <c r="W564" t="s">
        <v>163</v>
      </c>
      <c r="X564" t="s">
        <v>376</v>
      </c>
      <c r="Y564" t="s">
        <v>189</v>
      </c>
      <c r="Z564" t="s">
        <v>190</v>
      </c>
      <c r="AA564" t="s">
        <v>532</v>
      </c>
      <c r="AB564" t="s">
        <v>3368</v>
      </c>
      <c r="AC564" t="s">
        <v>534</v>
      </c>
      <c r="AF564" t="s">
        <v>352</v>
      </c>
      <c r="AG564" t="s">
        <v>195</v>
      </c>
      <c r="AH564" s="3">
        <v>260000.28</v>
      </c>
      <c r="AI564" s="3">
        <v>260000.28</v>
      </c>
      <c r="AJ564" s="1">
        <v>46096</v>
      </c>
      <c r="AN564" t="s">
        <v>172</v>
      </c>
      <c r="AO564" t="s">
        <v>725</v>
      </c>
      <c r="AP564" t="s">
        <v>1364</v>
      </c>
      <c r="AR564" t="s">
        <v>3385</v>
      </c>
      <c r="AT564" t="s">
        <v>196</v>
      </c>
      <c r="AU564" t="s">
        <v>292</v>
      </c>
      <c r="AW564">
        <v>0</v>
      </c>
      <c r="AX564" s="1">
        <v>46038</v>
      </c>
      <c r="AY564" s="2">
        <v>0.52347222222222223</v>
      </c>
      <c r="AZ564">
        <v>183171</v>
      </c>
      <c r="BA564" s="1">
        <v>46031</v>
      </c>
      <c r="BC564" t="s">
        <v>275</v>
      </c>
      <c r="BD564" s="1">
        <v>46073</v>
      </c>
      <c r="BE564" t="s">
        <v>176</v>
      </c>
      <c r="BL564" s="4">
        <v>0</v>
      </c>
      <c r="BM564" s="1">
        <v>47031</v>
      </c>
      <c r="BO564">
        <v>0</v>
      </c>
      <c r="BP564">
        <v>27319</v>
      </c>
      <c r="BQ564" t="s">
        <v>156</v>
      </c>
      <c r="BR564" s="3">
        <v>180000</v>
      </c>
      <c r="BS564">
        <v>0</v>
      </c>
      <c r="BT564">
        <v>0</v>
      </c>
      <c r="BU564" s="3">
        <v>180000</v>
      </c>
      <c r="BV564" s="3">
        <v>260000.28</v>
      </c>
      <c r="BX564">
        <v>0</v>
      </c>
      <c r="BZ564">
        <v>0</v>
      </c>
      <c r="CA564">
        <v>0</v>
      </c>
      <c r="CB564">
        <v>0</v>
      </c>
      <c r="CC564" s="3">
        <v>260000.28</v>
      </c>
      <c r="CD564" s="5">
        <v>0</v>
      </c>
      <c r="CF564" s="6">
        <v>46023</v>
      </c>
      <c r="CH564">
        <v>0</v>
      </c>
      <c r="CI564">
        <v>0</v>
      </c>
      <c r="CJ564">
        <v>0</v>
      </c>
      <c r="CK564">
        <v>0</v>
      </c>
      <c r="CL564">
        <v>0</v>
      </c>
      <c r="CM564">
        <v>0</v>
      </c>
      <c r="CN564">
        <v>0</v>
      </c>
      <c r="CO564">
        <v>0</v>
      </c>
      <c r="CP564">
        <v>0</v>
      </c>
      <c r="CQ564">
        <v>0</v>
      </c>
      <c r="CR564">
        <v>0</v>
      </c>
      <c r="CT564" t="s">
        <v>190</v>
      </c>
      <c r="CU564" t="s">
        <v>3383</v>
      </c>
      <c r="CW564">
        <v>0</v>
      </c>
      <c r="CZ564" s="1">
        <v>46037</v>
      </c>
      <c r="DA564" t="s">
        <v>172</v>
      </c>
      <c r="DB564" t="s">
        <v>172</v>
      </c>
      <c r="DC564" t="s">
        <v>172</v>
      </c>
      <c r="DD564" t="s">
        <v>172</v>
      </c>
      <c r="DG564" s="1">
        <v>46037</v>
      </c>
      <c r="DH564">
        <v>0</v>
      </c>
      <c r="DI564">
        <v>0</v>
      </c>
      <c r="DL564" t="s">
        <v>963</v>
      </c>
      <c r="DM564" t="s">
        <v>172</v>
      </c>
      <c r="DN564" t="s">
        <v>225</v>
      </c>
      <c r="DP564" s="4">
        <v>1.2E-2</v>
      </c>
      <c r="DV564" s="3">
        <v>260000.28</v>
      </c>
      <c r="DW564">
        <v>0</v>
      </c>
      <c r="DX564" s="3">
        <v>260000.28</v>
      </c>
      <c r="DY564">
        <v>0</v>
      </c>
      <c r="EN564" t="s">
        <v>537</v>
      </c>
    </row>
    <row r="565" spans="1:153" ht="391.5" x14ac:dyDescent="0.35">
      <c r="A565" t="str">
        <f>HYPERLINK("https://7lm.cvcrm.com.br/gestor/comercial/reservas/6555/administrar","6555")</f>
        <v>6555</v>
      </c>
      <c r="B565" t="s">
        <v>156</v>
      </c>
      <c r="C565" s="1">
        <v>46037</v>
      </c>
      <c r="D565" s="2">
        <v>0.75891203703703702</v>
      </c>
      <c r="E565" t="s">
        <v>294</v>
      </c>
      <c r="F565" t="s">
        <v>202</v>
      </c>
      <c r="G565" t="s">
        <v>203</v>
      </c>
      <c r="H565" t="s">
        <v>217</v>
      </c>
      <c r="I565" t="s">
        <v>1454</v>
      </c>
      <c r="J565">
        <v>1</v>
      </c>
      <c r="L565">
        <v>20031</v>
      </c>
      <c r="M565" t="s">
        <v>3386</v>
      </c>
      <c r="N565" s="1">
        <v>46043</v>
      </c>
      <c r="O565" s="2">
        <v>0.60583333333333333</v>
      </c>
      <c r="R565" t="str">
        <f>HYPERLINK("https://7lm.cvcrm.com.br/gestor/relatorios/associado/html?q[1|r.idreserva]=6555","SIDNEY VICTOR DE MOTOSO DA SILVA")</f>
        <v>SIDNEY VICTOR DE MOTOSO DA SILVA</v>
      </c>
      <c r="S565">
        <v>8740956113</v>
      </c>
      <c r="T565">
        <v>5561993231576</v>
      </c>
      <c r="V565" t="s">
        <v>3387</v>
      </c>
      <c r="W565" t="s">
        <v>163</v>
      </c>
      <c r="X565" t="s">
        <v>299</v>
      </c>
      <c r="Y565" t="s">
        <v>165</v>
      </c>
      <c r="Z565" t="s">
        <v>257</v>
      </c>
      <c r="AA565" t="s">
        <v>1439</v>
      </c>
      <c r="AB565" t="s">
        <v>3388</v>
      </c>
      <c r="AC565" t="s">
        <v>2589</v>
      </c>
      <c r="AD565" t="s">
        <v>2590</v>
      </c>
      <c r="AF565" t="s">
        <v>413</v>
      </c>
      <c r="AG565" t="s">
        <v>195</v>
      </c>
      <c r="AH565" s="3">
        <v>209999.27</v>
      </c>
      <c r="AI565" s="3">
        <v>209999.27</v>
      </c>
      <c r="AJ565" s="1">
        <v>46068</v>
      </c>
      <c r="AN565" t="s">
        <v>172</v>
      </c>
      <c r="AR565" s="7" t="s">
        <v>3389</v>
      </c>
      <c r="AT565" t="s">
        <v>196</v>
      </c>
      <c r="AU565" t="s">
        <v>1232</v>
      </c>
      <c r="AW565">
        <v>0</v>
      </c>
      <c r="AX565" s="1">
        <v>46052</v>
      </c>
      <c r="AY565" s="2">
        <v>0.37108796296296298</v>
      </c>
      <c r="AZ565">
        <v>182075</v>
      </c>
      <c r="BA565" s="1">
        <v>46024</v>
      </c>
      <c r="BC565" t="s">
        <v>0</v>
      </c>
      <c r="BD565" s="1">
        <v>46037</v>
      </c>
      <c r="BE565" t="s">
        <v>198</v>
      </c>
      <c r="BL565" s="4">
        <v>0</v>
      </c>
      <c r="BM565" s="1">
        <v>46808</v>
      </c>
      <c r="BN565" s="1">
        <v>46052</v>
      </c>
      <c r="BO565">
        <v>0</v>
      </c>
      <c r="BP565">
        <v>27343</v>
      </c>
      <c r="BQ565" t="s">
        <v>156</v>
      </c>
      <c r="BR565" s="3">
        <v>91082.62</v>
      </c>
      <c r="BS565" s="3">
        <v>55000</v>
      </c>
      <c r="BT565">
        <v>0</v>
      </c>
      <c r="BU565" s="3">
        <v>146082.62</v>
      </c>
      <c r="BV565" s="3">
        <v>209999.27</v>
      </c>
      <c r="BX565">
        <v>0</v>
      </c>
      <c r="BZ565">
        <v>0</v>
      </c>
      <c r="CA565">
        <v>0</v>
      </c>
      <c r="CB565">
        <v>0</v>
      </c>
      <c r="CC565" s="3">
        <v>209999.27</v>
      </c>
      <c r="CD565" s="5">
        <v>0</v>
      </c>
      <c r="CF565" s="6">
        <v>46023</v>
      </c>
      <c r="CH565">
        <v>0</v>
      </c>
      <c r="CI565">
        <v>0</v>
      </c>
      <c r="CJ565">
        <v>0</v>
      </c>
      <c r="CK565">
        <v>0</v>
      </c>
      <c r="CL565">
        <v>0</v>
      </c>
      <c r="CM565">
        <v>0</v>
      </c>
      <c r="CN565">
        <v>0</v>
      </c>
      <c r="CO565">
        <v>0</v>
      </c>
      <c r="CP565">
        <v>0</v>
      </c>
      <c r="CQ565">
        <v>0</v>
      </c>
      <c r="CR565">
        <v>0</v>
      </c>
      <c r="CS565" t="s">
        <v>360</v>
      </c>
      <c r="CT565" t="s">
        <v>214</v>
      </c>
      <c r="CU565" t="s">
        <v>1454</v>
      </c>
      <c r="CW565">
        <v>353.46179999999998</v>
      </c>
      <c r="CZ565" s="1">
        <v>46037</v>
      </c>
      <c r="DA565" t="s">
        <v>172</v>
      </c>
      <c r="DB565" t="s">
        <v>172</v>
      </c>
      <c r="DC565" t="s">
        <v>172</v>
      </c>
      <c r="DD565" t="s">
        <v>172</v>
      </c>
      <c r="DG565" s="1">
        <v>46037</v>
      </c>
      <c r="DH565">
        <v>0</v>
      </c>
      <c r="DI565">
        <v>0</v>
      </c>
      <c r="DJ565" s="1">
        <v>46052</v>
      </c>
      <c r="DL565" t="s">
        <v>224</v>
      </c>
      <c r="DM565" t="s">
        <v>172</v>
      </c>
      <c r="DN565" t="s">
        <v>201</v>
      </c>
      <c r="DV565" s="3">
        <v>209999.27</v>
      </c>
      <c r="DW565">
        <v>0</v>
      </c>
      <c r="DX565" s="3">
        <v>209999.27</v>
      </c>
      <c r="DY565">
        <v>0</v>
      </c>
      <c r="EF565" s="1">
        <v>46043</v>
      </c>
      <c r="EG565" s="1">
        <v>46041</v>
      </c>
      <c r="EK565" s="1">
        <v>46043</v>
      </c>
      <c r="EN565" t="s">
        <v>156</v>
      </c>
      <c r="EP565" s="1">
        <v>46042</v>
      </c>
      <c r="ET565" t="s">
        <v>3390</v>
      </c>
      <c r="EU565" s="1">
        <v>46041</v>
      </c>
      <c r="EW565" s="1">
        <v>46037</v>
      </c>
    </row>
    <row r="566" spans="1:153" ht="246.5" x14ac:dyDescent="0.35">
      <c r="A566" t="str">
        <f>HYPERLINK("https://7lm.cvcrm.com.br/gestor/comercial/reservas/6554/administrar","6554")</f>
        <v>6554</v>
      </c>
      <c r="B566" t="s">
        <v>156</v>
      </c>
      <c r="C566" s="1">
        <v>46037</v>
      </c>
      <c r="D566" s="2">
        <v>0.57712962962962966</v>
      </c>
      <c r="E566" t="s">
        <v>294</v>
      </c>
      <c r="F566" t="s">
        <v>957</v>
      </c>
      <c r="G566" t="s">
        <v>159</v>
      </c>
      <c r="H566" t="s">
        <v>1818</v>
      </c>
      <c r="I566" t="s">
        <v>3391</v>
      </c>
      <c r="J566">
        <v>1</v>
      </c>
      <c r="L566">
        <v>30121</v>
      </c>
      <c r="M566" t="s">
        <v>3392</v>
      </c>
      <c r="N566" s="1">
        <v>46044</v>
      </c>
      <c r="O566" s="2">
        <v>0.39626157407407409</v>
      </c>
      <c r="R566" t="str">
        <f>HYPERLINK("https://7lm.cvcrm.com.br/gestor/relatorios/associado/html?q[1|r.idreserva]=6554","CAMILA EDUARDA SANTOS LACERDA")</f>
        <v>CAMILA EDUARDA SANTOS LACERDA</v>
      </c>
      <c r="S566">
        <v>8590171175</v>
      </c>
      <c r="T566">
        <v>5561998347625</v>
      </c>
      <c r="V566" t="s">
        <v>3393</v>
      </c>
      <c r="W566" t="s">
        <v>187</v>
      </c>
      <c r="X566" t="s">
        <v>376</v>
      </c>
      <c r="Y566" t="s">
        <v>189</v>
      </c>
      <c r="Z566" t="s">
        <v>190</v>
      </c>
      <c r="AA566" t="s">
        <v>349</v>
      </c>
      <c r="AB566" t="s">
        <v>3394</v>
      </c>
      <c r="AC566" t="s">
        <v>917</v>
      </c>
      <c r="AF566" t="s">
        <v>194</v>
      </c>
      <c r="AG566" t="s">
        <v>195</v>
      </c>
      <c r="AH566" s="3">
        <v>243783.45</v>
      </c>
      <c r="AI566" s="3">
        <v>243783.45</v>
      </c>
      <c r="AJ566" s="1">
        <v>46096</v>
      </c>
      <c r="AN566" t="s">
        <v>172</v>
      </c>
      <c r="AR566" s="7" t="s">
        <v>353</v>
      </c>
      <c r="AT566" t="s">
        <v>196</v>
      </c>
      <c r="AU566" t="s">
        <v>590</v>
      </c>
      <c r="AW566">
        <v>0</v>
      </c>
      <c r="AX566" s="1">
        <v>46055</v>
      </c>
      <c r="AY566" s="2">
        <v>0.4776273148148148</v>
      </c>
      <c r="AZ566">
        <v>88129</v>
      </c>
      <c r="BA566" s="1">
        <v>45076</v>
      </c>
      <c r="BC566" t="s">
        <v>0</v>
      </c>
      <c r="BD566" s="1">
        <v>46037</v>
      </c>
      <c r="BE566" t="s">
        <v>176</v>
      </c>
      <c r="BL566" s="4">
        <v>0</v>
      </c>
      <c r="BM566" s="1">
        <v>47031</v>
      </c>
      <c r="BN566" s="1">
        <v>46053</v>
      </c>
      <c r="BO566">
        <v>0</v>
      </c>
      <c r="BP566">
        <v>27470</v>
      </c>
      <c r="BQ566" t="s">
        <v>156</v>
      </c>
      <c r="BR566" s="3">
        <v>116011.58</v>
      </c>
      <c r="BS566" s="3">
        <v>45112</v>
      </c>
      <c r="BT566">
        <v>0</v>
      </c>
      <c r="BU566" s="3">
        <v>161123.57999999999</v>
      </c>
      <c r="BV566" s="3">
        <v>243783.45</v>
      </c>
      <c r="BX566">
        <v>0</v>
      </c>
      <c r="BZ566">
        <v>0</v>
      </c>
      <c r="CA566">
        <v>0</v>
      </c>
      <c r="CB566">
        <v>0</v>
      </c>
      <c r="CC566" s="3">
        <v>243783.45</v>
      </c>
      <c r="CD566" s="5">
        <v>0</v>
      </c>
      <c r="CF566" s="6">
        <v>46023</v>
      </c>
      <c r="CH566">
        <v>0</v>
      </c>
      <c r="CI566">
        <v>0</v>
      </c>
      <c r="CJ566">
        <v>0</v>
      </c>
      <c r="CK566">
        <v>0</v>
      </c>
      <c r="CL566">
        <v>0</v>
      </c>
      <c r="CM566">
        <v>0</v>
      </c>
      <c r="CN566">
        <v>0</v>
      </c>
      <c r="CO566">
        <v>0</v>
      </c>
      <c r="CP566">
        <v>0</v>
      </c>
      <c r="CQ566">
        <v>0</v>
      </c>
      <c r="CR566">
        <v>0</v>
      </c>
      <c r="CS566" t="s">
        <v>199</v>
      </c>
      <c r="CT566" t="s">
        <v>190</v>
      </c>
      <c r="CU566" t="s">
        <v>3391</v>
      </c>
      <c r="CW566">
        <v>414.31110000000001</v>
      </c>
      <c r="CZ566" s="1">
        <v>46037</v>
      </c>
      <c r="DA566" t="s">
        <v>172</v>
      </c>
      <c r="DB566" t="s">
        <v>172</v>
      </c>
      <c r="DC566" t="s">
        <v>172</v>
      </c>
      <c r="DD566" t="s">
        <v>172</v>
      </c>
      <c r="DG566" s="1">
        <v>46037</v>
      </c>
      <c r="DH566">
        <v>0</v>
      </c>
      <c r="DI566">
        <v>0</v>
      </c>
      <c r="DJ566" s="1">
        <v>46055</v>
      </c>
      <c r="DL566" t="s">
        <v>963</v>
      </c>
      <c r="DM566" t="s">
        <v>172</v>
      </c>
      <c r="DN566" t="s">
        <v>201</v>
      </c>
      <c r="DV566" s="3">
        <v>243783.45</v>
      </c>
      <c r="DW566">
        <v>0</v>
      </c>
      <c r="DX566" s="3">
        <v>243783.45</v>
      </c>
      <c r="DY566">
        <v>0</v>
      </c>
      <c r="EG566" s="1">
        <v>46041</v>
      </c>
      <c r="EN566" t="s">
        <v>156</v>
      </c>
      <c r="EP566" s="1">
        <v>46041</v>
      </c>
      <c r="EU566" s="1">
        <v>46041</v>
      </c>
      <c r="EW566" s="1">
        <v>46037</v>
      </c>
    </row>
    <row r="567" spans="1:153" ht="246.5" x14ac:dyDescent="0.35">
      <c r="A567" t="str">
        <f>HYPERLINK("https://7lm.cvcrm.com.br/gestor/comercial/reservas/6553/administrar","6553")</f>
        <v>6553</v>
      </c>
      <c r="B567" t="s">
        <v>156</v>
      </c>
      <c r="C567" s="1">
        <v>46037</v>
      </c>
      <c r="D567" s="2">
        <v>0.41531249999999997</v>
      </c>
      <c r="E567" t="s">
        <v>294</v>
      </c>
      <c r="F567" t="s">
        <v>2451</v>
      </c>
      <c r="G567" t="s">
        <v>203</v>
      </c>
      <c r="H567" t="s">
        <v>336</v>
      </c>
      <c r="I567" t="s">
        <v>1063</v>
      </c>
      <c r="J567">
        <v>1</v>
      </c>
      <c r="L567">
        <v>30061</v>
      </c>
      <c r="M567" t="s">
        <v>3395</v>
      </c>
      <c r="N567" s="1">
        <v>46037</v>
      </c>
      <c r="O567" s="2">
        <v>0.42569444444444443</v>
      </c>
      <c r="R567" t="str">
        <f>HYPERLINK("https://7lm.cvcrm.com.br/gestor/relatorios/associado/html?q[1|r.idreserva]=6553","TIAGO JOSE DA ROCHA")</f>
        <v>TIAGO JOSE DA ROCHA</v>
      </c>
      <c r="S567">
        <v>14233268654</v>
      </c>
      <c r="T567">
        <v>5538999518398</v>
      </c>
      <c r="V567" t="s">
        <v>3396</v>
      </c>
      <c r="W567" t="s">
        <v>163</v>
      </c>
      <c r="X567" t="s">
        <v>288</v>
      </c>
      <c r="Y567" t="s">
        <v>189</v>
      </c>
      <c r="Z567" t="s">
        <v>1088</v>
      </c>
      <c r="AA567" t="s">
        <v>2137</v>
      </c>
      <c r="AB567" t="s">
        <v>3397</v>
      </c>
      <c r="AC567" t="s">
        <v>388</v>
      </c>
      <c r="AF567" t="s">
        <v>389</v>
      </c>
      <c r="AG567" t="s">
        <v>251</v>
      </c>
      <c r="AH567" s="3">
        <v>240000</v>
      </c>
      <c r="AI567" s="3">
        <v>240000</v>
      </c>
      <c r="AJ567" s="1">
        <v>46068</v>
      </c>
      <c r="AN567" t="s">
        <v>172</v>
      </c>
      <c r="AR567" s="7" t="s">
        <v>353</v>
      </c>
      <c r="AT567" t="s">
        <v>261</v>
      </c>
      <c r="AU567" t="s">
        <v>292</v>
      </c>
      <c r="AW567">
        <v>0</v>
      </c>
      <c r="AX567" s="1">
        <v>46055</v>
      </c>
      <c r="AY567" s="2">
        <v>0.48184027777777777</v>
      </c>
      <c r="AZ567">
        <v>121562</v>
      </c>
      <c r="BA567" s="1">
        <v>45463</v>
      </c>
      <c r="BB567" s="1">
        <v>45842</v>
      </c>
      <c r="BC567" t="s">
        <v>213</v>
      </c>
      <c r="BD567" s="1">
        <v>46171</v>
      </c>
      <c r="BE567" t="s">
        <v>317</v>
      </c>
      <c r="BL567" s="4">
        <v>0</v>
      </c>
      <c r="BM567" s="1">
        <v>46788</v>
      </c>
      <c r="BN567" s="1">
        <v>46053</v>
      </c>
      <c r="BO567">
        <v>0</v>
      </c>
      <c r="BP567">
        <v>27325</v>
      </c>
      <c r="BQ567" t="s">
        <v>156</v>
      </c>
      <c r="BR567" s="3">
        <v>180000</v>
      </c>
      <c r="BS567" s="3">
        <v>2524</v>
      </c>
      <c r="BT567">
        <v>0</v>
      </c>
      <c r="BU567" s="3">
        <v>182524</v>
      </c>
      <c r="BV567" s="3">
        <v>240000</v>
      </c>
      <c r="BX567">
        <v>0</v>
      </c>
      <c r="BZ567">
        <v>0</v>
      </c>
      <c r="CA567">
        <v>0</v>
      </c>
      <c r="CB567">
        <v>0</v>
      </c>
      <c r="CC567" s="3">
        <v>240000</v>
      </c>
      <c r="CD567" s="5">
        <v>0</v>
      </c>
      <c r="CF567" s="6">
        <v>46023</v>
      </c>
      <c r="CH567">
        <v>0</v>
      </c>
      <c r="CI567">
        <v>0</v>
      </c>
      <c r="CJ567">
        <v>0</v>
      </c>
      <c r="CK567">
        <v>0</v>
      </c>
      <c r="CL567">
        <v>0</v>
      </c>
      <c r="CM567">
        <v>0</v>
      </c>
      <c r="CN567">
        <v>0</v>
      </c>
      <c r="CO567">
        <v>0</v>
      </c>
      <c r="CP567">
        <v>0</v>
      </c>
      <c r="CQ567">
        <v>0</v>
      </c>
      <c r="CR567">
        <v>0</v>
      </c>
      <c r="CS567" t="s">
        <v>2497</v>
      </c>
      <c r="CT567" t="s">
        <v>190</v>
      </c>
      <c r="CU567" t="s">
        <v>1063</v>
      </c>
      <c r="CW567">
        <v>424.01749999999998</v>
      </c>
      <c r="CZ567" s="1">
        <v>46037</v>
      </c>
      <c r="DA567" t="s">
        <v>172</v>
      </c>
      <c r="DB567" t="s">
        <v>172</v>
      </c>
      <c r="DC567" t="s">
        <v>172</v>
      </c>
      <c r="DD567" t="s">
        <v>172</v>
      </c>
      <c r="DG567" s="1">
        <v>46037</v>
      </c>
      <c r="DH567">
        <v>0</v>
      </c>
      <c r="DI567">
        <v>0</v>
      </c>
      <c r="DJ567" s="1">
        <v>46055</v>
      </c>
      <c r="DL567" t="s">
        <v>200</v>
      </c>
      <c r="DM567" t="s">
        <v>172</v>
      </c>
      <c r="DN567" t="s">
        <v>201</v>
      </c>
      <c r="DV567" s="3">
        <v>240000</v>
      </c>
      <c r="DW567">
        <v>0</v>
      </c>
      <c r="DX567" s="3">
        <v>240000</v>
      </c>
      <c r="DY567">
        <v>0</v>
      </c>
      <c r="EF567" s="1">
        <v>46045</v>
      </c>
      <c r="EG567" s="1">
        <v>45677</v>
      </c>
      <c r="EK567" s="1">
        <v>46045</v>
      </c>
      <c r="EN567" t="s">
        <v>156</v>
      </c>
      <c r="EP567" s="1">
        <v>46045</v>
      </c>
      <c r="ER567" s="1">
        <v>46043</v>
      </c>
      <c r="ES567" t="s">
        <v>3398</v>
      </c>
      <c r="EU567" s="1">
        <v>46042</v>
      </c>
      <c r="EW567" s="1">
        <v>46038</v>
      </c>
    </row>
    <row r="568" spans="1:153" x14ac:dyDescent="0.35">
      <c r="A568" t="str">
        <f>HYPERLINK("https://7lm.cvcrm.com.br/gestor/comercial/reservas/6552/administrar","6552")</f>
        <v>6552</v>
      </c>
      <c r="B568" t="s">
        <v>156</v>
      </c>
      <c r="C568" s="1">
        <v>46036</v>
      </c>
      <c r="D568" s="2">
        <v>0.66645833333333337</v>
      </c>
      <c r="E568" t="s">
        <v>1310</v>
      </c>
      <c r="F568" t="s">
        <v>202</v>
      </c>
      <c r="G568" t="s">
        <v>203</v>
      </c>
      <c r="H568" t="s">
        <v>217</v>
      </c>
      <c r="I568" t="s">
        <v>1683</v>
      </c>
      <c r="J568">
        <v>1</v>
      </c>
      <c r="L568">
        <v>20031</v>
      </c>
      <c r="M568" t="s">
        <v>1919</v>
      </c>
      <c r="N568" s="1">
        <v>46036</v>
      </c>
      <c r="O568" s="2">
        <v>0.6743055555555556</v>
      </c>
      <c r="R568" t="str">
        <f>HYPERLINK("https://7lm.cvcrm.com.br/gestor/relatorios/associado/html?q[1|r.idreserva]=6552","BRUNO DA SILVA GOMES")</f>
        <v>BRUNO DA SILVA GOMES</v>
      </c>
      <c r="S568">
        <v>20637978706</v>
      </c>
      <c r="T568">
        <v>5561933008110</v>
      </c>
      <c r="U568">
        <v>5521981292137</v>
      </c>
      <c r="V568" t="s">
        <v>3399</v>
      </c>
      <c r="W568" t="s">
        <v>163</v>
      </c>
      <c r="X568" t="s">
        <v>3400</v>
      </c>
      <c r="Y568" t="s">
        <v>165</v>
      </c>
      <c r="Z568" t="s">
        <v>257</v>
      </c>
      <c r="AA568" t="s">
        <v>1339</v>
      </c>
      <c r="AB568" t="s">
        <v>3401</v>
      </c>
      <c r="AC568" t="s">
        <v>2559</v>
      </c>
      <c r="AF568" t="s">
        <v>399</v>
      </c>
      <c r="AG568" t="s">
        <v>195</v>
      </c>
      <c r="AH568" s="3">
        <v>210001.19</v>
      </c>
      <c r="AI568" s="3">
        <v>210001.19</v>
      </c>
      <c r="AJ568" s="1">
        <v>46067</v>
      </c>
      <c r="AN568" t="s">
        <v>172</v>
      </c>
      <c r="AR568" t="s">
        <v>3402</v>
      </c>
      <c r="AT568" t="s">
        <v>196</v>
      </c>
      <c r="AU568" t="s">
        <v>292</v>
      </c>
      <c r="AW568">
        <v>0</v>
      </c>
      <c r="AX568" s="1">
        <v>46087</v>
      </c>
      <c r="AY568" s="2">
        <v>0.45148148148148148</v>
      </c>
      <c r="AZ568" t="s">
        <v>3403</v>
      </c>
      <c r="BA568" t="s">
        <v>3404</v>
      </c>
      <c r="BB568" t="s">
        <v>356</v>
      </c>
      <c r="BC568" t="s">
        <v>485</v>
      </c>
      <c r="BD568" t="s">
        <v>3404</v>
      </c>
      <c r="BE568" t="s">
        <v>3405</v>
      </c>
      <c r="BL568" s="4">
        <v>0</v>
      </c>
      <c r="BM568" s="1">
        <v>46808</v>
      </c>
      <c r="BN568" s="1">
        <v>46052</v>
      </c>
      <c r="BO568">
        <v>0</v>
      </c>
      <c r="BP568">
        <v>27407</v>
      </c>
      <c r="BQ568" t="s">
        <v>156</v>
      </c>
      <c r="BR568" s="3">
        <v>88334.04</v>
      </c>
      <c r="BS568" s="3">
        <v>55000</v>
      </c>
      <c r="BT568">
        <v>0</v>
      </c>
      <c r="BU568" s="3">
        <v>143334.04</v>
      </c>
      <c r="BV568" s="3">
        <v>210001.19</v>
      </c>
      <c r="BX568">
        <v>0</v>
      </c>
      <c r="BZ568">
        <v>0</v>
      </c>
      <c r="CA568">
        <v>0</v>
      </c>
      <c r="CB568">
        <v>0</v>
      </c>
      <c r="CC568" s="3">
        <v>210001.19</v>
      </c>
      <c r="CD568" s="5">
        <v>0</v>
      </c>
      <c r="CF568" s="6">
        <v>46023</v>
      </c>
      <c r="CH568">
        <v>0</v>
      </c>
      <c r="CI568">
        <v>0</v>
      </c>
      <c r="CJ568">
        <v>0</v>
      </c>
      <c r="CK568">
        <v>0</v>
      </c>
      <c r="CL568">
        <v>0</v>
      </c>
      <c r="CM568">
        <v>0</v>
      </c>
      <c r="CN568">
        <v>0</v>
      </c>
      <c r="CO568">
        <v>0</v>
      </c>
      <c r="CP568">
        <v>0</v>
      </c>
      <c r="CQ568">
        <v>0</v>
      </c>
      <c r="CR568">
        <v>0</v>
      </c>
      <c r="CS568" t="s">
        <v>2497</v>
      </c>
      <c r="CT568" t="s">
        <v>214</v>
      </c>
      <c r="CU568" t="s">
        <v>1683</v>
      </c>
      <c r="CW568">
        <v>343.04050000000001</v>
      </c>
      <c r="CZ568" s="1">
        <v>46036</v>
      </c>
      <c r="DA568" t="s">
        <v>172</v>
      </c>
      <c r="DB568" t="s">
        <v>172</v>
      </c>
      <c r="DC568" t="s">
        <v>172</v>
      </c>
      <c r="DD568" t="s">
        <v>172</v>
      </c>
      <c r="DG568" s="1">
        <v>46036</v>
      </c>
      <c r="DH568">
        <v>0</v>
      </c>
      <c r="DI568">
        <v>0</v>
      </c>
      <c r="DJ568" s="1">
        <v>46052</v>
      </c>
      <c r="DM568" t="s">
        <v>172</v>
      </c>
      <c r="DN568" t="s">
        <v>201</v>
      </c>
      <c r="DV568" s="3">
        <v>210001.19</v>
      </c>
      <c r="DW568">
        <v>0</v>
      </c>
      <c r="DX568" s="3">
        <v>210001.19</v>
      </c>
      <c r="DY568">
        <v>0</v>
      </c>
      <c r="EN568" t="s">
        <v>156</v>
      </c>
      <c r="EU568" s="1">
        <v>46042</v>
      </c>
      <c r="EW568" s="1">
        <v>46036</v>
      </c>
    </row>
    <row r="569" spans="1:153" ht="246.5" x14ac:dyDescent="0.35">
      <c r="A569" t="str">
        <f>HYPERLINK("https://7lm.cvcrm.com.br/gestor/comercial/reservas/6551/administrar","6551")</f>
        <v>6551</v>
      </c>
      <c r="B569" t="s">
        <v>156</v>
      </c>
      <c r="C569" s="1">
        <v>46035</v>
      </c>
      <c r="D569" s="2">
        <v>0.8381481481481482</v>
      </c>
      <c r="E569" t="s">
        <v>294</v>
      </c>
      <c r="F569" t="s">
        <v>957</v>
      </c>
      <c r="G569" t="s">
        <v>159</v>
      </c>
      <c r="H569" t="s">
        <v>958</v>
      </c>
      <c r="I569" t="s">
        <v>3406</v>
      </c>
      <c r="J569">
        <v>1</v>
      </c>
      <c r="L569">
        <v>30121</v>
      </c>
      <c r="M569" t="s">
        <v>3407</v>
      </c>
      <c r="N569" s="1">
        <v>46044</v>
      </c>
      <c r="O569" s="2">
        <v>0.67693287037037042</v>
      </c>
      <c r="R569" t="str">
        <f>HYPERLINK("https://7lm.cvcrm.com.br/gestor/relatorios/associado/html?q[1|r.idreserva]=6551","TAMIRIS SOUZA MIRANDA")</f>
        <v>TAMIRIS SOUZA MIRANDA</v>
      </c>
      <c r="S569">
        <v>70482255137</v>
      </c>
      <c r="T569">
        <v>5562996576736</v>
      </c>
      <c r="V569" t="s">
        <v>3408</v>
      </c>
      <c r="W569" t="s">
        <v>187</v>
      </c>
      <c r="X569" t="s">
        <v>188</v>
      </c>
      <c r="Y569" t="s">
        <v>189</v>
      </c>
      <c r="Z569" t="s">
        <v>190</v>
      </c>
      <c r="AA569" t="s">
        <v>300</v>
      </c>
      <c r="AB569" t="s">
        <v>3409</v>
      </c>
      <c r="AC569" t="s">
        <v>3104</v>
      </c>
      <c r="AD569" t="s">
        <v>3104</v>
      </c>
      <c r="AF569" t="s">
        <v>303</v>
      </c>
      <c r="AG569" t="s">
        <v>195</v>
      </c>
      <c r="AH569" s="3">
        <v>243505.73</v>
      </c>
      <c r="AI569" s="3">
        <v>243505.73</v>
      </c>
      <c r="AJ569" s="1">
        <v>46096</v>
      </c>
      <c r="AN569" t="s">
        <v>172</v>
      </c>
      <c r="AR569" s="7" t="s">
        <v>353</v>
      </c>
      <c r="AT569" t="s">
        <v>196</v>
      </c>
      <c r="AU569" t="s">
        <v>292</v>
      </c>
      <c r="AW569">
        <v>0</v>
      </c>
      <c r="AX569" s="1">
        <v>46055</v>
      </c>
      <c r="AY569" s="2">
        <v>0.48979166666666668</v>
      </c>
      <c r="AZ569">
        <v>183629</v>
      </c>
      <c r="BA569" s="1">
        <v>46034</v>
      </c>
      <c r="BC569" t="s">
        <v>275</v>
      </c>
      <c r="BD569" s="1">
        <v>46094</v>
      </c>
      <c r="BE569" t="s">
        <v>276</v>
      </c>
      <c r="BL569" s="4">
        <v>0</v>
      </c>
      <c r="BM569" s="1">
        <v>47031</v>
      </c>
      <c r="BN569" s="1">
        <v>46053</v>
      </c>
      <c r="BO569">
        <v>0</v>
      </c>
      <c r="BP569">
        <v>27369</v>
      </c>
      <c r="BQ569" t="s">
        <v>156</v>
      </c>
      <c r="BR569" s="3">
        <v>130739.49</v>
      </c>
      <c r="BS569" s="3">
        <v>30013</v>
      </c>
      <c r="BT569">
        <v>0</v>
      </c>
      <c r="BU569" s="3">
        <v>160752.49</v>
      </c>
      <c r="BV569" s="3">
        <v>243505.73</v>
      </c>
      <c r="BX569">
        <v>0</v>
      </c>
      <c r="BZ569">
        <v>0</v>
      </c>
      <c r="CA569">
        <v>0</v>
      </c>
      <c r="CB569">
        <v>0</v>
      </c>
      <c r="CC569" s="3">
        <v>243505.73</v>
      </c>
      <c r="CD569" s="5">
        <v>0</v>
      </c>
      <c r="CF569" s="6">
        <v>46023</v>
      </c>
      <c r="CH569">
        <v>0</v>
      </c>
      <c r="CI569">
        <v>0</v>
      </c>
      <c r="CJ569">
        <v>0</v>
      </c>
      <c r="CK569">
        <v>0</v>
      </c>
      <c r="CL569">
        <v>0</v>
      </c>
      <c r="CM569">
        <v>0</v>
      </c>
      <c r="CN569">
        <v>0</v>
      </c>
      <c r="CO569">
        <v>0</v>
      </c>
      <c r="CP569">
        <v>0</v>
      </c>
      <c r="CQ569">
        <v>0</v>
      </c>
      <c r="CR569">
        <v>0</v>
      </c>
      <c r="CS569" t="s">
        <v>360</v>
      </c>
      <c r="CT569" t="s">
        <v>190</v>
      </c>
      <c r="CU569" t="s">
        <v>3406</v>
      </c>
      <c r="CW569">
        <v>413.72519999999997</v>
      </c>
      <c r="CZ569" s="1">
        <v>46035</v>
      </c>
      <c r="DA569" t="s">
        <v>172</v>
      </c>
      <c r="DB569" t="s">
        <v>172</v>
      </c>
      <c r="DC569" t="s">
        <v>172</v>
      </c>
      <c r="DD569" t="s">
        <v>172</v>
      </c>
      <c r="DG569" s="1">
        <v>46035</v>
      </c>
      <c r="DH569">
        <v>0</v>
      </c>
      <c r="DI569">
        <v>0</v>
      </c>
      <c r="DJ569" s="1">
        <v>46055</v>
      </c>
      <c r="DL569" t="s">
        <v>963</v>
      </c>
      <c r="DM569" t="s">
        <v>172</v>
      </c>
      <c r="DN569" t="s">
        <v>201</v>
      </c>
      <c r="DP569" s="8">
        <v>0.01</v>
      </c>
      <c r="DV569" s="3">
        <v>243505.73</v>
      </c>
      <c r="DW569">
        <v>0</v>
      </c>
      <c r="DX569" s="3">
        <v>243505.73</v>
      </c>
      <c r="DY569">
        <v>0</v>
      </c>
      <c r="EG569" s="1">
        <v>46041</v>
      </c>
      <c r="EN569" t="s">
        <v>156</v>
      </c>
      <c r="EP569" s="1">
        <v>46043</v>
      </c>
      <c r="ER569" s="1">
        <v>46041</v>
      </c>
      <c r="ES569" t="s">
        <v>3410</v>
      </c>
      <c r="EU569" s="1">
        <v>46041</v>
      </c>
      <c r="EW569" s="1">
        <v>46036</v>
      </c>
    </row>
    <row r="570" spans="1:153" x14ac:dyDescent="0.35">
      <c r="A570" t="str">
        <f>HYPERLINK("https://7lm.cvcrm.com.br/gestor/comercial/reservas/6550/administrar","6550")</f>
        <v>6550</v>
      </c>
      <c r="B570" t="s">
        <v>156</v>
      </c>
      <c r="C570" s="1">
        <v>46035</v>
      </c>
      <c r="D570" s="2">
        <v>0.59863425925925928</v>
      </c>
      <c r="E570" t="s">
        <v>1310</v>
      </c>
      <c r="F570" t="s">
        <v>458</v>
      </c>
      <c r="G570" t="s">
        <v>203</v>
      </c>
      <c r="H570" t="s">
        <v>306</v>
      </c>
      <c r="I570" t="s">
        <v>2456</v>
      </c>
      <c r="J570">
        <v>1</v>
      </c>
      <c r="L570">
        <v>20001</v>
      </c>
      <c r="M570" t="s">
        <v>2457</v>
      </c>
      <c r="N570" s="1">
        <v>46035</v>
      </c>
      <c r="O570" s="2">
        <v>0.60409722222222217</v>
      </c>
      <c r="R570" t="str">
        <f>HYPERLINK("https://7lm.cvcrm.com.br/gestor/relatorios/associado/html?q[1|r.idreserva]=6550","LUCAS EDUARDO ALMEIDA DOS SANTOS")</f>
        <v>LUCAS EDUARDO ALMEIDA DOS SANTOS</v>
      </c>
      <c r="S570">
        <v>9809304307</v>
      </c>
      <c r="T570">
        <v>55061995611187</v>
      </c>
      <c r="V570" t="s">
        <v>3411</v>
      </c>
      <c r="W570" t="s">
        <v>163</v>
      </c>
      <c r="X570" t="s">
        <v>3412</v>
      </c>
      <c r="Y570" t="s">
        <v>165</v>
      </c>
      <c r="Z570" t="s">
        <v>938</v>
      </c>
      <c r="AA570" t="s">
        <v>3413</v>
      </c>
      <c r="AB570" t="s">
        <v>3414</v>
      </c>
      <c r="AC570" t="s">
        <v>2559</v>
      </c>
      <c r="AF570" t="s">
        <v>399</v>
      </c>
      <c r="AG570" t="s">
        <v>195</v>
      </c>
      <c r="AH570" s="3">
        <v>225001.31</v>
      </c>
      <c r="AI570" s="3">
        <v>225001.31</v>
      </c>
      <c r="AJ570" s="1">
        <v>46066</v>
      </c>
      <c r="AN570" t="s">
        <v>172</v>
      </c>
      <c r="AR570" t="s">
        <v>3415</v>
      </c>
      <c r="AT570" t="s">
        <v>196</v>
      </c>
      <c r="AU570" t="s">
        <v>292</v>
      </c>
      <c r="AW570">
        <v>0</v>
      </c>
      <c r="AX570" s="1">
        <v>46078</v>
      </c>
      <c r="AY570" s="2">
        <v>0.44583333333333336</v>
      </c>
      <c r="AZ570">
        <v>102942</v>
      </c>
      <c r="BA570" s="1">
        <v>45294</v>
      </c>
      <c r="BC570" t="s">
        <v>0</v>
      </c>
      <c r="BD570" s="1">
        <v>46035</v>
      </c>
      <c r="BE570" t="s">
        <v>317</v>
      </c>
      <c r="BL570" s="4">
        <v>0</v>
      </c>
      <c r="BM570" s="1">
        <v>46572</v>
      </c>
      <c r="BN570" s="1">
        <v>46052</v>
      </c>
      <c r="BO570">
        <v>0</v>
      </c>
      <c r="BP570">
        <v>27360</v>
      </c>
      <c r="BQ570" t="s">
        <v>156</v>
      </c>
      <c r="BR570" s="3">
        <v>113268.63</v>
      </c>
      <c r="BS570" s="3">
        <v>50841</v>
      </c>
      <c r="BT570">
        <v>0</v>
      </c>
      <c r="BU570" s="3">
        <v>164109.63</v>
      </c>
      <c r="BV570" s="3">
        <v>225001.31</v>
      </c>
      <c r="BX570">
        <v>0</v>
      </c>
      <c r="BZ570">
        <v>0</v>
      </c>
      <c r="CA570">
        <v>0</v>
      </c>
      <c r="CB570">
        <v>0</v>
      </c>
      <c r="CC570" s="3">
        <v>225001.31</v>
      </c>
      <c r="CD570" s="5">
        <v>0</v>
      </c>
      <c r="CE570" t="s">
        <v>467</v>
      </c>
      <c r="CF570" s="6">
        <v>46023</v>
      </c>
      <c r="CH570">
        <v>0</v>
      </c>
      <c r="CI570">
        <v>0</v>
      </c>
      <c r="CJ570">
        <v>0</v>
      </c>
      <c r="CK570">
        <v>0</v>
      </c>
      <c r="CL570">
        <v>0</v>
      </c>
      <c r="CM570">
        <v>0</v>
      </c>
      <c r="CN570">
        <v>0</v>
      </c>
      <c r="CO570">
        <v>0</v>
      </c>
      <c r="CP570">
        <v>0</v>
      </c>
      <c r="CQ570">
        <v>0</v>
      </c>
      <c r="CR570">
        <v>0</v>
      </c>
      <c r="CS570" t="s">
        <v>2497</v>
      </c>
      <c r="CT570" t="s">
        <v>214</v>
      </c>
      <c r="CU570" t="s">
        <v>2456</v>
      </c>
      <c r="CW570">
        <v>391.26920000000001</v>
      </c>
      <c r="CZ570" s="1">
        <v>46035</v>
      </c>
      <c r="DA570" t="s">
        <v>172</v>
      </c>
      <c r="DB570" t="s">
        <v>172</v>
      </c>
      <c r="DC570" t="s">
        <v>172</v>
      </c>
      <c r="DD570" t="s">
        <v>172</v>
      </c>
      <c r="DG570" s="1">
        <v>46035</v>
      </c>
      <c r="DH570">
        <v>0</v>
      </c>
      <c r="DI570">
        <v>0</v>
      </c>
      <c r="DJ570" s="1">
        <v>46052</v>
      </c>
      <c r="DL570" t="s">
        <v>200</v>
      </c>
      <c r="DM570" t="s">
        <v>172</v>
      </c>
      <c r="DN570" t="s">
        <v>201</v>
      </c>
      <c r="DV570" s="3">
        <v>225001.31</v>
      </c>
      <c r="DW570">
        <v>0</v>
      </c>
      <c r="DX570" s="3">
        <v>225001.31</v>
      </c>
      <c r="DY570">
        <v>0</v>
      </c>
      <c r="EF570" s="1">
        <v>46045</v>
      </c>
      <c r="EG570" s="1">
        <v>46042</v>
      </c>
      <c r="EK570" s="1">
        <v>46045</v>
      </c>
      <c r="EN570" t="s">
        <v>156</v>
      </c>
      <c r="EU570" s="1">
        <v>46041</v>
      </c>
      <c r="EW570" s="1">
        <v>46066</v>
      </c>
    </row>
    <row r="571" spans="1:153" x14ac:dyDescent="0.35">
      <c r="A571" t="str">
        <f>HYPERLINK("https://7lm.cvcrm.com.br/gestor/comercial/reservas/6549/administrar","6549")</f>
        <v>6549</v>
      </c>
      <c r="B571" t="s">
        <v>156</v>
      </c>
      <c r="C571" s="1">
        <v>46035</v>
      </c>
      <c r="D571" s="2">
        <v>0.49987268518518518</v>
      </c>
      <c r="E571" t="s">
        <v>294</v>
      </c>
      <c r="F571" t="s">
        <v>458</v>
      </c>
      <c r="G571" t="s">
        <v>203</v>
      </c>
      <c r="H571" t="s">
        <v>391</v>
      </c>
      <c r="I571" t="s">
        <v>328</v>
      </c>
      <c r="J571">
        <v>1</v>
      </c>
      <c r="L571">
        <v>20001</v>
      </c>
      <c r="M571" t="s">
        <v>3416</v>
      </c>
      <c r="N571" s="1">
        <v>46064</v>
      </c>
      <c r="O571" s="2">
        <v>0.81166666666666665</v>
      </c>
      <c r="R571" t="str">
        <f>HYPERLINK("https://7lm.cvcrm.com.br/gestor/relatorios/associado/html?q[1|r.idreserva]=6549","RODRIGO DA SILVA FEITOSA")</f>
        <v>RODRIGO DA SILVA FEITOSA</v>
      </c>
      <c r="S571">
        <v>90127480110</v>
      </c>
      <c r="T571">
        <v>5561999740148</v>
      </c>
      <c r="V571" t="s">
        <v>3417</v>
      </c>
      <c r="W571" t="s">
        <v>163</v>
      </c>
      <c r="Y571" t="s">
        <v>189</v>
      </c>
      <c r="Z571" t="s">
        <v>214</v>
      </c>
      <c r="AA571" t="s">
        <v>3418</v>
      </c>
      <c r="AB571" t="s">
        <v>3419</v>
      </c>
      <c r="AC571" t="s">
        <v>2846</v>
      </c>
      <c r="AD571" t="s">
        <v>2847</v>
      </c>
      <c r="AF571" t="s">
        <v>212</v>
      </c>
      <c r="AG571" t="s">
        <v>284</v>
      </c>
      <c r="AH571" s="3">
        <v>219211.95</v>
      </c>
      <c r="AI571" s="3">
        <v>219211.95</v>
      </c>
      <c r="AJ571" s="1">
        <v>46086</v>
      </c>
      <c r="AN571" t="s">
        <v>172</v>
      </c>
      <c r="AR571" t="s">
        <v>3420</v>
      </c>
      <c r="AT571" t="s">
        <v>196</v>
      </c>
      <c r="AU571" t="s">
        <v>175</v>
      </c>
      <c r="AW571">
        <v>0</v>
      </c>
      <c r="AX571" s="1">
        <v>46064</v>
      </c>
      <c r="AY571" s="2">
        <v>0.62785879629629626</v>
      </c>
      <c r="AZ571">
        <v>183771</v>
      </c>
      <c r="BA571" s="1">
        <v>46035</v>
      </c>
      <c r="BC571" t="s">
        <v>0</v>
      </c>
      <c r="BD571" s="1">
        <v>46035</v>
      </c>
      <c r="BE571" t="s">
        <v>175</v>
      </c>
      <c r="BL571" s="4">
        <v>0</v>
      </c>
      <c r="BM571" s="1">
        <v>46572</v>
      </c>
      <c r="BN571" s="1">
        <v>46064</v>
      </c>
      <c r="BO571">
        <v>0</v>
      </c>
      <c r="BP571">
        <v>27417</v>
      </c>
      <c r="BQ571" t="s">
        <v>156</v>
      </c>
      <c r="BR571" s="3">
        <v>154262.1</v>
      </c>
      <c r="BS571" s="3">
        <v>15526</v>
      </c>
      <c r="BT571">
        <v>0</v>
      </c>
      <c r="BU571" s="3">
        <v>169788.1</v>
      </c>
      <c r="BV571" s="3">
        <v>219211.95</v>
      </c>
      <c r="BX571">
        <v>0</v>
      </c>
      <c r="BZ571">
        <v>0</v>
      </c>
      <c r="CA571">
        <v>0</v>
      </c>
      <c r="CB571">
        <v>0</v>
      </c>
      <c r="CC571" s="3">
        <v>219211.95</v>
      </c>
      <c r="CD571" s="5">
        <v>0</v>
      </c>
      <c r="CE571" t="s">
        <v>467</v>
      </c>
      <c r="CF571" s="6">
        <v>46054</v>
      </c>
      <c r="CH571">
        <v>0</v>
      </c>
      <c r="CI571">
        <v>0</v>
      </c>
      <c r="CJ571">
        <v>0</v>
      </c>
      <c r="CK571">
        <v>0</v>
      </c>
      <c r="CL571">
        <v>0</v>
      </c>
      <c r="CM571">
        <v>0</v>
      </c>
      <c r="CN571">
        <v>0</v>
      </c>
      <c r="CO571">
        <v>0</v>
      </c>
      <c r="CP571">
        <v>0</v>
      </c>
      <c r="CQ571">
        <v>0</v>
      </c>
      <c r="CR571">
        <v>0</v>
      </c>
      <c r="CS571" t="s">
        <v>360</v>
      </c>
      <c r="CT571" t="s">
        <v>214</v>
      </c>
      <c r="CU571" t="s">
        <v>328</v>
      </c>
      <c r="CW571">
        <v>380.60399999999998</v>
      </c>
      <c r="CZ571" s="1">
        <v>46035</v>
      </c>
      <c r="DA571" t="s">
        <v>172</v>
      </c>
      <c r="DB571" t="s">
        <v>172</v>
      </c>
      <c r="DC571" t="s">
        <v>172</v>
      </c>
      <c r="DD571" t="s">
        <v>172</v>
      </c>
      <c r="DG571" s="1">
        <v>46035</v>
      </c>
      <c r="DH571">
        <v>0</v>
      </c>
      <c r="DI571">
        <v>0</v>
      </c>
      <c r="DL571" t="s">
        <v>200</v>
      </c>
      <c r="DM571" t="s">
        <v>172</v>
      </c>
      <c r="DN571" t="s">
        <v>201</v>
      </c>
      <c r="DV571" s="3">
        <v>219211.95</v>
      </c>
      <c r="DW571">
        <v>0</v>
      </c>
      <c r="DX571" s="3">
        <v>219211.95</v>
      </c>
      <c r="DY571">
        <v>0</v>
      </c>
      <c r="EN571" t="s">
        <v>156</v>
      </c>
      <c r="EP571" s="1">
        <v>46063</v>
      </c>
      <c r="EU571" s="1">
        <v>46062</v>
      </c>
      <c r="EW571" s="1">
        <v>46035</v>
      </c>
    </row>
    <row r="572" spans="1:153" ht="246.5" x14ac:dyDescent="0.35">
      <c r="A572" t="str">
        <f>HYPERLINK("https://7lm.cvcrm.com.br/gestor/comercial/reservas/6548/administrar","6548")</f>
        <v>6548</v>
      </c>
      <c r="B572" t="s">
        <v>156</v>
      </c>
      <c r="C572" s="1">
        <v>46035</v>
      </c>
      <c r="D572" s="2">
        <v>0.48591435185185183</v>
      </c>
      <c r="E572" t="s">
        <v>294</v>
      </c>
      <c r="F572" t="s">
        <v>957</v>
      </c>
      <c r="G572" t="s">
        <v>159</v>
      </c>
      <c r="H572" t="s">
        <v>372</v>
      </c>
      <c r="I572" t="s">
        <v>796</v>
      </c>
      <c r="J572">
        <v>1</v>
      </c>
      <c r="L572">
        <v>30121</v>
      </c>
      <c r="M572" t="s">
        <v>3421</v>
      </c>
      <c r="N572" s="1">
        <v>46055</v>
      </c>
      <c r="O572" s="2">
        <v>0.49137731481481484</v>
      </c>
      <c r="R572" t="str">
        <f>HYPERLINK("https://7lm.cvcrm.com.br/gestor/relatorios/associado/html?q[1|r.idreserva]=6548","ANNE TAMILE FERREIRA CAMPOS")</f>
        <v>ANNE TAMILE FERREIRA CAMPOS</v>
      </c>
      <c r="S572">
        <v>3061598138</v>
      </c>
      <c r="T572">
        <v>5561996392994</v>
      </c>
      <c r="V572" t="s">
        <v>3422</v>
      </c>
      <c r="W572" t="s">
        <v>187</v>
      </c>
      <c r="X572" t="s">
        <v>376</v>
      </c>
      <c r="Y572" t="s">
        <v>189</v>
      </c>
      <c r="Z572" t="s">
        <v>190</v>
      </c>
      <c r="AA572" t="s">
        <v>685</v>
      </c>
      <c r="AB572" t="s">
        <v>3423</v>
      </c>
      <c r="AC572" t="s">
        <v>1642</v>
      </c>
      <c r="AD572" t="s">
        <v>1643</v>
      </c>
      <c r="AF572" t="s">
        <v>303</v>
      </c>
      <c r="AG572" t="s">
        <v>251</v>
      </c>
      <c r="AH572" s="3">
        <v>248315.59</v>
      </c>
      <c r="AI572" s="3">
        <v>248315.59</v>
      </c>
      <c r="AJ572" s="1">
        <v>46066</v>
      </c>
      <c r="AN572" t="s">
        <v>172</v>
      </c>
      <c r="AR572" s="7" t="s">
        <v>3279</v>
      </c>
      <c r="AT572" t="s">
        <v>196</v>
      </c>
      <c r="AU572" t="s">
        <v>292</v>
      </c>
      <c r="AW572">
        <v>0</v>
      </c>
      <c r="AX572" s="1">
        <v>46055</v>
      </c>
      <c r="AY572" s="2">
        <v>0.49746527777777777</v>
      </c>
      <c r="AZ572">
        <v>183163</v>
      </c>
      <c r="BA572" s="1">
        <v>46031</v>
      </c>
      <c r="BC572" t="s">
        <v>0</v>
      </c>
      <c r="BD572" s="1">
        <v>46035</v>
      </c>
      <c r="BE572" t="s">
        <v>176</v>
      </c>
      <c r="BL572" s="4">
        <v>0</v>
      </c>
      <c r="BM572" s="1">
        <v>47031</v>
      </c>
      <c r="BN572" s="1">
        <v>46053</v>
      </c>
      <c r="BO572">
        <v>0</v>
      </c>
      <c r="BP572">
        <v>27315</v>
      </c>
      <c r="BQ572" t="s">
        <v>156</v>
      </c>
      <c r="BR572" s="3">
        <v>124067.81</v>
      </c>
      <c r="BS572" s="3">
        <v>33987</v>
      </c>
      <c r="BT572">
        <v>0</v>
      </c>
      <c r="BU572" s="3">
        <v>158054.81</v>
      </c>
      <c r="BV572" s="3">
        <v>248315.59</v>
      </c>
      <c r="BX572">
        <v>0</v>
      </c>
      <c r="BZ572">
        <v>0</v>
      </c>
      <c r="CA572">
        <v>0</v>
      </c>
      <c r="CB572">
        <v>0</v>
      </c>
      <c r="CC572" s="3">
        <v>248315.59</v>
      </c>
      <c r="CD572" s="5">
        <v>0</v>
      </c>
      <c r="CF572" s="6">
        <v>46023</v>
      </c>
      <c r="CH572">
        <v>0</v>
      </c>
      <c r="CI572">
        <v>0</v>
      </c>
      <c r="CJ572">
        <v>0</v>
      </c>
      <c r="CK572">
        <v>0</v>
      </c>
      <c r="CL572">
        <v>0</v>
      </c>
      <c r="CM572">
        <v>0</v>
      </c>
      <c r="CN572">
        <v>0</v>
      </c>
      <c r="CO572">
        <v>0</v>
      </c>
      <c r="CP572">
        <v>0</v>
      </c>
      <c r="CQ572">
        <v>0</v>
      </c>
      <c r="CR572">
        <v>0</v>
      </c>
      <c r="CS572" t="s">
        <v>649</v>
      </c>
      <c r="CT572" t="s">
        <v>190</v>
      </c>
      <c r="CU572" t="s">
        <v>796</v>
      </c>
      <c r="CW572">
        <v>423.87259999999998</v>
      </c>
      <c r="CZ572" s="1">
        <v>46035</v>
      </c>
      <c r="DA572" t="s">
        <v>172</v>
      </c>
      <c r="DB572" t="s">
        <v>172</v>
      </c>
      <c r="DC572" t="s">
        <v>172</v>
      </c>
      <c r="DD572" t="s">
        <v>172</v>
      </c>
      <c r="DG572" s="1">
        <v>46035</v>
      </c>
      <c r="DH572">
        <v>0</v>
      </c>
      <c r="DI572">
        <v>0</v>
      </c>
      <c r="DJ572" s="1">
        <v>46055</v>
      </c>
      <c r="DL572" t="s">
        <v>963</v>
      </c>
      <c r="DM572" t="s">
        <v>172</v>
      </c>
      <c r="DN572" t="s">
        <v>201</v>
      </c>
      <c r="DV572" s="3">
        <v>248315.59</v>
      </c>
      <c r="DW572">
        <v>0</v>
      </c>
      <c r="DX572" s="3">
        <v>248315.59</v>
      </c>
      <c r="DY572">
        <v>0</v>
      </c>
      <c r="EG572" s="1">
        <v>46042</v>
      </c>
      <c r="EN572" t="s">
        <v>156</v>
      </c>
      <c r="ET572" t="s">
        <v>3424</v>
      </c>
      <c r="EU572" s="1">
        <v>46041</v>
      </c>
      <c r="EW572" s="1">
        <v>46035</v>
      </c>
    </row>
    <row r="573" spans="1:153" ht="348" x14ac:dyDescent="0.35">
      <c r="A573" t="str">
        <f>HYPERLINK("https://7lm.cvcrm.com.br/gestor/comercial/reservas/6547/administrar","6547")</f>
        <v>6547</v>
      </c>
      <c r="B573" t="s">
        <v>156</v>
      </c>
      <c r="C573" s="1">
        <v>46034</v>
      </c>
      <c r="D573" s="2">
        <v>0.72453703703703709</v>
      </c>
      <c r="E573" t="s">
        <v>527</v>
      </c>
      <c r="F573" t="s">
        <v>458</v>
      </c>
      <c r="G573" t="s">
        <v>203</v>
      </c>
      <c r="H573" t="s">
        <v>204</v>
      </c>
      <c r="I573" t="s">
        <v>1387</v>
      </c>
      <c r="J573">
        <v>1</v>
      </c>
      <c r="L573">
        <v>20001</v>
      </c>
      <c r="M573" t="s">
        <v>1462</v>
      </c>
      <c r="N573" s="1">
        <v>46047</v>
      </c>
      <c r="O573" s="2">
        <v>0.95442129629629635</v>
      </c>
      <c r="R573" t="str">
        <f>HYPERLINK("https://7lm.cvcrm.com.br/gestor/relatorios/associado/html?q[1|r.idreserva]=6547","AMANDA ISABELA VIEIRA MACEDO")</f>
        <v>AMANDA ISABELA VIEIRA MACEDO</v>
      </c>
      <c r="S573">
        <v>9188055116</v>
      </c>
      <c r="T573">
        <v>5561981099008</v>
      </c>
      <c r="V573" t="s">
        <v>3425</v>
      </c>
      <c r="W573" t="s">
        <v>187</v>
      </c>
      <c r="X573" t="s">
        <v>3426</v>
      </c>
      <c r="Y573" t="s">
        <v>189</v>
      </c>
      <c r="Z573" t="s">
        <v>214</v>
      </c>
      <c r="AA573" t="s">
        <v>3427</v>
      </c>
      <c r="AB573" t="s">
        <v>3428</v>
      </c>
      <c r="AC573" t="s">
        <v>2418</v>
      </c>
      <c r="AD573" t="s">
        <v>2419</v>
      </c>
      <c r="AF573" t="s">
        <v>3429</v>
      </c>
      <c r="AG573" t="s">
        <v>195</v>
      </c>
      <c r="AH573" s="3">
        <v>212295.61</v>
      </c>
      <c r="AI573" s="3">
        <v>212295.61</v>
      </c>
      <c r="AJ573" s="1">
        <v>46106</v>
      </c>
      <c r="AN573" t="s">
        <v>172</v>
      </c>
      <c r="AO573" t="s">
        <v>816</v>
      </c>
      <c r="AR573" s="7" t="s">
        <v>3430</v>
      </c>
      <c r="AT573" t="s">
        <v>196</v>
      </c>
      <c r="AU573" t="s">
        <v>197</v>
      </c>
      <c r="AW573">
        <v>0</v>
      </c>
      <c r="AX573" s="1">
        <v>46065</v>
      </c>
      <c r="AY573" s="2">
        <v>0.40425925925925926</v>
      </c>
      <c r="AZ573">
        <v>183687</v>
      </c>
      <c r="BA573" s="1">
        <v>46034</v>
      </c>
      <c r="BC573" t="s">
        <v>0</v>
      </c>
      <c r="BD573" s="1">
        <v>46034</v>
      </c>
      <c r="BE573" t="s">
        <v>213</v>
      </c>
      <c r="BL573" s="4">
        <v>0</v>
      </c>
      <c r="BM573" s="1">
        <v>46572</v>
      </c>
      <c r="BO573">
        <v>0</v>
      </c>
      <c r="BP573">
        <v>27261</v>
      </c>
      <c r="BQ573" t="s">
        <v>156</v>
      </c>
      <c r="BR573" s="3">
        <v>104934.77</v>
      </c>
      <c r="BS573" s="3">
        <v>55000</v>
      </c>
      <c r="BT573">
        <v>0</v>
      </c>
      <c r="BU573" s="3">
        <v>159934.76999999999</v>
      </c>
      <c r="BV573" s="3">
        <v>212295.61</v>
      </c>
      <c r="BX573">
        <v>0</v>
      </c>
      <c r="BZ573">
        <v>0</v>
      </c>
      <c r="CA573">
        <v>0</v>
      </c>
      <c r="CB573">
        <v>0</v>
      </c>
      <c r="CC573" s="3">
        <v>212295.61</v>
      </c>
      <c r="CD573" s="5">
        <v>0</v>
      </c>
      <c r="CE573" t="s">
        <v>467</v>
      </c>
      <c r="CF573" s="6">
        <v>46054</v>
      </c>
      <c r="CH573">
        <v>0</v>
      </c>
      <c r="CI573">
        <v>0</v>
      </c>
      <c r="CJ573">
        <v>0</v>
      </c>
      <c r="CK573">
        <v>0</v>
      </c>
      <c r="CL573">
        <v>0</v>
      </c>
      <c r="CM573">
        <v>0</v>
      </c>
      <c r="CN573">
        <v>0</v>
      </c>
      <c r="CO573">
        <v>0</v>
      </c>
      <c r="CP573">
        <v>0</v>
      </c>
      <c r="CQ573">
        <v>0</v>
      </c>
      <c r="CR573">
        <v>0</v>
      </c>
      <c r="CS573" t="s">
        <v>1918</v>
      </c>
      <c r="CT573" t="s">
        <v>214</v>
      </c>
      <c r="CU573" t="s">
        <v>1387</v>
      </c>
      <c r="CW573">
        <v>363.52749999999997</v>
      </c>
      <c r="CZ573" s="1">
        <v>46034</v>
      </c>
      <c r="DA573" t="s">
        <v>172</v>
      </c>
      <c r="DB573" t="s">
        <v>172</v>
      </c>
      <c r="DC573" t="s">
        <v>172</v>
      </c>
      <c r="DD573" t="s">
        <v>172</v>
      </c>
      <c r="DG573" s="1">
        <v>46034</v>
      </c>
      <c r="DH573">
        <v>0</v>
      </c>
      <c r="DI573">
        <v>0</v>
      </c>
      <c r="DL573" t="s">
        <v>200</v>
      </c>
      <c r="DM573" t="s">
        <v>172</v>
      </c>
      <c r="DN573" t="s">
        <v>201</v>
      </c>
      <c r="DV573" s="3">
        <v>212295.61</v>
      </c>
      <c r="DW573">
        <v>0</v>
      </c>
      <c r="DX573" s="3">
        <v>212295.61</v>
      </c>
      <c r="DY573">
        <v>0</v>
      </c>
      <c r="EN573" t="s">
        <v>537</v>
      </c>
      <c r="ET573" t="s">
        <v>417</v>
      </c>
      <c r="EU573" s="1">
        <v>46063</v>
      </c>
      <c r="EW573" s="1">
        <v>46034</v>
      </c>
    </row>
    <row r="574" spans="1:153" x14ac:dyDescent="0.35">
      <c r="A574" t="str">
        <f>HYPERLINK("https://7lm.cvcrm.com.br/gestor/comercial/reservas/6546/administrar","6546")</f>
        <v>6546</v>
      </c>
      <c r="B574" t="s">
        <v>172</v>
      </c>
      <c r="C574" s="1">
        <v>46034</v>
      </c>
      <c r="D574" s="2">
        <v>0.56379629629629635</v>
      </c>
      <c r="E574" t="s">
        <v>527</v>
      </c>
      <c r="F574" t="s">
        <v>2451</v>
      </c>
      <c r="G574" t="s">
        <v>203</v>
      </c>
      <c r="H574" t="s">
        <v>528</v>
      </c>
      <c r="I574" t="s">
        <v>1410</v>
      </c>
      <c r="J574">
        <v>1</v>
      </c>
      <c r="L574">
        <v>30061</v>
      </c>
      <c r="M574" t="s">
        <v>2871</v>
      </c>
      <c r="R574" t="str">
        <f>HYPERLINK("https://7lm.cvcrm.com.br/gestor/relatorios/associado/html?q[1|r.idreserva]=6546","LEDI THAWANNY DE ALMEIDA SANTANA")</f>
        <v>LEDI THAWANNY DE ALMEIDA SANTANA</v>
      </c>
      <c r="S574">
        <v>4225815188</v>
      </c>
      <c r="T574">
        <v>556198402415</v>
      </c>
      <c r="V574" t="s">
        <v>3218</v>
      </c>
      <c r="W574" t="s">
        <v>187</v>
      </c>
      <c r="X574" t="s">
        <v>492</v>
      </c>
      <c r="Y574" t="s">
        <v>189</v>
      </c>
      <c r="Z574" t="s">
        <v>190</v>
      </c>
      <c r="AA574" t="s">
        <v>3219</v>
      </c>
      <c r="AB574" t="s">
        <v>3220</v>
      </c>
      <c r="AC574" t="s">
        <v>988</v>
      </c>
      <c r="AF574" t="s">
        <v>250</v>
      </c>
      <c r="AG574" t="s">
        <v>251</v>
      </c>
      <c r="AH574" s="3">
        <v>241000.04</v>
      </c>
      <c r="AI574" s="3">
        <v>241000.04</v>
      </c>
      <c r="AJ574" s="1">
        <v>46053</v>
      </c>
      <c r="AN574" t="s">
        <v>172</v>
      </c>
      <c r="AO574" t="s">
        <v>725</v>
      </c>
      <c r="AP574" t="s">
        <v>3431</v>
      </c>
      <c r="AR574" t="s">
        <v>3432</v>
      </c>
      <c r="AU574" t="s">
        <v>175</v>
      </c>
      <c r="AW574">
        <v>0</v>
      </c>
      <c r="AX574" s="1">
        <v>46045</v>
      </c>
      <c r="AY574" s="2">
        <v>0.67640046296296297</v>
      </c>
      <c r="AZ574">
        <v>183649</v>
      </c>
      <c r="BA574" s="1">
        <v>46034</v>
      </c>
      <c r="BC574" t="s">
        <v>0</v>
      </c>
      <c r="BD574" s="1">
        <v>46043</v>
      </c>
      <c r="BE574" t="s">
        <v>175</v>
      </c>
      <c r="BL574" s="4">
        <v>0</v>
      </c>
      <c r="BM574" s="1">
        <v>46788</v>
      </c>
      <c r="BO574">
        <v>0</v>
      </c>
      <c r="BP574">
        <v>27374</v>
      </c>
      <c r="BQ574" t="s">
        <v>156</v>
      </c>
      <c r="BR574">
        <v>0</v>
      </c>
      <c r="BS574">
        <v>0</v>
      </c>
      <c r="BT574">
        <v>0</v>
      </c>
      <c r="BU574">
        <v>0</v>
      </c>
      <c r="BV574" s="3">
        <v>241000.04</v>
      </c>
      <c r="BX574">
        <v>0</v>
      </c>
      <c r="BZ574">
        <v>0</v>
      </c>
      <c r="CA574">
        <v>0</v>
      </c>
      <c r="CB574">
        <v>0</v>
      </c>
      <c r="CC574" s="3">
        <v>241000.04</v>
      </c>
      <c r="CD574" s="5">
        <v>0</v>
      </c>
      <c r="CF574" s="6">
        <v>46023</v>
      </c>
      <c r="CH574">
        <v>0</v>
      </c>
      <c r="CI574">
        <v>0</v>
      </c>
      <c r="CJ574">
        <v>0</v>
      </c>
      <c r="CK574">
        <v>0</v>
      </c>
      <c r="CL574">
        <v>0</v>
      </c>
      <c r="CM574">
        <v>0</v>
      </c>
      <c r="CN574">
        <v>0</v>
      </c>
      <c r="CO574">
        <v>0</v>
      </c>
      <c r="CP574">
        <v>0</v>
      </c>
      <c r="CQ574">
        <v>0</v>
      </c>
      <c r="CR574">
        <v>0</v>
      </c>
      <c r="CT574" t="s">
        <v>190</v>
      </c>
      <c r="CU574" t="s">
        <v>1410</v>
      </c>
      <c r="CW574">
        <v>0</v>
      </c>
      <c r="CZ574" s="1">
        <v>46034</v>
      </c>
      <c r="DA574" t="s">
        <v>172</v>
      </c>
      <c r="DB574" t="s">
        <v>172</v>
      </c>
      <c r="DC574" t="s">
        <v>172</v>
      </c>
      <c r="DD574" t="s">
        <v>172</v>
      </c>
      <c r="DF574" t="s">
        <v>495</v>
      </c>
      <c r="DG574" s="1">
        <v>46034</v>
      </c>
      <c r="DH574">
        <v>0</v>
      </c>
      <c r="DI574">
        <v>0</v>
      </c>
      <c r="DL574" t="s">
        <v>2473</v>
      </c>
      <c r="DM574" t="s">
        <v>172</v>
      </c>
      <c r="DN574" t="s">
        <v>201</v>
      </c>
      <c r="DV574" s="3">
        <v>241000.04</v>
      </c>
      <c r="DW574">
        <v>0</v>
      </c>
      <c r="DX574" s="3">
        <v>241000.04</v>
      </c>
      <c r="DY574">
        <v>0</v>
      </c>
      <c r="EN574" t="s">
        <v>537</v>
      </c>
      <c r="ET574" t="s">
        <v>3433</v>
      </c>
      <c r="EW574" s="1">
        <v>46036</v>
      </c>
    </row>
    <row r="575" spans="1:153" ht="116" x14ac:dyDescent="0.35">
      <c r="A575" t="str">
        <f>HYPERLINK("https://7lm.cvcrm.com.br/gestor/comercial/reservas/6545/administrar","6545")</f>
        <v>6545</v>
      </c>
      <c r="B575" t="s">
        <v>172</v>
      </c>
      <c r="C575" s="1">
        <v>46034</v>
      </c>
      <c r="D575" s="2">
        <v>0.45072916666666668</v>
      </c>
      <c r="E575" t="s">
        <v>527</v>
      </c>
      <c r="F575" t="s">
        <v>957</v>
      </c>
      <c r="G575" t="s">
        <v>159</v>
      </c>
      <c r="H575" t="s">
        <v>362</v>
      </c>
      <c r="I575" t="s">
        <v>1877</v>
      </c>
      <c r="J575">
        <v>1</v>
      </c>
      <c r="L575">
        <v>30121</v>
      </c>
      <c r="M575" t="s">
        <v>3434</v>
      </c>
      <c r="R575" t="str">
        <f>HYPERLINK("https://7lm.cvcrm.com.br/gestor/relatorios/associado/html?q[1|r.idreserva]=6545","ANA CLARA FERNANDES TAVARES")</f>
        <v>ANA CLARA FERNANDES TAVARES</v>
      </c>
      <c r="S575">
        <v>10736345159</v>
      </c>
      <c r="T575">
        <v>556299894235</v>
      </c>
      <c r="V575" t="s">
        <v>3435</v>
      </c>
      <c r="W575" t="s">
        <v>187</v>
      </c>
      <c r="Y575" t="s">
        <v>189</v>
      </c>
      <c r="Z575" t="s">
        <v>1979</v>
      </c>
      <c r="AA575" t="s">
        <v>367</v>
      </c>
      <c r="AB575" t="s">
        <v>3436</v>
      </c>
      <c r="AC575" t="s">
        <v>3157</v>
      </c>
      <c r="AF575" t="s">
        <v>194</v>
      </c>
      <c r="AG575" t="s">
        <v>251</v>
      </c>
      <c r="AH575" s="3">
        <v>255000</v>
      </c>
      <c r="AI575" s="3">
        <v>255000</v>
      </c>
      <c r="AJ575" s="1">
        <v>46034</v>
      </c>
      <c r="AN575" t="s">
        <v>172</v>
      </c>
      <c r="AO575" t="s">
        <v>816</v>
      </c>
      <c r="AR575" s="7" t="s">
        <v>3437</v>
      </c>
      <c r="AT575" t="s">
        <v>173</v>
      </c>
      <c r="AU575" t="s">
        <v>3381</v>
      </c>
      <c r="AW575">
        <v>0</v>
      </c>
      <c r="AX575" s="1">
        <v>46045</v>
      </c>
      <c r="AY575" s="2">
        <v>0.6917592592592593</v>
      </c>
      <c r="AZ575">
        <v>164929</v>
      </c>
      <c r="BA575" s="1">
        <v>45855</v>
      </c>
      <c r="BB575" s="1">
        <v>45986</v>
      </c>
      <c r="BC575" t="s">
        <v>0</v>
      </c>
      <c r="BD575" s="1">
        <v>46034</v>
      </c>
      <c r="BE575" t="s">
        <v>317</v>
      </c>
      <c r="BL575" s="4">
        <v>0</v>
      </c>
      <c r="BM575" s="1">
        <v>47031</v>
      </c>
      <c r="BO575">
        <v>0</v>
      </c>
      <c r="BP575">
        <v>26252</v>
      </c>
      <c r="BQ575" t="s">
        <v>156</v>
      </c>
      <c r="BR575" s="3">
        <v>136304.85</v>
      </c>
      <c r="BS575" s="3">
        <v>15598</v>
      </c>
      <c r="BT575">
        <v>0</v>
      </c>
      <c r="BU575" s="3">
        <v>151902.85</v>
      </c>
      <c r="BV575" s="3">
        <v>255000</v>
      </c>
      <c r="BX575">
        <v>0</v>
      </c>
      <c r="BZ575">
        <v>0</v>
      </c>
      <c r="CA575">
        <v>0</v>
      </c>
      <c r="CB575">
        <v>0</v>
      </c>
      <c r="CC575" s="3">
        <v>255000</v>
      </c>
      <c r="CD575" s="5">
        <v>0</v>
      </c>
      <c r="CF575" s="6">
        <v>46023</v>
      </c>
      <c r="CH575">
        <v>0</v>
      </c>
      <c r="CI575">
        <v>0</v>
      </c>
      <c r="CJ575">
        <v>0</v>
      </c>
      <c r="CK575">
        <v>0</v>
      </c>
      <c r="CL575">
        <v>0</v>
      </c>
      <c r="CM575">
        <v>0</v>
      </c>
      <c r="CN575">
        <v>0</v>
      </c>
      <c r="CO575">
        <v>0</v>
      </c>
      <c r="CP575">
        <v>0</v>
      </c>
      <c r="CQ575">
        <v>0</v>
      </c>
      <c r="CR575">
        <v>0</v>
      </c>
      <c r="CT575" t="s">
        <v>190</v>
      </c>
      <c r="CU575" t="s">
        <v>1877</v>
      </c>
      <c r="CW575">
        <v>0</v>
      </c>
      <c r="CZ575" s="1">
        <v>46034</v>
      </c>
      <c r="DA575" t="s">
        <v>172</v>
      </c>
      <c r="DB575" t="s">
        <v>172</v>
      </c>
      <c r="DC575" t="s">
        <v>172</v>
      </c>
      <c r="DD575" t="s">
        <v>172</v>
      </c>
      <c r="DG575" s="1">
        <v>46034</v>
      </c>
      <c r="DH575">
        <v>0</v>
      </c>
      <c r="DI575">
        <v>0</v>
      </c>
      <c r="DL575" t="s">
        <v>963</v>
      </c>
      <c r="DM575" t="s">
        <v>172</v>
      </c>
      <c r="DN575" t="s">
        <v>225</v>
      </c>
      <c r="DV575" s="3">
        <v>255000</v>
      </c>
      <c r="DW575">
        <v>0</v>
      </c>
      <c r="DX575" s="3">
        <v>255000</v>
      </c>
      <c r="DY575">
        <v>0</v>
      </c>
      <c r="EN575" t="s">
        <v>537</v>
      </c>
      <c r="ET575" t="s">
        <v>3438</v>
      </c>
      <c r="EU575" s="1">
        <v>46045</v>
      </c>
      <c r="EW575" s="1">
        <v>46034</v>
      </c>
    </row>
    <row r="576" spans="1:153" ht="159.5" x14ac:dyDescent="0.35">
      <c r="A576" t="str">
        <f>HYPERLINK("https://7lm.cvcrm.com.br/gestor/comercial/reservas/6544/administrar","6544")</f>
        <v>6544</v>
      </c>
      <c r="B576" t="s">
        <v>172</v>
      </c>
      <c r="C576" s="1">
        <v>46034</v>
      </c>
      <c r="D576" s="2">
        <v>0.43957175925925923</v>
      </c>
      <c r="E576" t="s">
        <v>527</v>
      </c>
      <c r="F576" t="s">
        <v>957</v>
      </c>
      <c r="G576" t="s">
        <v>159</v>
      </c>
      <c r="H576" t="s">
        <v>759</v>
      </c>
      <c r="I576" t="s">
        <v>1068</v>
      </c>
      <c r="J576">
        <v>1</v>
      </c>
      <c r="L576">
        <v>30121</v>
      </c>
      <c r="M576" t="s">
        <v>3439</v>
      </c>
      <c r="R576" t="str">
        <f>HYPERLINK("https://7lm.cvcrm.com.br/gestor/relatorios/associado/html?q[1|r.idreserva]=6544","ANA CLARA FERNANDES TAVARES")</f>
        <v>ANA CLARA FERNANDES TAVARES</v>
      </c>
      <c r="S576">
        <v>10736345159</v>
      </c>
      <c r="T576">
        <v>556299894235</v>
      </c>
      <c r="V576" t="s">
        <v>3435</v>
      </c>
      <c r="W576" t="s">
        <v>187</v>
      </c>
      <c r="Y576" t="s">
        <v>189</v>
      </c>
      <c r="Z576" t="s">
        <v>1979</v>
      </c>
      <c r="AA576" t="s">
        <v>367</v>
      </c>
      <c r="AB576" t="s">
        <v>3436</v>
      </c>
      <c r="AC576" t="s">
        <v>3157</v>
      </c>
      <c r="AF576" t="s">
        <v>194</v>
      </c>
      <c r="AG576" t="s">
        <v>251</v>
      </c>
      <c r="AH576" s="3">
        <v>255000</v>
      </c>
      <c r="AI576" s="3">
        <v>255000</v>
      </c>
      <c r="AJ576" s="1">
        <v>46034</v>
      </c>
      <c r="AN576" t="s">
        <v>172</v>
      </c>
      <c r="AO576" t="s">
        <v>725</v>
      </c>
      <c r="AP576" t="s">
        <v>3440</v>
      </c>
      <c r="AR576" s="7" t="s">
        <v>3441</v>
      </c>
      <c r="AT576" t="s">
        <v>196</v>
      </c>
      <c r="AU576" t="s">
        <v>3381</v>
      </c>
      <c r="AW576">
        <v>0</v>
      </c>
      <c r="AX576" s="1">
        <v>46034</v>
      </c>
      <c r="AY576" s="2">
        <v>0.69733796296296291</v>
      </c>
      <c r="AZ576">
        <v>164929</v>
      </c>
      <c r="BA576" s="1">
        <v>45855</v>
      </c>
      <c r="BB576" s="1">
        <v>45986</v>
      </c>
      <c r="BC576" t="s">
        <v>0</v>
      </c>
      <c r="BD576" s="1">
        <v>46034</v>
      </c>
      <c r="BE576" t="s">
        <v>317</v>
      </c>
      <c r="BL576" s="4">
        <v>0</v>
      </c>
      <c r="BM576" s="1">
        <v>47031</v>
      </c>
      <c r="BO576">
        <v>0</v>
      </c>
      <c r="BP576">
        <v>26252</v>
      </c>
      <c r="BQ576" t="s">
        <v>156</v>
      </c>
      <c r="BR576" s="3">
        <v>136304.85</v>
      </c>
      <c r="BS576" s="3">
        <v>15598</v>
      </c>
      <c r="BT576">
        <v>0</v>
      </c>
      <c r="BU576" s="3">
        <v>151902.85</v>
      </c>
      <c r="BV576" s="3">
        <v>255000</v>
      </c>
      <c r="BX576">
        <v>0</v>
      </c>
      <c r="BZ576">
        <v>0</v>
      </c>
      <c r="CA576">
        <v>0</v>
      </c>
      <c r="CB576">
        <v>0</v>
      </c>
      <c r="CC576" s="3">
        <v>255000</v>
      </c>
      <c r="CD576" s="5">
        <v>0</v>
      </c>
      <c r="CF576" s="6">
        <v>46023</v>
      </c>
      <c r="CH576">
        <v>0</v>
      </c>
      <c r="CI576">
        <v>0</v>
      </c>
      <c r="CJ576">
        <v>0</v>
      </c>
      <c r="CK576">
        <v>0</v>
      </c>
      <c r="CL576">
        <v>0</v>
      </c>
      <c r="CM576">
        <v>0</v>
      </c>
      <c r="CN576">
        <v>0</v>
      </c>
      <c r="CO576">
        <v>0</v>
      </c>
      <c r="CP576">
        <v>0</v>
      </c>
      <c r="CQ576">
        <v>0</v>
      </c>
      <c r="CR576">
        <v>0</v>
      </c>
      <c r="CT576" t="s">
        <v>190</v>
      </c>
      <c r="CU576" t="s">
        <v>1068</v>
      </c>
      <c r="CW576">
        <v>0</v>
      </c>
      <c r="CZ576" s="1">
        <v>46034</v>
      </c>
      <c r="DA576" t="s">
        <v>172</v>
      </c>
      <c r="DB576" t="s">
        <v>172</v>
      </c>
      <c r="DC576" t="s">
        <v>172</v>
      </c>
      <c r="DD576" t="s">
        <v>172</v>
      </c>
      <c r="DG576" s="1">
        <v>46034</v>
      </c>
      <c r="DH576">
        <v>0</v>
      </c>
      <c r="DI576">
        <v>0</v>
      </c>
      <c r="DL576" t="s">
        <v>963</v>
      </c>
      <c r="DM576" t="s">
        <v>172</v>
      </c>
      <c r="DN576" t="s">
        <v>225</v>
      </c>
      <c r="DV576" s="3">
        <v>255000</v>
      </c>
      <c r="DW576">
        <v>0</v>
      </c>
      <c r="DX576" s="3">
        <v>255000</v>
      </c>
      <c r="DY576">
        <v>0</v>
      </c>
    </row>
    <row r="577" spans="1:153" ht="246.5" x14ac:dyDescent="0.35">
      <c r="A577" t="str">
        <f>HYPERLINK("https://7lm.cvcrm.com.br/gestor/comercial/reservas/6543/administrar","6543")</f>
        <v>6543</v>
      </c>
      <c r="B577" t="s">
        <v>156</v>
      </c>
      <c r="C577" s="1">
        <v>46033</v>
      </c>
      <c r="D577" s="2">
        <v>0.75390046296296298</v>
      </c>
      <c r="E577" t="s">
        <v>294</v>
      </c>
      <c r="F577" t="s">
        <v>458</v>
      </c>
      <c r="G577" t="s">
        <v>203</v>
      </c>
      <c r="H577" t="s">
        <v>391</v>
      </c>
      <c r="I577" t="s">
        <v>503</v>
      </c>
      <c r="J577">
        <v>1</v>
      </c>
      <c r="L577">
        <v>20001</v>
      </c>
      <c r="M577" t="s">
        <v>3442</v>
      </c>
      <c r="N577" s="1">
        <v>46043</v>
      </c>
      <c r="O577" s="2">
        <v>0.72232638888888889</v>
      </c>
      <c r="R577" t="str">
        <f>HYPERLINK("https://7lm.cvcrm.com.br/gestor/relatorios/associado/html?q[1|r.idreserva]=6543","RUABE BORGES VIEIRA")</f>
        <v>RUABE BORGES VIEIRA</v>
      </c>
      <c r="S577">
        <v>85959116570</v>
      </c>
      <c r="T577">
        <v>5561985622656</v>
      </c>
      <c r="V577" t="s">
        <v>3443</v>
      </c>
      <c r="W577" t="s">
        <v>163</v>
      </c>
      <c r="Y577" t="s">
        <v>189</v>
      </c>
      <c r="Z577" t="s">
        <v>214</v>
      </c>
      <c r="AA577" t="s">
        <v>3444</v>
      </c>
      <c r="AB577" t="s">
        <v>3445</v>
      </c>
      <c r="AC577" t="s">
        <v>1553</v>
      </c>
      <c r="AF577" t="s">
        <v>634</v>
      </c>
      <c r="AG577" t="s">
        <v>195</v>
      </c>
      <c r="AH577" s="3">
        <v>235970.16</v>
      </c>
      <c r="AI577" s="3">
        <v>235970.16</v>
      </c>
      <c r="AJ577" s="1">
        <v>46096</v>
      </c>
      <c r="AN577" t="s">
        <v>172</v>
      </c>
      <c r="AR577" s="7" t="s">
        <v>353</v>
      </c>
      <c r="AT577" t="s">
        <v>261</v>
      </c>
      <c r="AU577" t="s">
        <v>316</v>
      </c>
      <c r="AW577">
        <v>0</v>
      </c>
      <c r="AX577" s="1">
        <v>46052</v>
      </c>
      <c r="AY577" s="2">
        <v>0.42748842592592595</v>
      </c>
      <c r="AZ577">
        <v>124249</v>
      </c>
      <c r="BA577" s="1">
        <v>45487</v>
      </c>
      <c r="BC577" t="s">
        <v>0</v>
      </c>
      <c r="BD577" s="1">
        <v>46033</v>
      </c>
      <c r="BE577" t="s">
        <v>317</v>
      </c>
      <c r="BL577" s="4">
        <v>0</v>
      </c>
      <c r="BM577" s="1">
        <v>46572</v>
      </c>
      <c r="BN577" s="1">
        <v>46052</v>
      </c>
      <c r="BO577">
        <v>0</v>
      </c>
      <c r="BP577">
        <v>27120</v>
      </c>
      <c r="BQ577" t="s">
        <v>156</v>
      </c>
      <c r="BR577" s="3">
        <v>149282.35999999999</v>
      </c>
      <c r="BS577">
        <v>0</v>
      </c>
      <c r="BT577">
        <v>0</v>
      </c>
      <c r="BU577" s="3">
        <v>149282.35999999999</v>
      </c>
      <c r="BV577" s="3">
        <v>235970.16</v>
      </c>
      <c r="BX577">
        <v>0</v>
      </c>
      <c r="BZ577">
        <v>0</v>
      </c>
      <c r="CA577">
        <v>0</v>
      </c>
      <c r="CB577">
        <v>0</v>
      </c>
      <c r="CC577" s="3">
        <v>235970.16</v>
      </c>
      <c r="CD577" s="5">
        <v>0</v>
      </c>
      <c r="CE577" t="s">
        <v>467</v>
      </c>
      <c r="CF577" s="6">
        <v>46023</v>
      </c>
      <c r="CH577">
        <v>0</v>
      </c>
      <c r="CI577">
        <v>0</v>
      </c>
      <c r="CJ577">
        <v>0</v>
      </c>
      <c r="CK577">
        <v>0</v>
      </c>
      <c r="CL577">
        <v>0</v>
      </c>
      <c r="CM577">
        <v>0</v>
      </c>
      <c r="CN577">
        <v>0</v>
      </c>
      <c r="CO577">
        <v>0</v>
      </c>
      <c r="CP577">
        <v>0</v>
      </c>
      <c r="CQ577">
        <v>0</v>
      </c>
      <c r="CR577">
        <v>0</v>
      </c>
      <c r="CS577" t="s">
        <v>1918</v>
      </c>
      <c r="CT577" t="s">
        <v>214</v>
      </c>
      <c r="CU577" t="s">
        <v>503</v>
      </c>
      <c r="CW577">
        <v>415.21870000000001</v>
      </c>
      <c r="CZ577" s="1">
        <v>46033</v>
      </c>
      <c r="DA577" t="s">
        <v>172</v>
      </c>
      <c r="DB577" t="s">
        <v>172</v>
      </c>
      <c r="DC577" t="s">
        <v>172</v>
      </c>
      <c r="DD577" t="s">
        <v>172</v>
      </c>
      <c r="DG577" s="1">
        <v>46033</v>
      </c>
      <c r="DH577">
        <v>0</v>
      </c>
      <c r="DI577">
        <v>0</v>
      </c>
      <c r="DJ577" s="1">
        <v>46052</v>
      </c>
      <c r="DL577" t="s">
        <v>200</v>
      </c>
      <c r="DM577" t="s">
        <v>172</v>
      </c>
      <c r="DN577" t="s">
        <v>511</v>
      </c>
      <c r="DV577" s="3">
        <v>235970.16</v>
      </c>
      <c r="DW577">
        <v>0</v>
      </c>
      <c r="DX577" s="3">
        <v>235970.16</v>
      </c>
      <c r="DY577">
        <v>0</v>
      </c>
      <c r="EF577" s="1">
        <v>46048</v>
      </c>
      <c r="EG577" s="1">
        <v>46043</v>
      </c>
      <c r="EK577" s="1">
        <v>46048</v>
      </c>
      <c r="EN577" t="s">
        <v>156</v>
      </c>
      <c r="EP577" s="1">
        <v>46043</v>
      </c>
      <c r="ET577" t="s">
        <v>3446</v>
      </c>
      <c r="EU577" s="1">
        <v>46043</v>
      </c>
      <c r="EW577" s="1">
        <v>46033</v>
      </c>
    </row>
    <row r="578" spans="1:153" ht="246.5" x14ac:dyDescent="0.35">
      <c r="A578" t="str">
        <f>HYPERLINK("https://7lm.cvcrm.com.br/gestor/comercial/reservas/6542/administrar","6542")</f>
        <v>6542</v>
      </c>
      <c r="B578" t="s">
        <v>156</v>
      </c>
      <c r="C578" s="1">
        <v>46032</v>
      </c>
      <c r="D578" s="2">
        <v>0.82452546296296292</v>
      </c>
      <c r="E578" t="s">
        <v>294</v>
      </c>
      <c r="F578" t="s">
        <v>458</v>
      </c>
      <c r="G578" t="s">
        <v>203</v>
      </c>
      <c r="H578" t="s">
        <v>306</v>
      </c>
      <c r="I578" t="s">
        <v>2091</v>
      </c>
      <c r="J578">
        <v>1</v>
      </c>
      <c r="L578">
        <v>20001</v>
      </c>
      <c r="M578" t="s">
        <v>3447</v>
      </c>
      <c r="N578" s="1">
        <v>46048</v>
      </c>
      <c r="O578" s="2">
        <v>0.69805555555555554</v>
      </c>
      <c r="R578" t="str">
        <f>HYPERLINK("https://7lm.cvcrm.com.br/gestor/relatorios/associado/html?q[1|r.idreserva]=6542","DANIELA LIMA DOS SANTOS")</f>
        <v>DANIELA LIMA DOS SANTOS</v>
      </c>
      <c r="S578">
        <v>2079958186</v>
      </c>
      <c r="T578">
        <v>5561986222267</v>
      </c>
      <c r="V578" t="s">
        <v>3448</v>
      </c>
      <c r="W578" t="s">
        <v>187</v>
      </c>
      <c r="X578" t="s">
        <v>452</v>
      </c>
      <c r="Y578" t="s">
        <v>189</v>
      </c>
      <c r="Z578" t="s">
        <v>214</v>
      </c>
      <c r="AA578" t="s">
        <v>791</v>
      </c>
      <c r="AB578" t="s">
        <v>3449</v>
      </c>
      <c r="AC578" t="s">
        <v>411</v>
      </c>
      <c r="AD578" t="s">
        <v>412</v>
      </c>
      <c r="AF578" t="s">
        <v>3429</v>
      </c>
      <c r="AG578" t="s">
        <v>195</v>
      </c>
      <c r="AH578" s="3">
        <v>216772.95</v>
      </c>
      <c r="AI578" s="3">
        <v>216772.95</v>
      </c>
      <c r="AJ578" s="1">
        <v>46670</v>
      </c>
      <c r="AN578" t="s">
        <v>172</v>
      </c>
      <c r="AR578" s="7" t="s">
        <v>353</v>
      </c>
      <c r="AT578" t="s">
        <v>196</v>
      </c>
      <c r="AU578" t="s">
        <v>292</v>
      </c>
      <c r="AW578">
        <v>0</v>
      </c>
      <c r="AX578" s="1">
        <v>46052</v>
      </c>
      <c r="AY578" s="2">
        <v>0.44185185185185183</v>
      </c>
      <c r="AZ578">
        <v>183370</v>
      </c>
      <c r="BA578" s="1">
        <v>46032</v>
      </c>
      <c r="BC578" t="s">
        <v>0</v>
      </c>
      <c r="BD578" s="1">
        <v>46032</v>
      </c>
      <c r="BE578" t="s">
        <v>213</v>
      </c>
      <c r="BL578" s="4">
        <v>0</v>
      </c>
      <c r="BM578" s="1">
        <v>46572</v>
      </c>
      <c r="BN578" s="1">
        <v>46052</v>
      </c>
      <c r="BO578">
        <v>0</v>
      </c>
      <c r="BP578">
        <v>24887</v>
      </c>
      <c r="BQ578" t="s">
        <v>156</v>
      </c>
      <c r="BR578" s="3">
        <v>143476.95000000001</v>
      </c>
      <c r="BS578" s="3">
        <v>27494</v>
      </c>
      <c r="BT578">
        <v>0</v>
      </c>
      <c r="BU578" s="3">
        <v>170970.95</v>
      </c>
      <c r="BV578" s="3">
        <v>216772.95</v>
      </c>
      <c r="BX578">
        <v>0</v>
      </c>
      <c r="BZ578">
        <v>0</v>
      </c>
      <c r="CA578">
        <v>0</v>
      </c>
      <c r="CB578">
        <v>0</v>
      </c>
      <c r="CC578" s="3">
        <v>216772.95</v>
      </c>
      <c r="CD578" s="5">
        <v>0</v>
      </c>
      <c r="CE578" t="s">
        <v>467</v>
      </c>
      <c r="CF578" s="6">
        <v>46023</v>
      </c>
      <c r="CH578">
        <v>0</v>
      </c>
      <c r="CI578">
        <v>0</v>
      </c>
      <c r="CJ578">
        <v>0</v>
      </c>
      <c r="CK578">
        <v>0</v>
      </c>
      <c r="CL578">
        <v>0</v>
      </c>
      <c r="CM578">
        <v>0</v>
      </c>
      <c r="CN578">
        <v>0</v>
      </c>
      <c r="CO578">
        <v>0</v>
      </c>
      <c r="CP578">
        <v>0</v>
      </c>
      <c r="CQ578">
        <v>0</v>
      </c>
      <c r="CR578">
        <v>0</v>
      </c>
      <c r="CS578" t="s">
        <v>360</v>
      </c>
      <c r="CT578" t="s">
        <v>214</v>
      </c>
      <c r="CU578" t="s">
        <v>2091</v>
      </c>
      <c r="CW578">
        <v>373.30340000000001</v>
      </c>
      <c r="CZ578" s="1">
        <v>46032</v>
      </c>
      <c r="DA578" t="s">
        <v>172</v>
      </c>
      <c r="DB578" t="s">
        <v>172</v>
      </c>
      <c r="DC578" t="s">
        <v>172</v>
      </c>
      <c r="DD578" t="s">
        <v>172</v>
      </c>
      <c r="DG578" s="1">
        <v>46032</v>
      </c>
      <c r="DH578">
        <v>0</v>
      </c>
      <c r="DI578">
        <v>0</v>
      </c>
      <c r="DJ578" s="1">
        <v>46052</v>
      </c>
      <c r="DL578" t="s">
        <v>200</v>
      </c>
      <c r="DM578" t="s">
        <v>172</v>
      </c>
      <c r="DN578" t="s">
        <v>201</v>
      </c>
      <c r="DV578" s="3">
        <v>216772.95</v>
      </c>
      <c r="DW578">
        <v>0</v>
      </c>
      <c r="DX578" s="3">
        <v>216772.95</v>
      </c>
      <c r="DY578">
        <v>0</v>
      </c>
      <c r="EF578" s="1">
        <v>46048</v>
      </c>
      <c r="EG578" s="1">
        <v>46044</v>
      </c>
      <c r="EK578" s="1">
        <v>46048</v>
      </c>
      <c r="EL578" s="1">
        <v>46048</v>
      </c>
      <c r="EN578" t="s">
        <v>156</v>
      </c>
      <c r="EP578" s="1">
        <v>45679</v>
      </c>
      <c r="ET578" t="s">
        <v>3450</v>
      </c>
      <c r="EU578" s="1">
        <v>46049</v>
      </c>
      <c r="EW578" s="1">
        <v>46032</v>
      </c>
    </row>
    <row r="579" spans="1:153" ht="333.5" x14ac:dyDescent="0.35">
      <c r="A579" t="str">
        <f>HYPERLINK("https://7lm.cvcrm.com.br/gestor/comercial/reservas/6541/administrar","6541")</f>
        <v>6541</v>
      </c>
      <c r="B579" t="s">
        <v>172</v>
      </c>
      <c r="C579" s="1">
        <v>46032</v>
      </c>
      <c r="D579" s="2">
        <v>0.55804398148148149</v>
      </c>
      <c r="E579" t="s">
        <v>527</v>
      </c>
      <c r="F579" t="s">
        <v>202</v>
      </c>
      <c r="G579" t="s">
        <v>203</v>
      </c>
      <c r="H579" t="s">
        <v>306</v>
      </c>
      <c r="I579" t="s">
        <v>1165</v>
      </c>
      <c r="J579">
        <v>1</v>
      </c>
      <c r="L579">
        <v>20031</v>
      </c>
      <c r="M579" t="s">
        <v>2208</v>
      </c>
      <c r="R579" t="str">
        <f>HYPERLINK("https://7lm.cvcrm.com.br/gestor/relatorios/associado/html?q[1|r.idreserva]=6541","THAINÁ RIBEIRO DA CRUZ")</f>
        <v>THAINÁ RIBEIRO DA CRUZ</v>
      </c>
      <c r="S579">
        <v>6930610143</v>
      </c>
      <c r="T579">
        <v>5561991801036</v>
      </c>
      <c r="V579" t="s">
        <v>3451</v>
      </c>
      <c r="W579" t="s">
        <v>187</v>
      </c>
      <c r="X579" t="s">
        <v>452</v>
      </c>
      <c r="Y579" t="s">
        <v>189</v>
      </c>
      <c r="Z579" t="s">
        <v>214</v>
      </c>
      <c r="AA579" t="s">
        <v>3452</v>
      </c>
      <c r="AB579" t="s">
        <v>214</v>
      </c>
      <c r="AC579" t="s">
        <v>326</v>
      </c>
      <c r="AD579" t="s">
        <v>327</v>
      </c>
      <c r="AF579" t="s">
        <v>212</v>
      </c>
      <c r="AG579" t="s">
        <v>284</v>
      </c>
      <c r="AH579" s="3">
        <v>225113.54</v>
      </c>
      <c r="AI579" s="3">
        <v>225113.54</v>
      </c>
      <c r="AJ579" s="1">
        <v>46096</v>
      </c>
      <c r="AN579" t="s">
        <v>172</v>
      </c>
      <c r="AO579" t="s">
        <v>816</v>
      </c>
      <c r="AR579" s="7" t="s">
        <v>3453</v>
      </c>
      <c r="AT579" t="s">
        <v>196</v>
      </c>
      <c r="AU579" t="s">
        <v>175</v>
      </c>
      <c r="AW579">
        <v>0</v>
      </c>
      <c r="AX579" s="1">
        <v>46044</v>
      </c>
      <c r="AY579" s="2">
        <v>0.66993055555555558</v>
      </c>
      <c r="AZ579">
        <v>183316</v>
      </c>
      <c r="BA579" s="1">
        <v>46032</v>
      </c>
      <c r="BC579" t="s">
        <v>0</v>
      </c>
      <c r="BD579" s="1">
        <v>46032</v>
      </c>
      <c r="BE579" t="s">
        <v>175</v>
      </c>
      <c r="BL579" s="4">
        <v>0</v>
      </c>
      <c r="BM579" s="1">
        <v>46808</v>
      </c>
      <c r="BO579">
        <v>0</v>
      </c>
      <c r="BP579">
        <v>27348</v>
      </c>
      <c r="BQ579" t="s">
        <v>156</v>
      </c>
      <c r="BR579" s="3">
        <v>124180.54</v>
      </c>
      <c r="BS579" s="3">
        <v>48653</v>
      </c>
      <c r="BT579">
        <v>0</v>
      </c>
      <c r="BU579" s="3">
        <v>172833.54</v>
      </c>
      <c r="BV579" s="3">
        <v>225113.54</v>
      </c>
      <c r="BX579">
        <v>0</v>
      </c>
      <c r="BZ579">
        <v>0</v>
      </c>
      <c r="CA579">
        <v>0</v>
      </c>
      <c r="CB579">
        <v>0</v>
      </c>
      <c r="CC579" s="3">
        <v>225113.54</v>
      </c>
      <c r="CD579" s="5">
        <v>0</v>
      </c>
      <c r="CF579" s="6">
        <v>46023</v>
      </c>
      <c r="CH579">
        <v>0</v>
      </c>
      <c r="CI579">
        <v>0</v>
      </c>
      <c r="CJ579">
        <v>0</v>
      </c>
      <c r="CK579">
        <v>0</v>
      </c>
      <c r="CL579">
        <v>0</v>
      </c>
      <c r="CM579">
        <v>0</v>
      </c>
      <c r="CN579">
        <v>0</v>
      </c>
      <c r="CO579">
        <v>0</v>
      </c>
      <c r="CP579">
        <v>0</v>
      </c>
      <c r="CQ579">
        <v>0</v>
      </c>
      <c r="CR579">
        <v>0</v>
      </c>
      <c r="CT579" t="s">
        <v>214</v>
      </c>
      <c r="CU579" t="s">
        <v>1165</v>
      </c>
      <c r="CW579">
        <v>0</v>
      </c>
      <c r="CZ579" s="1">
        <v>46032</v>
      </c>
      <c r="DA579" t="s">
        <v>172</v>
      </c>
      <c r="DB579" t="s">
        <v>172</v>
      </c>
      <c r="DC579" t="s">
        <v>172</v>
      </c>
      <c r="DD579" t="s">
        <v>172</v>
      </c>
      <c r="DG579" s="1">
        <v>46032</v>
      </c>
      <c r="DH579">
        <v>0</v>
      </c>
      <c r="DI579">
        <v>0</v>
      </c>
      <c r="DL579" t="s">
        <v>224</v>
      </c>
      <c r="DM579" t="s">
        <v>172</v>
      </c>
      <c r="DN579" t="s">
        <v>511</v>
      </c>
      <c r="DV579" s="3">
        <v>225113.54</v>
      </c>
      <c r="DW579">
        <v>0</v>
      </c>
      <c r="DX579" s="3">
        <v>225113.54</v>
      </c>
      <c r="DY579">
        <v>0</v>
      </c>
      <c r="EN579" t="s">
        <v>537</v>
      </c>
      <c r="EU579" s="1">
        <v>46037</v>
      </c>
      <c r="EW579" s="1">
        <v>46032</v>
      </c>
    </row>
    <row r="580" spans="1:153" ht="246.5" x14ac:dyDescent="0.35">
      <c r="A580" t="str">
        <f>HYPERLINK("https://7lm.cvcrm.com.br/gestor/comercial/reservas/6540/administrar","6540")</f>
        <v>6540</v>
      </c>
      <c r="B580" t="s">
        <v>156</v>
      </c>
      <c r="C580" s="1">
        <v>46031</v>
      </c>
      <c r="D580" s="2">
        <v>0.82739583333333333</v>
      </c>
      <c r="E580" t="s">
        <v>294</v>
      </c>
      <c r="F580" t="s">
        <v>458</v>
      </c>
      <c r="G580" t="s">
        <v>203</v>
      </c>
      <c r="H580" t="s">
        <v>513</v>
      </c>
      <c r="I580" t="s">
        <v>1997</v>
      </c>
      <c r="J580">
        <v>1</v>
      </c>
      <c r="L580">
        <v>20001</v>
      </c>
      <c r="M580" t="s">
        <v>3454</v>
      </c>
      <c r="N580" s="1">
        <v>46045</v>
      </c>
      <c r="O580" s="2">
        <v>0.6451041666666667</v>
      </c>
      <c r="R580" t="str">
        <f>HYPERLINK("https://7lm.cvcrm.com.br/gestor/relatorios/associado/html?q[1|r.idreserva]=6540","CAIO VINÍCIUS AZEVEDO PAURÁ")</f>
        <v>CAIO VINÍCIUS AZEVEDO PAURÁ</v>
      </c>
      <c r="S580">
        <v>7742214105</v>
      </c>
      <c r="T580">
        <v>5561998532475</v>
      </c>
      <c r="V580" t="s">
        <v>3455</v>
      </c>
      <c r="W580" t="s">
        <v>187</v>
      </c>
      <c r="X580" t="s">
        <v>299</v>
      </c>
      <c r="Y580" t="s">
        <v>165</v>
      </c>
      <c r="Z580" t="s">
        <v>385</v>
      </c>
      <c r="AA580" t="s">
        <v>3309</v>
      </c>
      <c r="AB580" t="s">
        <v>3456</v>
      </c>
      <c r="AC580" t="s">
        <v>633</v>
      </c>
      <c r="AF580" t="s">
        <v>413</v>
      </c>
      <c r="AG580" t="s">
        <v>195</v>
      </c>
      <c r="AH580" s="3">
        <v>220211.97</v>
      </c>
      <c r="AI580" s="3">
        <v>220211.97</v>
      </c>
      <c r="AJ580" s="1">
        <v>46068</v>
      </c>
      <c r="AN580" t="s">
        <v>172</v>
      </c>
      <c r="AR580" s="7" t="s">
        <v>353</v>
      </c>
      <c r="AT580" t="s">
        <v>196</v>
      </c>
      <c r="AU580" t="s">
        <v>590</v>
      </c>
      <c r="AW580">
        <v>0</v>
      </c>
      <c r="AX580" s="1">
        <v>46052</v>
      </c>
      <c r="AY580" s="2">
        <v>0.49209490740740741</v>
      </c>
      <c r="AZ580">
        <v>174074</v>
      </c>
      <c r="BA580" s="1">
        <v>45955</v>
      </c>
      <c r="BB580" s="1">
        <v>46030</v>
      </c>
      <c r="BC580" t="s">
        <v>275</v>
      </c>
      <c r="BD580" s="1">
        <v>46094</v>
      </c>
      <c r="BE580" t="s">
        <v>786</v>
      </c>
      <c r="BL580" s="4">
        <v>0</v>
      </c>
      <c r="BM580" s="1">
        <v>46572</v>
      </c>
      <c r="BN580" s="1">
        <v>46052</v>
      </c>
      <c r="BO580">
        <v>0</v>
      </c>
      <c r="BP580">
        <v>27327</v>
      </c>
      <c r="BQ580" t="s">
        <v>156</v>
      </c>
      <c r="BR580" s="3">
        <v>107117.22</v>
      </c>
      <c r="BS580" s="3">
        <v>55000</v>
      </c>
      <c r="BT580">
        <v>0</v>
      </c>
      <c r="BU580" s="3">
        <v>162117.22</v>
      </c>
      <c r="BV580" s="3">
        <v>220211.97</v>
      </c>
      <c r="BX580">
        <v>0</v>
      </c>
      <c r="BZ580">
        <v>0</v>
      </c>
      <c r="CA580">
        <v>0</v>
      </c>
      <c r="CB580">
        <v>0</v>
      </c>
      <c r="CC580" s="3">
        <v>220211.97</v>
      </c>
      <c r="CD580" s="5">
        <v>0</v>
      </c>
      <c r="CE580" t="s">
        <v>467</v>
      </c>
      <c r="CF580" s="6">
        <v>46023</v>
      </c>
      <c r="CH580">
        <v>0</v>
      </c>
      <c r="CI580">
        <v>0</v>
      </c>
      <c r="CJ580">
        <v>0</v>
      </c>
      <c r="CK580">
        <v>0</v>
      </c>
      <c r="CL580">
        <v>0</v>
      </c>
      <c r="CM580">
        <v>0</v>
      </c>
      <c r="CN580">
        <v>0</v>
      </c>
      <c r="CO580">
        <v>0</v>
      </c>
      <c r="CP580">
        <v>0</v>
      </c>
      <c r="CQ580">
        <v>0</v>
      </c>
      <c r="CR580">
        <v>0</v>
      </c>
      <c r="CS580" t="s">
        <v>360</v>
      </c>
      <c r="CT580" t="s">
        <v>214</v>
      </c>
      <c r="CU580" t="s">
        <v>1997</v>
      </c>
      <c r="CW580">
        <v>392.87849999999997</v>
      </c>
      <c r="CZ580" s="1">
        <v>46031</v>
      </c>
      <c r="DA580" t="s">
        <v>172</v>
      </c>
      <c r="DB580" t="s">
        <v>172</v>
      </c>
      <c r="DC580" t="s">
        <v>172</v>
      </c>
      <c r="DD580" t="s">
        <v>172</v>
      </c>
      <c r="DG580" s="1">
        <v>46031</v>
      </c>
      <c r="DH580">
        <v>0</v>
      </c>
      <c r="DI580">
        <v>0</v>
      </c>
      <c r="DJ580" s="1">
        <v>46052</v>
      </c>
      <c r="DL580" t="s">
        <v>200</v>
      </c>
      <c r="DM580" t="s">
        <v>172</v>
      </c>
      <c r="DN580" t="s">
        <v>201</v>
      </c>
      <c r="DV580" s="3">
        <v>220211.97</v>
      </c>
      <c r="DW580">
        <v>0</v>
      </c>
      <c r="DX580" s="3">
        <v>220211.97</v>
      </c>
      <c r="DY580">
        <v>0</v>
      </c>
      <c r="EF580" s="1">
        <v>46048</v>
      </c>
      <c r="EG580" s="1">
        <v>46043</v>
      </c>
      <c r="EK580" s="1">
        <v>46045</v>
      </c>
      <c r="EN580" t="s">
        <v>156</v>
      </c>
      <c r="EP580" s="1">
        <v>46043</v>
      </c>
      <c r="ET580" t="s">
        <v>699</v>
      </c>
      <c r="EU580" s="1">
        <v>46043</v>
      </c>
      <c r="EW580" s="1">
        <v>46031</v>
      </c>
    </row>
    <row r="581" spans="1:153" ht="246.5" x14ac:dyDescent="0.35">
      <c r="A581" t="str">
        <f>HYPERLINK("https://7lm.cvcrm.com.br/gestor/comercial/reservas/6539/administrar","6539")</f>
        <v>6539</v>
      </c>
      <c r="B581" t="s">
        <v>156</v>
      </c>
      <c r="C581" s="1">
        <v>46031</v>
      </c>
      <c r="D581" s="2">
        <v>0.812962962962963</v>
      </c>
      <c r="E581" t="s">
        <v>294</v>
      </c>
      <c r="F581" t="s">
        <v>2451</v>
      </c>
      <c r="G581" t="s">
        <v>203</v>
      </c>
      <c r="H581" t="s">
        <v>217</v>
      </c>
      <c r="I581" t="s">
        <v>218</v>
      </c>
      <c r="J581">
        <v>1</v>
      </c>
      <c r="L581">
        <v>30061</v>
      </c>
      <c r="M581" t="s">
        <v>3457</v>
      </c>
      <c r="N581" s="1">
        <v>46035</v>
      </c>
      <c r="O581" s="2">
        <v>0.43715277777777778</v>
      </c>
      <c r="R581" t="str">
        <f>HYPERLINK("https://7lm.cvcrm.com.br/gestor/relatorios/associado/html?q[1|r.idreserva]=6539","FLAVIO FONSECA BELTRAO")</f>
        <v>FLAVIO FONSECA BELTRAO</v>
      </c>
      <c r="S581">
        <v>5290918108</v>
      </c>
      <c r="T581">
        <v>5561996739730</v>
      </c>
      <c r="V581" t="s">
        <v>3458</v>
      </c>
      <c r="W581" t="s">
        <v>163</v>
      </c>
      <c r="X581" t="s">
        <v>376</v>
      </c>
      <c r="Y581" t="s">
        <v>189</v>
      </c>
      <c r="Z581" t="s">
        <v>190</v>
      </c>
      <c r="AA581" t="s">
        <v>2469</v>
      </c>
      <c r="AB581" t="s">
        <v>3459</v>
      </c>
      <c r="AC581" t="s">
        <v>917</v>
      </c>
      <c r="AF581" t="s">
        <v>194</v>
      </c>
      <c r="AG581" t="s">
        <v>195</v>
      </c>
      <c r="AH581" s="3">
        <v>265000.12</v>
      </c>
      <c r="AI581" s="3">
        <v>265000.12</v>
      </c>
      <c r="AJ581" s="1">
        <v>46090</v>
      </c>
      <c r="AN581" t="s">
        <v>172</v>
      </c>
      <c r="AR581" s="7" t="s">
        <v>353</v>
      </c>
      <c r="AT581" t="s">
        <v>196</v>
      </c>
      <c r="AU581" t="s">
        <v>292</v>
      </c>
      <c r="AW581">
        <v>0</v>
      </c>
      <c r="AX581" s="1">
        <v>46055</v>
      </c>
      <c r="AY581" s="2">
        <v>0.50517361111111114</v>
      </c>
      <c r="AZ581">
        <v>80734</v>
      </c>
      <c r="BA581" s="1">
        <v>44879</v>
      </c>
      <c r="BB581" s="1">
        <v>45912</v>
      </c>
      <c r="BC581" t="s">
        <v>0</v>
      </c>
      <c r="BD581" s="1">
        <v>46031</v>
      </c>
      <c r="BE581" t="s">
        <v>276</v>
      </c>
      <c r="BL581" s="4">
        <v>0</v>
      </c>
      <c r="BM581" s="1">
        <v>46788</v>
      </c>
      <c r="BN581" s="1">
        <v>46053</v>
      </c>
      <c r="BO581">
        <v>0</v>
      </c>
      <c r="BP581">
        <v>27283</v>
      </c>
      <c r="BQ581" t="s">
        <v>156</v>
      </c>
      <c r="BR581" s="3">
        <v>135346.73000000001</v>
      </c>
      <c r="BS581" s="3">
        <v>26668</v>
      </c>
      <c r="BT581">
        <v>0</v>
      </c>
      <c r="BU581" s="3">
        <v>162014.73000000001</v>
      </c>
      <c r="BV581" s="3">
        <v>265000.12</v>
      </c>
      <c r="BX581">
        <v>0</v>
      </c>
      <c r="BZ581">
        <v>0</v>
      </c>
      <c r="CA581">
        <v>0</v>
      </c>
      <c r="CB581">
        <v>0</v>
      </c>
      <c r="CC581" s="3">
        <v>265000.12</v>
      </c>
      <c r="CD581" s="5">
        <v>0</v>
      </c>
      <c r="CF581" s="6">
        <v>46023</v>
      </c>
      <c r="CH581">
        <v>0</v>
      </c>
      <c r="CI581">
        <v>0</v>
      </c>
      <c r="CJ581">
        <v>0</v>
      </c>
      <c r="CK581">
        <v>0</v>
      </c>
      <c r="CL581">
        <v>0</v>
      </c>
      <c r="CM581">
        <v>0</v>
      </c>
      <c r="CN581">
        <v>0</v>
      </c>
      <c r="CO581">
        <v>0</v>
      </c>
      <c r="CP581">
        <v>0</v>
      </c>
      <c r="CQ581">
        <v>0</v>
      </c>
      <c r="CR581">
        <v>0</v>
      </c>
      <c r="CS581" t="s">
        <v>2029</v>
      </c>
      <c r="CT581" t="s">
        <v>190</v>
      </c>
      <c r="CU581" t="s">
        <v>218</v>
      </c>
      <c r="CW581">
        <v>478.60289999999998</v>
      </c>
      <c r="CZ581" s="1">
        <v>46031</v>
      </c>
      <c r="DA581" t="s">
        <v>172</v>
      </c>
      <c r="DB581" t="s">
        <v>172</v>
      </c>
      <c r="DC581" t="s">
        <v>172</v>
      </c>
      <c r="DD581" t="s">
        <v>172</v>
      </c>
      <c r="DG581" s="1">
        <v>46031</v>
      </c>
      <c r="DH581">
        <v>0</v>
      </c>
      <c r="DI581">
        <v>0</v>
      </c>
      <c r="DJ581" s="1">
        <v>46055</v>
      </c>
      <c r="DL581" t="s">
        <v>200</v>
      </c>
      <c r="DM581" t="s">
        <v>172</v>
      </c>
      <c r="DN581" t="s">
        <v>511</v>
      </c>
      <c r="DV581" s="3">
        <v>265000.12</v>
      </c>
      <c r="DW581">
        <v>0</v>
      </c>
      <c r="DX581" s="3">
        <v>265000.12</v>
      </c>
      <c r="DY581">
        <v>0</v>
      </c>
      <c r="EG581" s="1">
        <v>46035</v>
      </c>
      <c r="EM581" s="1">
        <v>46037</v>
      </c>
      <c r="EN581" t="s">
        <v>156</v>
      </c>
      <c r="EP581" s="1">
        <v>46036</v>
      </c>
      <c r="EU581" s="1">
        <v>46035</v>
      </c>
      <c r="EW581" s="1">
        <v>46031</v>
      </c>
    </row>
    <row r="582" spans="1:153" ht="246.5" x14ac:dyDescent="0.35">
      <c r="A582" t="str">
        <f>HYPERLINK("https://7lm.cvcrm.com.br/gestor/comercial/reservas/6538/administrar","6538")</f>
        <v>6538</v>
      </c>
      <c r="B582" t="s">
        <v>156</v>
      </c>
      <c r="C582" s="1">
        <v>46031</v>
      </c>
      <c r="D582" s="2">
        <v>0.77266203703703706</v>
      </c>
      <c r="E582" t="s">
        <v>294</v>
      </c>
      <c r="F582" t="s">
        <v>2451</v>
      </c>
      <c r="G582" t="s">
        <v>203</v>
      </c>
      <c r="H582" t="s">
        <v>391</v>
      </c>
      <c r="I582" t="s">
        <v>266</v>
      </c>
      <c r="J582">
        <v>1</v>
      </c>
      <c r="L582">
        <v>30061</v>
      </c>
      <c r="M582" t="s">
        <v>3460</v>
      </c>
      <c r="N582" s="1">
        <v>46126</v>
      </c>
      <c r="O582" s="2">
        <v>0.63807870370370368</v>
      </c>
      <c r="R582" t="str">
        <f>HYPERLINK("https://7lm.cvcrm.com.br/gestor/relatorios/associado/html?q[1|r.idreserva]=6538","PAULO RICARDO SILVA DE SOUSA")</f>
        <v>PAULO RICARDO SILVA DE SOUSA</v>
      </c>
      <c r="S582">
        <v>8503173123</v>
      </c>
      <c r="T582">
        <v>5561995279511</v>
      </c>
      <c r="V582" t="s">
        <v>3461</v>
      </c>
      <c r="W582" t="s">
        <v>163</v>
      </c>
      <c r="X582" t="s">
        <v>376</v>
      </c>
      <c r="Y582" t="s">
        <v>189</v>
      </c>
      <c r="Z582" t="s">
        <v>190</v>
      </c>
      <c r="AA582" t="s">
        <v>1229</v>
      </c>
      <c r="AB582" t="s">
        <v>3462</v>
      </c>
      <c r="AC582" t="s">
        <v>881</v>
      </c>
      <c r="AD582" t="s">
        <v>881</v>
      </c>
      <c r="AF582" t="s">
        <v>303</v>
      </c>
      <c r="AG582" t="s">
        <v>251</v>
      </c>
      <c r="AH582" s="3">
        <v>244933.04</v>
      </c>
      <c r="AI582" s="3">
        <v>244933.04</v>
      </c>
      <c r="AJ582" s="1">
        <v>46062</v>
      </c>
      <c r="AN582" t="s">
        <v>172</v>
      </c>
      <c r="AR582" s="7" t="s">
        <v>353</v>
      </c>
      <c r="AT582" t="s">
        <v>196</v>
      </c>
      <c r="AU582" t="s">
        <v>292</v>
      </c>
      <c r="AW582">
        <v>0</v>
      </c>
      <c r="AX582" s="1">
        <v>46064</v>
      </c>
      <c r="AY582" s="2">
        <v>0.60390046296296296</v>
      </c>
      <c r="AZ582">
        <v>179101</v>
      </c>
      <c r="BA582" s="1">
        <v>45995</v>
      </c>
      <c r="BC582" t="s">
        <v>0</v>
      </c>
      <c r="BD582" s="1">
        <v>46031</v>
      </c>
      <c r="BE582" t="s">
        <v>466</v>
      </c>
      <c r="BL582" s="4">
        <v>0</v>
      </c>
      <c r="BM582" s="1">
        <v>46788</v>
      </c>
      <c r="BN582" s="1">
        <v>46064</v>
      </c>
      <c r="BO582">
        <v>0</v>
      </c>
      <c r="BP582">
        <v>26578</v>
      </c>
      <c r="BQ582" t="s">
        <v>156</v>
      </c>
      <c r="BR582">
        <v>0</v>
      </c>
      <c r="BS582">
        <v>0</v>
      </c>
      <c r="BT582">
        <v>0</v>
      </c>
      <c r="BU582">
        <v>0</v>
      </c>
      <c r="BV582" s="3">
        <v>244933.04</v>
      </c>
      <c r="BX582">
        <v>0</v>
      </c>
      <c r="BZ582">
        <v>0</v>
      </c>
      <c r="CA582">
        <v>0</v>
      </c>
      <c r="CB582">
        <v>0</v>
      </c>
      <c r="CC582" s="3">
        <v>244933.04</v>
      </c>
      <c r="CD582" s="5">
        <v>0</v>
      </c>
      <c r="CF582" s="6">
        <v>46054</v>
      </c>
      <c r="CH582">
        <v>0</v>
      </c>
      <c r="CI582">
        <v>0</v>
      </c>
      <c r="CJ582">
        <v>0</v>
      </c>
      <c r="CK582">
        <v>0</v>
      </c>
      <c r="CL582">
        <v>0</v>
      </c>
      <c r="CM582">
        <v>0</v>
      </c>
      <c r="CN582">
        <v>0</v>
      </c>
      <c r="CO582">
        <v>0</v>
      </c>
      <c r="CP582">
        <v>0</v>
      </c>
      <c r="CQ582">
        <v>0</v>
      </c>
      <c r="CR582">
        <v>0</v>
      </c>
      <c r="CS582" t="s">
        <v>649</v>
      </c>
      <c r="CT582" t="s">
        <v>190</v>
      </c>
      <c r="CU582" t="s">
        <v>266</v>
      </c>
      <c r="CW582">
        <v>-48.421700000000001</v>
      </c>
      <c r="CZ582" s="1">
        <v>46031</v>
      </c>
      <c r="DA582" t="s">
        <v>172</v>
      </c>
      <c r="DB582" t="s">
        <v>172</v>
      </c>
      <c r="DC582" t="s">
        <v>172</v>
      </c>
      <c r="DD582" t="s">
        <v>172</v>
      </c>
      <c r="DG582" s="1">
        <v>46031</v>
      </c>
      <c r="DH582">
        <v>0</v>
      </c>
      <c r="DI582">
        <v>0</v>
      </c>
      <c r="DL582" t="s">
        <v>2473</v>
      </c>
      <c r="DM582" t="s">
        <v>172</v>
      </c>
      <c r="DN582" t="s">
        <v>201</v>
      </c>
      <c r="DV582" s="3">
        <v>244933.04</v>
      </c>
      <c r="DW582">
        <v>0</v>
      </c>
      <c r="DX582" s="3">
        <v>244933.04</v>
      </c>
      <c r="DY582">
        <v>0</v>
      </c>
      <c r="EF582" s="1">
        <v>46062</v>
      </c>
      <c r="EG582" s="1">
        <v>46058</v>
      </c>
      <c r="EK582" s="1">
        <v>46062</v>
      </c>
      <c r="EL582" s="1">
        <v>46062</v>
      </c>
      <c r="EM582" s="1">
        <v>46059</v>
      </c>
      <c r="EN582" t="s">
        <v>156</v>
      </c>
      <c r="EP582" s="1">
        <v>46059</v>
      </c>
      <c r="ER582" s="1">
        <v>46058</v>
      </c>
      <c r="ES582" t="s">
        <v>3463</v>
      </c>
      <c r="ET582" t="s">
        <v>3464</v>
      </c>
      <c r="EU582" s="1">
        <v>46043</v>
      </c>
    </row>
    <row r="583" spans="1:153" x14ac:dyDescent="0.35">
      <c r="A583" t="str">
        <f>HYPERLINK("https://7lm.cvcrm.com.br/gestor/comercial/reservas/6537/administrar","6537")</f>
        <v>6537</v>
      </c>
      <c r="B583" t="s">
        <v>156</v>
      </c>
      <c r="C583" s="1">
        <v>46031</v>
      </c>
      <c r="D583" s="2">
        <v>0.76462962962962966</v>
      </c>
      <c r="E583" t="s">
        <v>294</v>
      </c>
      <c r="F583" t="s">
        <v>458</v>
      </c>
      <c r="G583" t="s">
        <v>203</v>
      </c>
      <c r="H583" t="s">
        <v>528</v>
      </c>
      <c r="I583" t="s">
        <v>1267</v>
      </c>
      <c r="J583">
        <v>1</v>
      </c>
      <c r="L583">
        <v>20001</v>
      </c>
      <c r="M583" t="s">
        <v>3465</v>
      </c>
      <c r="N583" s="1">
        <v>46043</v>
      </c>
      <c r="O583" s="2">
        <v>0.60980324074074077</v>
      </c>
      <c r="R583" t="str">
        <f>HYPERLINK("https://7lm.cvcrm.com.br/gestor/relatorios/associado/html?q[1|r.idreserva]=6537","RUAN PABLO FERREIRA")</f>
        <v>RUAN PABLO FERREIRA</v>
      </c>
      <c r="S583">
        <v>15782933674</v>
      </c>
      <c r="T583">
        <v>5538999379040</v>
      </c>
      <c r="V583" t="s">
        <v>3466</v>
      </c>
      <c r="W583" t="s">
        <v>163</v>
      </c>
      <c r="X583" t="s">
        <v>3467</v>
      </c>
      <c r="Y583" t="s">
        <v>165</v>
      </c>
      <c r="Z583" t="s">
        <v>1470</v>
      </c>
      <c r="AA583" t="s">
        <v>1470</v>
      </c>
      <c r="AB583" t="s">
        <v>3468</v>
      </c>
      <c r="AC583" t="s">
        <v>2315</v>
      </c>
      <c r="AF583" t="s">
        <v>413</v>
      </c>
      <c r="AG583" t="s">
        <v>195</v>
      </c>
      <c r="AH583" s="3">
        <v>216520.98</v>
      </c>
      <c r="AI583" s="3">
        <v>216520.98</v>
      </c>
      <c r="AJ583" s="1">
        <v>46041</v>
      </c>
      <c r="AN583" t="s">
        <v>172</v>
      </c>
      <c r="AR583" t="s">
        <v>1203</v>
      </c>
      <c r="AT583" t="s">
        <v>196</v>
      </c>
      <c r="AU583" t="s">
        <v>1073</v>
      </c>
      <c r="AW583">
        <v>0</v>
      </c>
      <c r="AX583" s="1">
        <v>46052</v>
      </c>
      <c r="AY583" s="2">
        <v>0.49596064814814816</v>
      </c>
      <c r="AZ583">
        <v>145143</v>
      </c>
      <c r="BA583" s="1">
        <v>45670</v>
      </c>
      <c r="BC583" t="s">
        <v>0</v>
      </c>
      <c r="BD583" s="1">
        <v>46031</v>
      </c>
      <c r="BE583" t="s">
        <v>276</v>
      </c>
      <c r="BL583" s="4">
        <v>0</v>
      </c>
      <c r="BM583" s="1">
        <v>46572</v>
      </c>
      <c r="BN583" s="1">
        <v>46052</v>
      </c>
      <c r="BO583">
        <v>0</v>
      </c>
      <c r="BP583">
        <v>27004</v>
      </c>
      <c r="BQ583" t="s">
        <v>156</v>
      </c>
      <c r="BR583" s="3">
        <v>143047.07</v>
      </c>
      <c r="BS583" s="3">
        <v>14407</v>
      </c>
      <c r="BT583">
        <v>0</v>
      </c>
      <c r="BU583" s="3">
        <v>157454.07</v>
      </c>
      <c r="BV583" s="3">
        <v>216520.98</v>
      </c>
      <c r="BX583">
        <v>0</v>
      </c>
      <c r="BZ583">
        <v>0</v>
      </c>
      <c r="CA583">
        <v>0</v>
      </c>
      <c r="CB583">
        <v>0</v>
      </c>
      <c r="CC583" s="3">
        <v>216520.98</v>
      </c>
      <c r="CD583" s="5">
        <v>0</v>
      </c>
      <c r="CE583" t="s">
        <v>467</v>
      </c>
      <c r="CF583" s="6">
        <v>46023</v>
      </c>
      <c r="CH583">
        <v>0</v>
      </c>
      <c r="CI583">
        <v>0</v>
      </c>
      <c r="CJ583">
        <v>0</v>
      </c>
      <c r="CK583">
        <v>0</v>
      </c>
      <c r="CL583">
        <v>0</v>
      </c>
      <c r="CM583">
        <v>0</v>
      </c>
      <c r="CN583">
        <v>0</v>
      </c>
      <c r="CO583">
        <v>0</v>
      </c>
      <c r="CP583">
        <v>0</v>
      </c>
      <c r="CQ583">
        <v>0</v>
      </c>
      <c r="CR583">
        <v>0</v>
      </c>
      <c r="CS583" t="s">
        <v>360</v>
      </c>
      <c r="CT583" t="s">
        <v>214</v>
      </c>
      <c r="CU583" t="s">
        <v>1267</v>
      </c>
      <c r="CW583">
        <v>379.36369999999999</v>
      </c>
      <c r="CZ583" s="1">
        <v>46031</v>
      </c>
      <c r="DA583" t="s">
        <v>172</v>
      </c>
      <c r="DB583" t="s">
        <v>172</v>
      </c>
      <c r="DC583" t="s">
        <v>172</v>
      </c>
      <c r="DD583" t="s">
        <v>172</v>
      </c>
      <c r="DG583" s="1">
        <v>46031</v>
      </c>
      <c r="DH583">
        <v>0</v>
      </c>
      <c r="DI583">
        <v>0</v>
      </c>
      <c r="DJ583" s="1">
        <v>46052</v>
      </c>
      <c r="DL583" t="s">
        <v>200</v>
      </c>
      <c r="DM583" t="s">
        <v>172</v>
      </c>
      <c r="DN583" t="s">
        <v>201</v>
      </c>
      <c r="DV583" s="3">
        <v>216520.98</v>
      </c>
      <c r="DW583">
        <v>0</v>
      </c>
      <c r="DX583" s="3">
        <v>216520.98</v>
      </c>
      <c r="DY583">
        <v>0</v>
      </c>
      <c r="EF583" s="1">
        <v>46043</v>
      </c>
      <c r="EG583" s="1">
        <v>46041</v>
      </c>
      <c r="EK583" s="1">
        <v>46043</v>
      </c>
      <c r="EM583" s="1">
        <v>46041</v>
      </c>
      <c r="EN583" t="s">
        <v>156</v>
      </c>
      <c r="EP583" s="1">
        <v>46038</v>
      </c>
      <c r="ET583" t="s">
        <v>1074</v>
      </c>
      <c r="EU583" s="1">
        <v>46038</v>
      </c>
      <c r="EW583" s="1">
        <v>46031</v>
      </c>
    </row>
    <row r="584" spans="1:153" ht="391.5" x14ac:dyDescent="0.35">
      <c r="A584" t="str">
        <f>HYPERLINK("https://7lm.cvcrm.com.br/gestor/comercial/reservas/6536/administrar","6536")</f>
        <v>6536</v>
      </c>
      <c r="B584" t="s">
        <v>172</v>
      </c>
      <c r="C584" s="1">
        <v>46031</v>
      </c>
      <c r="D584" s="2">
        <v>0.74754629629629632</v>
      </c>
      <c r="E584" t="s">
        <v>527</v>
      </c>
      <c r="F584" t="s">
        <v>957</v>
      </c>
      <c r="G584" t="s">
        <v>159</v>
      </c>
      <c r="H584" t="s">
        <v>592</v>
      </c>
      <c r="I584" t="s">
        <v>2632</v>
      </c>
      <c r="J584">
        <v>1</v>
      </c>
      <c r="L584">
        <v>30121</v>
      </c>
      <c r="M584" t="s">
        <v>2633</v>
      </c>
      <c r="R584" t="str">
        <f>HYPERLINK("https://7lm.cvcrm.com.br/gestor/relatorios/associado/html?q[1|r.idreserva]=6536","DANIELA RODRIGUES DA SILVA PEREIRA")</f>
        <v>DANIELA RODRIGUES DA SILVA PEREIRA</v>
      </c>
      <c r="S584">
        <v>7519757102</v>
      </c>
      <c r="T584">
        <v>5561998335449</v>
      </c>
      <c r="V584" t="s">
        <v>3469</v>
      </c>
      <c r="W584" t="s">
        <v>187</v>
      </c>
      <c r="X584" t="s">
        <v>826</v>
      </c>
      <c r="Y584" t="s">
        <v>189</v>
      </c>
      <c r="AA584" t="s">
        <v>3470</v>
      </c>
      <c r="AB584" t="s">
        <v>3471</v>
      </c>
      <c r="AC584" t="s">
        <v>1104</v>
      </c>
      <c r="AF584" t="s">
        <v>303</v>
      </c>
      <c r="AG584" t="s">
        <v>251</v>
      </c>
      <c r="AH584" s="3">
        <v>245001.2</v>
      </c>
      <c r="AI584" s="3">
        <v>245001.2</v>
      </c>
      <c r="AJ584" s="1">
        <v>46062</v>
      </c>
      <c r="AN584" t="s">
        <v>172</v>
      </c>
      <c r="AO584" t="s">
        <v>1334</v>
      </c>
      <c r="AR584" s="7" t="s">
        <v>3472</v>
      </c>
      <c r="AT584" t="s">
        <v>196</v>
      </c>
      <c r="AU584" t="s">
        <v>292</v>
      </c>
      <c r="AW584">
        <v>0</v>
      </c>
      <c r="AX584" s="1">
        <v>46043</v>
      </c>
      <c r="AY584" s="2">
        <v>0.58614583333333337</v>
      </c>
      <c r="AZ584">
        <v>182933</v>
      </c>
      <c r="BA584" s="1">
        <v>46030</v>
      </c>
      <c r="BC584" t="s">
        <v>0</v>
      </c>
      <c r="BD584" s="1">
        <v>46031</v>
      </c>
      <c r="BE584" t="s">
        <v>176</v>
      </c>
      <c r="BL584" s="4">
        <v>0</v>
      </c>
      <c r="BM584" s="1">
        <v>47031</v>
      </c>
      <c r="BO584">
        <v>0</v>
      </c>
      <c r="BP584">
        <v>27281</v>
      </c>
      <c r="BQ584" t="s">
        <v>156</v>
      </c>
      <c r="BR584" s="3">
        <v>125494.19</v>
      </c>
      <c r="BS584" s="3">
        <v>33987</v>
      </c>
      <c r="BT584">
        <v>0</v>
      </c>
      <c r="BU584" s="3">
        <v>159481.19</v>
      </c>
      <c r="BV584" s="3">
        <v>245001.2</v>
      </c>
      <c r="BX584">
        <v>0</v>
      </c>
      <c r="BZ584">
        <v>0</v>
      </c>
      <c r="CA584">
        <v>0</v>
      </c>
      <c r="CB584">
        <v>0</v>
      </c>
      <c r="CC584" s="3">
        <v>245001.2</v>
      </c>
      <c r="CD584" s="5">
        <v>0</v>
      </c>
      <c r="CF584" s="6">
        <v>46023</v>
      </c>
      <c r="CH584">
        <v>0</v>
      </c>
      <c r="CI584">
        <v>0</v>
      </c>
      <c r="CJ584">
        <v>0</v>
      </c>
      <c r="CK584">
        <v>0</v>
      </c>
      <c r="CL584">
        <v>0</v>
      </c>
      <c r="CM584">
        <v>0</v>
      </c>
      <c r="CN584">
        <v>0</v>
      </c>
      <c r="CO584">
        <v>0</v>
      </c>
      <c r="CP584">
        <v>0</v>
      </c>
      <c r="CQ584">
        <v>0</v>
      </c>
      <c r="CR584">
        <v>0</v>
      </c>
      <c r="CT584" t="s">
        <v>190</v>
      </c>
      <c r="CU584" t="s">
        <v>2632</v>
      </c>
      <c r="CW584">
        <v>0</v>
      </c>
      <c r="CZ584" s="1">
        <v>46031</v>
      </c>
      <c r="DA584" t="s">
        <v>172</v>
      </c>
      <c r="DB584" t="s">
        <v>172</v>
      </c>
      <c r="DC584" t="s">
        <v>172</v>
      </c>
      <c r="DD584" t="s">
        <v>172</v>
      </c>
      <c r="DG584" s="1">
        <v>46031</v>
      </c>
      <c r="DH584">
        <v>0</v>
      </c>
      <c r="DI584">
        <v>0</v>
      </c>
      <c r="DL584" t="s">
        <v>963</v>
      </c>
      <c r="DM584" t="s">
        <v>172</v>
      </c>
      <c r="DN584" t="s">
        <v>201</v>
      </c>
      <c r="DP584" s="8">
        <v>0.01</v>
      </c>
      <c r="DV584" s="3">
        <v>245001.2</v>
      </c>
      <c r="DW584">
        <v>0</v>
      </c>
      <c r="DX584" s="3">
        <v>245001.2</v>
      </c>
      <c r="DY584">
        <v>0</v>
      </c>
      <c r="EN584" t="s">
        <v>537</v>
      </c>
      <c r="ET584" t="s">
        <v>3473</v>
      </c>
      <c r="EW584" s="1">
        <v>46031</v>
      </c>
    </row>
    <row r="585" spans="1:153" ht="246.5" x14ac:dyDescent="0.35">
      <c r="A585" t="str">
        <f>HYPERLINK("https://7lm.cvcrm.com.br/gestor/comercial/reservas/6535/administrar","6535")</f>
        <v>6535</v>
      </c>
      <c r="B585" t="s">
        <v>156</v>
      </c>
      <c r="C585" s="1">
        <v>46031</v>
      </c>
      <c r="D585" s="2">
        <v>0.72091435185185182</v>
      </c>
      <c r="E585" t="s">
        <v>294</v>
      </c>
      <c r="F585" t="s">
        <v>2451</v>
      </c>
      <c r="G585" t="s">
        <v>203</v>
      </c>
      <c r="H585" t="s">
        <v>336</v>
      </c>
      <c r="I585" t="s">
        <v>803</v>
      </c>
      <c r="J585">
        <v>1</v>
      </c>
      <c r="L585">
        <v>30061</v>
      </c>
      <c r="M585" t="s">
        <v>3474</v>
      </c>
      <c r="N585" s="1">
        <v>46055</v>
      </c>
      <c r="O585" s="2">
        <v>0.50541666666666663</v>
      </c>
      <c r="R585" t="str">
        <f>HYPERLINK("https://7lm.cvcrm.com.br/gestor/relatorios/associado/html?q[1|r.idreserva]=6535","LEANDRO BARBOSA DOS SANTOS GOMES")</f>
        <v>LEANDRO BARBOSA DOS SANTOS GOMES</v>
      </c>
      <c r="S585">
        <v>9794805157</v>
      </c>
      <c r="T585">
        <v>5561999736635</v>
      </c>
      <c r="V585" t="s">
        <v>3475</v>
      </c>
      <c r="W585" t="s">
        <v>163</v>
      </c>
      <c r="X585" t="s">
        <v>3476</v>
      </c>
      <c r="Y585" t="s">
        <v>189</v>
      </c>
      <c r="Z585" t="s">
        <v>190</v>
      </c>
      <c r="AA585" t="s">
        <v>2264</v>
      </c>
      <c r="AB585" t="s">
        <v>3477</v>
      </c>
      <c r="AC585" t="s">
        <v>1860</v>
      </c>
      <c r="AD585" t="s">
        <v>1861</v>
      </c>
      <c r="AF585" t="s">
        <v>250</v>
      </c>
      <c r="AG585" t="s">
        <v>251</v>
      </c>
      <c r="AH585" s="3">
        <v>237652.67</v>
      </c>
      <c r="AI585" s="3">
        <v>237652.67</v>
      </c>
      <c r="AJ585" s="1">
        <v>46031</v>
      </c>
      <c r="AN585" t="s">
        <v>172</v>
      </c>
      <c r="AR585" s="7" t="s">
        <v>353</v>
      </c>
      <c r="AU585" t="s">
        <v>175</v>
      </c>
      <c r="AW585">
        <v>0</v>
      </c>
      <c r="AX585" s="1">
        <v>46055</v>
      </c>
      <c r="AY585" s="2">
        <v>0.51001157407407405</v>
      </c>
      <c r="AZ585">
        <v>183173</v>
      </c>
      <c r="BA585" s="1">
        <v>46031</v>
      </c>
      <c r="BC585" t="s">
        <v>0</v>
      </c>
      <c r="BD585" s="1">
        <v>46031</v>
      </c>
      <c r="BE585" t="s">
        <v>175</v>
      </c>
      <c r="BL585" s="4">
        <v>0</v>
      </c>
      <c r="BM585" s="1">
        <v>46788</v>
      </c>
      <c r="BN585" s="1">
        <v>46053</v>
      </c>
      <c r="BO585">
        <v>0</v>
      </c>
      <c r="BP585">
        <v>27332</v>
      </c>
      <c r="BQ585" t="s">
        <v>156</v>
      </c>
      <c r="BR585">
        <v>0</v>
      </c>
      <c r="BS585">
        <v>0</v>
      </c>
      <c r="BT585">
        <v>0</v>
      </c>
      <c r="BU585">
        <v>0</v>
      </c>
      <c r="BV585" s="3">
        <v>237652.67</v>
      </c>
      <c r="BX585">
        <v>0</v>
      </c>
      <c r="BZ585">
        <v>0</v>
      </c>
      <c r="CA585">
        <v>0</v>
      </c>
      <c r="CB585">
        <v>0</v>
      </c>
      <c r="CC585" s="3">
        <v>237652.67</v>
      </c>
      <c r="CD585" s="5">
        <v>0</v>
      </c>
      <c r="CF585" s="6">
        <v>46023</v>
      </c>
      <c r="CH585">
        <v>0</v>
      </c>
      <c r="CI585">
        <v>0</v>
      </c>
      <c r="CJ585">
        <v>0</v>
      </c>
      <c r="CK585">
        <v>0</v>
      </c>
      <c r="CL585">
        <v>0</v>
      </c>
      <c r="CM585">
        <v>0</v>
      </c>
      <c r="CN585">
        <v>0</v>
      </c>
      <c r="CO585">
        <v>0</v>
      </c>
      <c r="CP585">
        <v>0</v>
      </c>
      <c r="CQ585">
        <v>0</v>
      </c>
      <c r="CR585">
        <v>0</v>
      </c>
      <c r="CS585" t="s">
        <v>649</v>
      </c>
      <c r="CT585" t="s">
        <v>190</v>
      </c>
      <c r="CU585" t="s">
        <v>803</v>
      </c>
      <c r="CW585">
        <v>455.85520000000002</v>
      </c>
      <c r="CZ585" s="1">
        <v>46031</v>
      </c>
      <c r="DA585" t="s">
        <v>172</v>
      </c>
      <c r="DB585" t="s">
        <v>172</v>
      </c>
      <c r="DC585" t="s">
        <v>172</v>
      </c>
      <c r="DD585" t="s">
        <v>172</v>
      </c>
      <c r="DF585" t="s">
        <v>495</v>
      </c>
      <c r="DG585" s="1">
        <v>46031</v>
      </c>
      <c r="DH585">
        <v>0</v>
      </c>
      <c r="DI585">
        <v>0</v>
      </c>
      <c r="DJ585" s="1">
        <v>46055</v>
      </c>
      <c r="DL585" t="s">
        <v>200</v>
      </c>
      <c r="DM585" t="s">
        <v>172</v>
      </c>
      <c r="DN585" t="s">
        <v>201</v>
      </c>
      <c r="DV585" s="3">
        <v>237652.67</v>
      </c>
      <c r="DW585">
        <v>0</v>
      </c>
      <c r="DX585" s="3">
        <v>237652.67</v>
      </c>
      <c r="DY585">
        <v>0</v>
      </c>
      <c r="EG585" s="1">
        <v>46043</v>
      </c>
      <c r="EN585" t="s">
        <v>156</v>
      </c>
      <c r="EP585" s="1">
        <v>46045</v>
      </c>
      <c r="ER585" s="1">
        <v>46042</v>
      </c>
      <c r="ES585" t="s">
        <v>3478</v>
      </c>
      <c r="EU585" s="1">
        <v>46042</v>
      </c>
      <c r="EW585" s="1">
        <v>46034</v>
      </c>
    </row>
    <row r="586" spans="1:153" ht="43.5" x14ac:dyDescent="0.35">
      <c r="A586" t="str">
        <f>HYPERLINK("https://7lm.cvcrm.com.br/gestor/comercial/reservas/6534/administrar","6534")</f>
        <v>6534</v>
      </c>
      <c r="B586" t="s">
        <v>156</v>
      </c>
      <c r="C586" s="1">
        <v>46031</v>
      </c>
      <c r="D586" s="2">
        <v>0.68443287037037037</v>
      </c>
      <c r="E586" t="s">
        <v>294</v>
      </c>
      <c r="F586" t="s">
        <v>202</v>
      </c>
      <c r="G586" t="s">
        <v>203</v>
      </c>
      <c r="H586" t="s">
        <v>204</v>
      </c>
      <c r="I586" t="s">
        <v>1387</v>
      </c>
      <c r="J586">
        <v>1</v>
      </c>
      <c r="L586">
        <v>20031</v>
      </c>
      <c r="M586" t="s">
        <v>3479</v>
      </c>
      <c r="N586" s="1">
        <v>46049</v>
      </c>
      <c r="O586" s="2">
        <v>0.63844907407407403</v>
      </c>
      <c r="R586" t="str">
        <f>HYPERLINK("https://7lm.cvcrm.com.br/gestor/relatorios/associado/html?q[1|r.idreserva]=6534","ELLEN CHRISLANE ROCHA DE OLIVEIRA")</f>
        <v>ELLEN CHRISLANE ROCHA DE OLIVEIRA</v>
      </c>
      <c r="S586">
        <v>9689949110</v>
      </c>
      <c r="T586">
        <v>5561998912979</v>
      </c>
      <c r="V586" t="s">
        <v>3480</v>
      </c>
      <c r="W586" t="s">
        <v>187</v>
      </c>
      <c r="X586" t="s">
        <v>3481</v>
      </c>
      <c r="Y586" t="s">
        <v>189</v>
      </c>
      <c r="Z586" t="s">
        <v>214</v>
      </c>
      <c r="AA586" t="s">
        <v>3482</v>
      </c>
      <c r="AB586" t="s">
        <v>3483</v>
      </c>
      <c r="AC586" t="s">
        <v>2149</v>
      </c>
      <c r="AF586" t="s">
        <v>399</v>
      </c>
      <c r="AG586" t="s">
        <v>195</v>
      </c>
      <c r="AH586" s="3">
        <v>212999.37</v>
      </c>
      <c r="AI586" s="3">
        <v>212999.37</v>
      </c>
      <c r="AJ586" s="1">
        <v>46062</v>
      </c>
      <c r="AN586" t="s">
        <v>172</v>
      </c>
      <c r="AR586" s="7" t="s">
        <v>304</v>
      </c>
      <c r="AT586" t="s">
        <v>196</v>
      </c>
      <c r="AU586" t="s">
        <v>2153</v>
      </c>
      <c r="AW586">
        <v>0</v>
      </c>
      <c r="AX586" s="1">
        <v>46052</v>
      </c>
      <c r="AY586" s="2">
        <v>0.50358796296296293</v>
      </c>
      <c r="AZ586">
        <v>174210</v>
      </c>
      <c r="BA586" s="1">
        <v>45958</v>
      </c>
      <c r="BC586" t="s">
        <v>0</v>
      </c>
      <c r="BD586" s="1">
        <v>46031</v>
      </c>
      <c r="BE586" t="s">
        <v>786</v>
      </c>
      <c r="BL586" s="4">
        <v>0</v>
      </c>
      <c r="BM586" s="1">
        <v>46808</v>
      </c>
      <c r="BN586" s="1">
        <v>46052</v>
      </c>
      <c r="BO586">
        <v>0</v>
      </c>
      <c r="BP586">
        <v>27275</v>
      </c>
      <c r="BQ586" t="s">
        <v>156</v>
      </c>
      <c r="BR586" s="3">
        <v>96837.5</v>
      </c>
      <c r="BS586" s="3">
        <v>55000</v>
      </c>
      <c r="BT586">
        <v>0</v>
      </c>
      <c r="BU586" s="3">
        <v>151837.5</v>
      </c>
      <c r="BV586" s="3">
        <v>212999.37</v>
      </c>
      <c r="BX586">
        <v>0</v>
      </c>
      <c r="BZ586">
        <v>0</v>
      </c>
      <c r="CA586">
        <v>0</v>
      </c>
      <c r="CB586">
        <v>0</v>
      </c>
      <c r="CC586" s="3">
        <v>212999.37</v>
      </c>
      <c r="CD586" s="5">
        <v>0</v>
      </c>
      <c r="CF586" s="6">
        <v>46023</v>
      </c>
      <c r="CH586">
        <v>0</v>
      </c>
      <c r="CI586">
        <v>0</v>
      </c>
      <c r="CJ586">
        <v>0</v>
      </c>
      <c r="CK586">
        <v>0</v>
      </c>
      <c r="CL586">
        <v>0</v>
      </c>
      <c r="CM586">
        <v>0</v>
      </c>
      <c r="CN586">
        <v>0</v>
      </c>
      <c r="CO586">
        <v>0</v>
      </c>
      <c r="CP586">
        <v>0</v>
      </c>
      <c r="CQ586">
        <v>0</v>
      </c>
      <c r="CR586">
        <v>0</v>
      </c>
      <c r="CS586" t="s">
        <v>360</v>
      </c>
      <c r="CT586" t="s">
        <v>214</v>
      </c>
      <c r="CU586" t="s">
        <v>1387</v>
      </c>
      <c r="CW586">
        <v>364.66699999999997</v>
      </c>
      <c r="CZ586" s="1">
        <v>46031</v>
      </c>
      <c r="DA586" t="s">
        <v>172</v>
      </c>
      <c r="DB586" t="s">
        <v>172</v>
      </c>
      <c r="DC586" t="s">
        <v>172</v>
      </c>
      <c r="DD586" t="s">
        <v>172</v>
      </c>
      <c r="DG586" s="1">
        <v>46031</v>
      </c>
      <c r="DH586">
        <v>0</v>
      </c>
      <c r="DI586">
        <v>0</v>
      </c>
      <c r="DJ586" s="1">
        <v>46052</v>
      </c>
      <c r="DL586" t="s">
        <v>215</v>
      </c>
      <c r="DM586" t="s">
        <v>172</v>
      </c>
      <c r="DN586" t="s">
        <v>201</v>
      </c>
      <c r="DV586" s="3">
        <v>212999.37</v>
      </c>
      <c r="DW586">
        <v>0</v>
      </c>
      <c r="DX586" s="3">
        <v>212999.37</v>
      </c>
      <c r="DY586">
        <v>0</v>
      </c>
      <c r="EF586" s="1">
        <v>46049</v>
      </c>
      <c r="EG586" s="1">
        <v>46045</v>
      </c>
      <c r="EK586" s="1">
        <v>46049</v>
      </c>
      <c r="EL586" s="1">
        <v>46049</v>
      </c>
      <c r="EM586" s="1">
        <v>46046</v>
      </c>
      <c r="EN586" t="s">
        <v>156</v>
      </c>
      <c r="EP586" s="1">
        <v>46045</v>
      </c>
      <c r="EU586" s="1">
        <v>46048</v>
      </c>
      <c r="EW586" s="1">
        <v>46032</v>
      </c>
    </row>
    <row r="587" spans="1:153" x14ac:dyDescent="0.35">
      <c r="A587" t="str">
        <f>HYPERLINK("https://7lm.cvcrm.com.br/gestor/comercial/reservas/6533/administrar","6533")</f>
        <v>6533</v>
      </c>
      <c r="B587" t="s">
        <v>156</v>
      </c>
      <c r="C587" s="1">
        <v>46031</v>
      </c>
      <c r="D587" s="2">
        <v>0.62153935185185183</v>
      </c>
      <c r="E587" t="s">
        <v>294</v>
      </c>
      <c r="F587" t="s">
        <v>2338</v>
      </c>
      <c r="G587" t="s">
        <v>2339</v>
      </c>
      <c r="H587" t="s">
        <v>2340</v>
      </c>
      <c r="I587">
        <v>203</v>
      </c>
      <c r="J587">
        <v>72.11</v>
      </c>
      <c r="K587">
        <v>8035</v>
      </c>
      <c r="L587">
        <v>10061</v>
      </c>
      <c r="M587" t="s">
        <v>3484</v>
      </c>
      <c r="N587" s="1">
        <v>46105</v>
      </c>
      <c r="O587" s="2">
        <v>0.61848379629629635</v>
      </c>
      <c r="R587" t="str">
        <f>HYPERLINK("https://7lm.cvcrm.com.br/gestor/relatorios/associado/html?q[1|r.idreserva]=6533","KATYUSCIA SIRUGI BELLUSCI")</f>
        <v>KATYUSCIA SIRUGI BELLUSCI</v>
      </c>
      <c r="S587">
        <v>98745697191</v>
      </c>
      <c r="T587">
        <v>5561998770330</v>
      </c>
      <c r="V587" t="s">
        <v>3485</v>
      </c>
      <c r="W587" t="s">
        <v>187</v>
      </c>
      <c r="X587" t="s">
        <v>3486</v>
      </c>
      <c r="Y587" t="s">
        <v>165</v>
      </c>
      <c r="Z587" t="s">
        <v>257</v>
      </c>
      <c r="AA587" t="s">
        <v>3487</v>
      </c>
      <c r="AB587" t="s">
        <v>3488</v>
      </c>
      <c r="AC587" t="s">
        <v>3489</v>
      </c>
      <c r="AD587" t="s">
        <v>3490</v>
      </c>
      <c r="AF587" t="s">
        <v>2345</v>
      </c>
      <c r="AG587" t="s">
        <v>284</v>
      </c>
      <c r="AH587" s="3">
        <v>881000</v>
      </c>
      <c r="AI587" s="3">
        <v>881000</v>
      </c>
      <c r="AJ587" s="1">
        <v>46037</v>
      </c>
      <c r="AN587" t="s">
        <v>172</v>
      </c>
      <c r="AT587" t="s">
        <v>261</v>
      </c>
      <c r="AU587" t="s">
        <v>175</v>
      </c>
      <c r="AW587">
        <v>0</v>
      </c>
      <c r="AX587" s="1">
        <v>46044</v>
      </c>
      <c r="AY587" s="2">
        <v>0.44358796296296299</v>
      </c>
      <c r="AZ587">
        <v>183174</v>
      </c>
      <c r="BA587" s="1">
        <v>46031</v>
      </c>
      <c r="BC587" t="s">
        <v>0</v>
      </c>
      <c r="BD587" s="1">
        <v>46031</v>
      </c>
      <c r="BE587" t="s">
        <v>175</v>
      </c>
      <c r="BL587" s="4">
        <v>0</v>
      </c>
      <c r="BM587" s="1">
        <v>44562</v>
      </c>
      <c r="BN587" s="1">
        <v>46044</v>
      </c>
      <c r="BO587">
        <v>0</v>
      </c>
      <c r="BP587">
        <v>27320</v>
      </c>
      <c r="BQ587" t="s">
        <v>156</v>
      </c>
      <c r="BR587" s="3">
        <v>712000</v>
      </c>
      <c r="BS587">
        <v>0</v>
      </c>
      <c r="BT587">
        <v>0</v>
      </c>
      <c r="BU587" s="3">
        <v>712000</v>
      </c>
      <c r="BV587" s="3">
        <v>881000</v>
      </c>
      <c r="BX587">
        <v>0</v>
      </c>
      <c r="BZ587">
        <v>0</v>
      </c>
      <c r="CA587">
        <v>0</v>
      </c>
      <c r="CB587">
        <v>0</v>
      </c>
      <c r="CC587" s="3">
        <v>881000</v>
      </c>
      <c r="CD587" s="5">
        <v>0</v>
      </c>
      <c r="CF587" s="6">
        <v>46023</v>
      </c>
      <c r="CH587">
        <v>0</v>
      </c>
      <c r="CI587">
        <v>0</v>
      </c>
      <c r="CJ587">
        <v>0</v>
      </c>
      <c r="CK587">
        <v>0</v>
      </c>
      <c r="CL587">
        <v>0</v>
      </c>
      <c r="CM587">
        <v>0</v>
      </c>
      <c r="CN587">
        <v>0</v>
      </c>
      <c r="CO587">
        <v>0</v>
      </c>
      <c r="CP587">
        <v>0</v>
      </c>
      <c r="CQ587">
        <v>0</v>
      </c>
      <c r="CR587">
        <v>0</v>
      </c>
      <c r="CS587" t="s">
        <v>649</v>
      </c>
      <c r="CT587" t="s">
        <v>166</v>
      </c>
      <c r="CU587">
        <v>203</v>
      </c>
      <c r="CW587">
        <v>-76.370800000000003</v>
      </c>
      <c r="CZ587" s="1">
        <v>46031</v>
      </c>
      <c r="DA587" t="s">
        <v>172</v>
      </c>
      <c r="DB587" t="s">
        <v>172</v>
      </c>
      <c r="DC587" t="s">
        <v>172</v>
      </c>
      <c r="DD587" t="s">
        <v>172</v>
      </c>
      <c r="DG587" s="1">
        <v>46031</v>
      </c>
      <c r="DH587">
        <v>0</v>
      </c>
      <c r="DI587">
        <v>0</v>
      </c>
      <c r="DJ587" s="1">
        <v>46044</v>
      </c>
      <c r="DL587" t="s">
        <v>263</v>
      </c>
      <c r="DM587" t="s">
        <v>172</v>
      </c>
      <c r="DN587" t="s">
        <v>180</v>
      </c>
      <c r="DV587" s="3">
        <v>881000</v>
      </c>
      <c r="DW587">
        <v>0</v>
      </c>
      <c r="DX587" s="3">
        <v>881000</v>
      </c>
      <c r="DY587">
        <v>0</v>
      </c>
    </row>
    <row r="588" spans="1:153" ht="304.5" x14ac:dyDescent="0.35">
      <c r="A588" t="str">
        <f>HYPERLINK("https://7lm.cvcrm.com.br/gestor/comercial/reservas/6532/administrar","6532")</f>
        <v>6532</v>
      </c>
      <c r="B588" t="s">
        <v>172</v>
      </c>
      <c r="C588" s="1">
        <v>46031</v>
      </c>
      <c r="D588" s="2">
        <v>0.61335648148148147</v>
      </c>
      <c r="E588" t="s">
        <v>527</v>
      </c>
      <c r="F588" t="s">
        <v>458</v>
      </c>
      <c r="G588" t="s">
        <v>203</v>
      </c>
      <c r="H588" t="s">
        <v>306</v>
      </c>
      <c r="I588" t="s">
        <v>1793</v>
      </c>
      <c r="J588">
        <v>1</v>
      </c>
      <c r="L588">
        <v>20001</v>
      </c>
      <c r="M588" t="s">
        <v>1794</v>
      </c>
      <c r="R588" t="str">
        <f>HYPERLINK("https://7lm.cvcrm.com.br/gestor/relatorios/associado/html?q[1|r.idreserva]=6532","ARIANE RAMOS GOMES")</f>
        <v>ARIANE RAMOS GOMES</v>
      </c>
      <c r="S588">
        <v>12478516640</v>
      </c>
      <c r="T588">
        <v>5561998371609</v>
      </c>
      <c r="V588" t="s">
        <v>3491</v>
      </c>
      <c r="W588" t="s">
        <v>187</v>
      </c>
      <c r="X588" t="s">
        <v>3492</v>
      </c>
      <c r="Y588" t="s">
        <v>165</v>
      </c>
      <c r="Z588" t="s">
        <v>238</v>
      </c>
      <c r="AA588" t="s">
        <v>812</v>
      </c>
      <c r="AB588" t="s">
        <v>3493</v>
      </c>
      <c r="AC588" t="s">
        <v>1044</v>
      </c>
      <c r="AD588" t="s">
        <v>1045</v>
      </c>
      <c r="AF588" t="s">
        <v>212</v>
      </c>
      <c r="AG588" t="s">
        <v>284</v>
      </c>
      <c r="AH588" s="3">
        <v>225889.68</v>
      </c>
      <c r="AI588" s="3">
        <v>225889.68</v>
      </c>
      <c r="AJ588" s="1">
        <v>46096</v>
      </c>
      <c r="AN588" t="s">
        <v>172</v>
      </c>
      <c r="AO588" t="s">
        <v>816</v>
      </c>
      <c r="AR588" s="7" t="s">
        <v>3494</v>
      </c>
      <c r="AT588" t="s">
        <v>196</v>
      </c>
      <c r="AU588" t="s">
        <v>175</v>
      </c>
      <c r="AW588">
        <v>0</v>
      </c>
      <c r="AX588" s="1">
        <v>46065</v>
      </c>
      <c r="AY588" s="2">
        <v>0.40228009259259262</v>
      </c>
      <c r="AZ588">
        <v>102180</v>
      </c>
      <c r="BA588" s="1">
        <v>45288</v>
      </c>
      <c r="BB588" s="1">
        <v>46031</v>
      </c>
      <c r="BC588" t="s">
        <v>0</v>
      </c>
      <c r="BD588" s="1">
        <v>46031</v>
      </c>
      <c r="BE588" t="s">
        <v>317</v>
      </c>
      <c r="BL588" s="4">
        <v>0</v>
      </c>
      <c r="BM588" s="1">
        <v>46572</v>
      </c>
      <c r="BO588">
        <v>0</v>
      </c>
      <c r="BP588">
        <v>27318</v>
      </c>
      <c r="BQ588" t="s">
        <v>156</v>
      </c>
      <c r="BR588" s="3">
        <v>171281.68</v>
      </c>
      <c r="BS588" s="3">
        <v>2131</v>
      </c>
      <c r="BT588">
        <v>0</v>
      </c>
      <c r="BU588" s="3">
        <v>173412.68</v>
      </c>
      <c r="BV588" s="3">
        <v>225889.68</v>
      </c>
      <c r="BX588">
        <v>0</v>
      </c>
      <c r="BZ588">
        <v>0</v>
      </c>
      <c r="CA588">
        <v>0</v>
      </c>
      <c r="CB588">
        <v>0</v>
      </c>
      <c r="CC588" s="3">
        <v>225889.68</v>
      </c>
      <c r="CD588" s="5">
        <v>0</v>
      </c>
      <c r="CE588" t="s">
        <v>467</v>
      </c>
      <c r="CF588" s="6">
        <v>46054</v>
      </c>
      <c r="CH588">
        <v>0</v>
      </c>
      <c r="CI588">
        <v>0</v>
      </c>
      <c r="CJ588">
        <v>0</v>
      </c>
      <c r="CK588">
        <v>0</v>
      </c>
      <c r="CL588">
        <v>0</v>
      </c>
      <c r="CM588">
        <v>0</v>
      </c>
      <c r="CN588">
        <v>0</v>
      </c>
      <c r="CO588">
        <v>0</v>
      </c>
      <c r="CP588">
        <v>0</v>
      </c>
      <c r="CQ588">
        <v>0</v>
      </c>
      <c r="CR588">
        <v>0</v>
      </c>
      <c r="CT588" t="s">
        <v>214</v>
      </c>
      <c r="CU588" t="s">
        <v>1793</v>
      </c>
      <c r="CW588">
        <v>0</v>
      </c>
      <c r="CZ588" s="1">
        <v>46031</v>
      </c>
      <c r="DA588" t="s">
        <v>172</v>
      </c>
      <c r="DB588" t="s">
        <v>172</v>
      </c>
      <c r="DC588" t="s">
        <v>172</v>
      </c>
      <c r="DD588" t="s">
        <v>172</v>
      </c>
      <c r="DG588" s="1">
        <v>46031</v>
      </c>
      <c r="DH588">
        <v>0</v>
      </c>
      <c r="DI588">
        <v>0</v>
      </c>
      <c r="DL588" t="s">
        <v>200</v>
      </c>
      <c r="DM588" t="s">
        <v>172</v>
      </c>
      <c r="DN588" t="s">
        <v>201</v>
      </c>
      <c r="DV588" s="3">
        <v>225889.68</v>
      </c>
      <c r="DW588">
        <v>0</v>
      </c>
      <c r="DX588" s="3">
        <v>225889.68</v>
      </c>
      <c r="DY588">
        <v>0</v>
      </c>
      <c r="EN588" t="s">
        <v>537</v>
      </c>
      <c r="EU588" s="1">
        <v>46071</v>
      </c>
      <c r="EW588" s="1">
        <v>46031</v>
      </c>
    </row>
    <row r="589" spans="1:153" ht="246.5" x14ac:dyDescent="0.35">
      <c r="A589" t="str">
        <f>HYPERLINK("https://7lm.cvcrm.com.br/gestor/comercial/reservas/6531/administrar","6531")</f>
        <v>6531</v>
      </c>
      <c r="B589" t="s">
        <v>156</v>
      </c>
      <c r="C589" s="1">
        <v>46031</v>
      </c>
      <c r="D589" s="2">
        <v>0.46311342592592591</v>
      </c>
      <c r="E589" t="s">
        <v>294</v>
      </c>
      <c r="F589" t="s">
        <v>458</v>
      </c>
      <c r="G589" t="s">
        <v>203</v>
      </c>
      <c r="H589" t="s">
        <v>528</v>
      </c>
      <c r="I589" t="s">
        <v>1404</v>
      </c>
      <c r="J589">
        <v>1</v>
      </c>
      <c r="K589">
        <v>7523</v>
      </c>
      <c r="L589">
        <v>20001</v>
      </c>
      <c r="M589" t="s">
        <v>3495</v>
      </c>
      <c r="N589" s="1">
        <v>46031</v>
      </c>
      <c r="O589" s="2">
        <v>0.74695601851851856</v>
      </c>
      <c r="P589">
        <v>43609</v>
      </c>
      <c r="R589" t="str">
        <f>HYPERLINK("https://7lm.cvcrm.com.br/gestor/relatorios/associado/html?q[1|r.idreserva]=6531","WANIELLY MACHADO DA SILVA")</f>
        <v>WANIELLY MACHADO DA SILVA</v>
      </c>
      <c r="S589">
        <v>6424369163</v>
      </c>
      <c r="T589">
        <v>5561992437085</v>
      </c>
      <c r="V589" t="s">
        <v>3496</v>
      </c>
      <c r="W589" t="s">
        <v>187</v>
      </c>
      <c r="X589" t="s">
        <v>3497</v>
      </c>
      <c r="Y589" t="s">
        <v>189</v>
      </c>
      <c r="Z589" t="s">
        <v>214</v>
      </c>
      <c r="AA589" t="s">
        <v>1049</v>
      </c>
      <c r="AB589" t="s">
        <v>3498</v>
      </c>
      <c r="AC589" t="s">
        <v>465</v>
      </c>
      <c r="AF589" t="s">
        <v>413</v>
      </c>
      <c r="AG589" t="s">
        <v>195</v>
      </c>
      <c r="AH589" s="3">
        <v>235171</v>
      </c>
      <c r="AI589" s="3">
        <v>235171</v>
      </c>
      <c r="AJ589" s="1">
        <v>46068</v>
      </c>
      <c r="AN589" t="s">
        <v>172</v>
      </c>
      <c r="AR589" s="7" t="s">
        <v>353</v>
      </c>
      <c r="AT589" t="s">
        <v>196</v>
      </c>
      <c r="AU589" t="s">
        <v>292</v>
      </c>
      <c r="AW589">
        <v>0</v>
      </c>
      <c r="AX589" s="1">
        <v>46052</v>
      </c>
      <c r="AY589" s="2">
        <v>0.50792824074074072</v>
      </c>
      <c r="AZ589">
        <v>182458</v>
      </c>
      <c r="BA589" s="1">
        <v>46028</v>
      </c>
      <c r="BC589" t="s">
        <v>0</v>
      </c>
      <c r="BD589" s="1">
        <v>46031</v>
      </c>
      <c r="BE589" t="s">
        <v>276</v>
      </c>
      <c r="BL589" s="4">
        <v>0</v>
      </c>
      <c r="BM589" s="1">
        <v>46572</v>
      </c>
      <c r="BN589" s="1">
        <v>46052</v>
      </c>
      <c r="BO589">
        <v>0</v>
      </c>
      <c r="BP589">
        <v>27170</v>
      </c>
      <c r="BQ589" t="s">
        <v>156</v>
      </c>
      <c r="BR589" s="3">
        <v>173673.36</v>
      </c>
      <c r="BS589" s="3">
        <v>10023</v>
      </c>
      <c r="BT589">
        <v>0</v>
      </c>
      <c r="BU589" s="3">
        <v>183696.36</v>
      </c>
      <c r="BV589" s="3">
        <v>235171</v>
      </c>
      <c r="BX589">
        <v>0</v>
      </c>
      <c r="BZ589">
        <v>0</v>
      </c>
      <c r="CA589">
        <v>0</v>
      </c>
      <c r="CB589">
        <v>0</v>
      </c>
      <c r="CC589" s="3">
        <v>235171</v>
      </c>
      <c r="CD589" s="5">
        <v>0</v>
      </c>
      <c r="CE589" t="s">
        <v>467</v>
      </c>
      <c r="CF589" s="6">
        <v>46023</v>
      </c>
      <c r="CH589">
        <v>0</v>
      </c>
      <c r="CI589">
        <v>0</v>
      </c>
      <c r="CJ589">
        <v>0</v>
      </c>
      <c r="CK589">
        <v>0</v>
      </c>
      <c r="CL589">
        <v>0</v>
      </c>
      <c r="CM589">
        <v>0</v>
      </c>
      <c r="CN589">
        <v>0</v>
      </c>
      <c r="CO589">
        <v>0</v>
      </c>
      <c r="CP589">
        <v>0</v>
      </c>
      <c r="CQ589">
        <v>0</v>
      </c>
      <c r="CR589">
        <v>0</v>
      </c>
      <c r="CS589" t="s">
        <v>415</v>
      </c>
      <c r="CT589" t="s">
        <v>214</v>
      </c>
      <c r="CU589" t="s">
        <v>1404</v>
      </c>
      <c r="CW589">
        <v>413.47379999999998</v>
      </c>
      <c r="CZ589" s="1">
        <v>46031</v>
      </c>
      <c r="DA589" t="s">
        <v>172</v>
      </c>
      <c r="DB589" t="s">
        <v>172</v>
      </c>
      <c r="DC589" t="s">
        <v>172</v>
      </c>
      <c r="DD589" t="s">
        <v>172</v>
      </c>
      <c r="DG589" s="1">
        <v>46031</v>
      </c>
      <c r="DH589">
        <v>0</v>
      </c>
      <c r="DI589">
        <v>0</v>
      </c>
      <c r="DJ589" s="1">
        <v>46052</v>
      </c>
      <c r="DL589" t="s">
        <v>200</v>
      </c>
      <c r="DM589" t="s">
        <v>172</v>
      </c>
      <c r="DN589" t="s">
        <v>511</v>
      </c>
      <c r="DU589" t="s">
        <v>1266</v>
      </c>
      <c r="DV589" s="3">
        <v>260629</v>
      </c>
      <c r="DW589">
        <v>-52.57</v>
      </c>
      <c r="DX589" s="3">
        <v>260629</v>
      </c>
      <c r="DY589">
        <v>-52.57</v>
      </c>
      <c r="EF589" s="1">
        <v>46037</v>
      </c>
      <c r="EG589" s="1">
        <v>46034</v>
      </c>
      <c r="EK589" s="1">
        <v>46037</v>
      </c>
      <c r="EN589" t="s">
        <v>156</v>
      </c>
      <c r="EP589" s="1">
        <v>46034</v>
      </c>
      <c r="ET589" t="s">
        <v>3499</v>
      </c>
      <c r="EU589" s="1">
        <v>46033</v>
      </c>
      <c r="EW589" s="1">
        <v>46031</v>
      </c>
    </row>
    <row r="590" spans="1:153" ht="246.5" x14ac:dyDescent="0.35">
      <c r="A590" t="str">
        <f>HYPERLINK("https://7lm.cvcrm.com.br/gestor/comercial/reservas/6530/administrar","6530")</f>
        <v>6530</v>
      </c>
      <c r="B590" t="s">
        <v>156</v>
      </c>
      <c r="C590" s="1">
        <v>46030</v>
      </c>
      <c r="D590" s="2">
        <v>0.88189814814814815</v>
      </c>
      <c r="E590" t="s">
        <v>294</v>
      </c>
      <c r="F590" t="s">
        <v>458</v>
      </c>
      <c r="G590" t="s">
        <v>203</v>
      </c>
      <c r="H590" t="s">
        <v>391</v>
      </c>
      <c r="I590" t="s">
        <v>718</v>
      </c>
      <c r="J590">
        <v>1</v>
      </c>
      <c r="L590">
        <v>20001</v>
      </c>
      <c r="M590" t="s">
        <v>3500</v>
      </c>
      <c r="N590" s="1">
        <v>46042</v>
      </c>
      <c r="O590" s="2">
        <v>0.86170138888888892</v>
      </c>
      <c r="R590" t="str">
        <f>HYPERLINK("https://7lm.cvcrm.com.br/gestor/relatorios/associado/html?q[1|r.idreserva]=6530","IAGO CARLOS DE AQUINO COSTA")</f>
        <v>IAGO CARLOS DE AQUINO COSTA</v>
      </c>
      <c r="S590">
        <v>71479650196</v>
      </c>
      <c r="T590">
        <v>5561993664171</v>
      </c>
      <c r="V590" t="s">
        <v>3501</v>
      </c>
      <c r="W590" t="s">
        <v>163</v>
      </c>
      <c r="X590" t="s">
        <v>3502</v>
      </c>
      <c r="Y590" t="s">
        <v>189</v>
      </c>
      <c r="Z590" t="s">
        <v>214</v>
      </c>
      <c r="AA590" t="s">
        <v>3503</v>
      </c>
      <c r="AB590" t="s">
        <v>3504</v>
      </c>
      <c r="AC590" t="s">
        <v>1327</v>
      </c>
      <c r="AD590" t="s">
        <v>1328</v>
      </c>
      <c r="AF590" t="s">
        <v>634</v>
      </c>
      <c r="AG590" t="s">
        <v>195</v>
      </c>
      <c r="AH590" s="3">
        <v>220231.24</v>
      </c>
      <c r="AI590" s="3">
        <v>220231.24</v>
      </c>
      <c r="AJ590" s="1">
        <v>46086</v>
      </c>
      <c r="AN590" t="s">
        <v>172</v>
      </c>
      <c r="AR590" s="7" t="s">
        <v>353</v>
      </c>
      <c r="AT590" t="s">
        <v>196</v>
      </c>
      <c r="AU590" t="s">
        <v>888</v>
      </c>
      <c r="AW590">
        <v>0</v>
      </c>
      <c r="AX590" s="1">
        <v>46052</v>
      </c>
      <c r="AY590" s="2">
        <v>0.59354166666666663</v>
      </c>
      <c r="AZ590">
        <v>176760</v>
      </c>
      <c r="BA590" s="1">
        <v>45980</v>
      </c>
      <c r="BC590" t="s">
        <v>0</v>
      </c>
      <c r="BD590" s="1">
        <v>46030</v>
      </c>
      <c r="BE590" t="s">
        <v>889</v>
      </c>
      <c r="BL590" s="4">
        <v>0</v>
      </c>
      <c r="BM590" s="1">
        <v>46572</v>
      </c>
      <c r="BN590" s="1">
        <v>46052</v>
      </c>
      <c r="BO590">
        <v>0</v>
      </c>
      <c r="BP590">
        <v>27252</v>
      </c>
      <c r="BQ590" t="s">
        <v>156</v>
      </c>
      <c r="BR590" s="3">
        <v>114483.58</v>
      </c>
      <c r="BS590" s="3">
        <v>14889</v>
      </c>
      <c r="BT590">
        <v>0</v>
      </c>
      <c r="BU590" s="3">
        <v>129372.58</v>
      </c>
      <c r="BV590" s="3">
        <v>220231.24</v>
      </c>
      <c r="BX590">
        <v>0</v>
      </c>
      <c r="BZ590">
        <v>0</v>
      </c>
      <c r="CA590">
        <v>0</v>
      </c>
      <c r="CB590">
        <v>0</v>
      </c>
      <c r="CC590" s="3">
        <v>220231.24</v>
      </c>
      <c r="CD590" s="5">
        <v>0</v>
      </c>
      <c r="CE590" t="s">
        <v>467</v>
      </c>
      <c r="CF590" s="6">
        <v>46023</v>
      </c>
      <c r="CH590">
        <v>0</v>
      </c>
      <c r="CI590">
        <v>0</v>
      </c>
      <c r="CJ590">
        <v>0</v>
      </c>
      <c r="CK590">
        <v>0</v>
      </c>
      <c r="CL590">
        <v>0</v>
      </c>
      <c r="CM590">
        <v>0</v>
      </c>
      <c r="CN590">
        <v>0</v>
      </c>
      <c r="CO590">
        <v>0</v>
      </c>
      <c r="CP590">
        <v>0</v>
      </c>
      <c r="CQ590">
        <v>0</v>
      </c>
      <c r="CR590">
        <v>0</v>
      </c>
      <c r="CS590" t="s">
        <v>415</v>
      </c>
      <c r="CT590" t="s">
        <v>214</v>
      </c>
      <c r="CU590" t="s">
        <v>718</v>
      </c>
      <c r="CW590">
        <v>380.85419999999999</v>
      </c>
      <c r="CZ590" s="1">
        <v>46030</v>
      </c>
      <c r="DA590" t="s">
        <v>172</v>
      </c>
      <c r="DB590" t="s">
        <v>172</v>
      </c>
      <c r="DC590" t="s">
        <v>172</v>
      </c>
      <c r="DD590" t="s">
        <v>172</v>
      </c>
      <c r="DG590" s="1">
        <v>46030</v>
      </c>
      <c r="DH590">
        <v>0</v>
      </c>
      <c r="DI590">
        <v>0</v>
      </c>
      <c r="DJ590" s="1">
        <v>46052</v>
      </c>
      <c r="DL590" t="s">
        <v>200</v>
      </c>
      <c r="DM590" t="s">
        <v>172</v>
      </c>
      <c r="DN590" t="s">
        <v>201</v>
      </c>
      <c r="DV590" s="3">
        <v>220231.24</v>
      </c>
      <c r="DW590">
        <v>0</v>
      </c>
      <c r="DX590" s="3">
        <v>220231.24</v>
      </c>
      <c r="DY590">
        <v>0</v>
      </c>
      <c r="EF590" s="1">
        <v>46049</v>
      </c>
      <c r="EG590" s="1">
        <v>46045</v>
      </c>
      <c r="EK590" s="1">
        <v>46049</v>
      </c>
      <c r="EN590" t="s">
        <v>156</v>
      </c>
      <c r="EP590" s="1">
        <v>46043</v>
      </c>
      <c r="ET590" t="s">
        <v>3505</v>
      </c>
      <c r="EU590" s="1">
        <v>46043</v>
      </c>
      <c r="EW590" s="1">
        <v>46030</v>
      </c>
    </row>
    <row r="591" spans="1:153" x14ac:dyDescent="0.35">
      <c r="A591" t="str">
        <f>HYPERLINK("https://7lm.cvcrm.com.br/gestor/comercial/reservas/6529/administrar","6529")</f>
        <v>6529</v>
      </c>
      <c r="B591" t="s">
        <v>172</v>
      </c>
      <c r="C591" s="1">
        <v>46030</v>
      </c>
      <c r="D591" s="2">
        <v>0.75724537037037032</v>
      </c>
      <c r="E591" t="s">
        <v>527</v>
      </c>
      <c r="F591" t="s">
        <v>202</v>
      </c>
      <c r="G591" t="s">
        <v>203</v>
      </c>
      <c r="H591" t="s">
        <v>204</v>
      </c>
      <c r="I591" t="s">
        <v>672</v>
      </c>
      <c r="J591">
        <v>1</v>
      </c>
      <c r="L591">
        <v>20031</v>
      </c>
      <c r="M591" t="s">
        <v>3332</v>
      </c>
      <c r="R591" t="str">
        <f>HYPERLINK("https://7lm.cvcrm.com.br/gestor/relatorios/associado/html?q[1|r.idreserva]=6529","RANYEL OLIVEIRA DE SENA")</f>
        <v>RANYEL OLIVEIRA DE SENA</v>
      </c>
      <c r="S591">
        <v>83744193268</v>
      </c>
      <c r="T591">
        <v>5561981796551</v>
      </c>
      <c r="V591" t="s">
        <v>3112</v>
      </c>
      <c r="W591" t="s">
        <v>163</v>
      </c>
      <c r="X591" t="s">
        <v>3113</v>
      </c>
      <c r="Y591" t="s">
        <v>189</v>
      </c>
      <c r="Z591" t="s">
        <v>214</v>
      </c>
      <c r="AA591" t="s">
        <v>3114</v>
      </c>
      <c r="AB591" t="s">
        <v>3115</v>
      </c>
      <c r="AC591" t="s">
        <v>1056</v>
      </c>
      <c r="AF591" t="s">
        <v>399</v>
      </c>
      <c r="AG591" t="s">
        <v>195</v>
      </c>
      <c r="AH591" s="3">
        <v>47400</v>
      </c>
      <c r="AI591" s="3">
        <v>47400</v>
      </c>
      <c r="AJ591" s="1">
        <v>69456</v>
      </c>
      <c r="AN591" t="s">
        <v>172</v>
      </c>
      <c r="AO591" t="s">
        <v>932</v>
      </c>
      <c r="AP591" t="s">
        <v>3506</v>
      </c>
      <c r="AR591" t="s">
        <v>3507</v>
      </c>
      <c r="AT591" t="s">
        <v>261</v>
      </c>
      <c r="AU591" t="s">
        <v>292</v>
      </c>
      <c r="AW591">
        <v>0</v>
      </c>
      <c r="AX591" s="1">
        <v>46038</v>
      </c>
      <c r="AY591" s="2">
        <v>0.54608796296296291</v>
      </c>
      <c r="AZ591">
        <v>168487</v>
      </c>
      <c r="BA591" s="1">
        <v>45905</v>
      </c>
      <c r="BC591" t="s">
        <v>0</v>
      </c>
      <c r="BD591" s="1">
        <v>46048</v>
      </c>
      <c r="BE591" t="s">
        <v>786</v>
      </c>
      <c r="BL591" s="4">
        <v>0</v>
      </c>
      <c r="BM591" s="1">
        <v>46808</v>
      </c>
      <c r="BO591">
        <v>0</v>
      </c>
      <c r="BP591">
        <v>26963</v>
      </c>
      <c r="BQ591" t="s">
        <v>156</v>
      </c>
      <c r="BR591" s="3">
        <v>139684.97</v>
      </c>
      <c r="BS591">
        <v>0</v>
      </c>
      <c r="BT591">
        <v>0</v>
      </c>
      <c r="BU591" s="3">
        <v>139684.97</v>
      </c>
      <c r="BV591" s="3">
        <v>47400</v>
      </c>
      <c r="BX591">
        <v>0</v>
      </c>
      <c r="BZ591">
        <v>0</v>
      </c>
      <c r="CA591">
        <v>0</v>
      </c>
      <c r="CB591">
        <v>0</v>
      </c>
      <c r="CC591" s="3">
        <v>47400</v>
      </c>
      <c r="CD591" s="5">
        <v>0</v>
      </c>
      <c r="CF591" s="6">
        <v>46023</v>
      </c>
      <c r="CH591">
        <v>0</v>
      </c>
      <c r="CI591">
        <v>0</v>
      </c>
      <c r="CJ591">
        <v>0</v>
      </c>
      <c r="CK591">
        <v>0</v>
      </c>
      <c r="CL591">
        <v>0</v>
      </c>
      <c r="CM591">
        <v>0</v>
      </c>
      <c r="CN591">
        <v>0</v>
      </c>
      <c r="CO591">
        <v>0</v>
      </c>
      <c r="CP591">
        <v>0</v>
      </c>
      <c r="CQ591">
        <v>0</v>
      </c>
      <c r="CR591">
        <v>0</v>
      </c>
      <c r="CT591" t="s">
        <v>214</v>
      </c>
      <c r="CU591" t="s">
        <v>672</v>
      </c>
      <c r="CW591">
        <v>0</v>
      </c>
      <c r="CZ591" s="1">
        <v>46030</v>
      </c>
      <c r="DA591" t="s">
        <v>172</v>
      </c>
      <c r="DB591" t="s">
        <v>172</v>
      </c>
      <c r="DC591" t="s">
        <v>172</v>
      </c>
      <c r="DD591" t="s">
        <v>172</v>
      </c>
      <c r="DG591" s="1">
        <v>46030</v>
      </c>
      <c r="DH591">
        <v>0</v>
      </c>
      <c r="DI591">
        <v>0</v>
      </c>
      <c r="DL591" t="s">
        <v>215</v>
      </c>
      <c r="DM591" t="s">
        <v>172</v>
      </c>
      <c r="DN591" t="s">
        <v>511</v>
      </c>
      <c r="DU591" t="s">
        <v>318</v>
      </c>
      <c r="DV591" s="3">
        <v>448000</v>
      </c>
      <c r="DW591">
        <v>-90.43</v>
      </c>
      <c r="DX591" s="3">
        <v>448000</v>
      </c>
      <c r="DY591">
        <v>-90.43</v>
      </c>
      <c r="EN591" t="s">
        <v>156</v>
      </c>
      <c r="ET591" s="1">
        <v>46038</v>
      </c>
    </row>
    <row r="592" spans="1:153" ht="246.5" x14ac:dyDescent="0.35">
      <c r="A592" t="str">
        <f>HYPERLINK("https://7lm.cvcrm.com.br/gestor/comercial/reservas/6528/administrar","6528")</f>
        <v>6528</v>
      </c>
      <c r="B592" t="s">
        <v>156</v>
      </c>
      <c r="C592" s="1">
        <v>46030</v>
      </c>
      <c r="D592" s="2">
        <v>0.75091435185185185</v>
      </c>
      <c r="E592" t="s">
        <v>294</v>
      </c>
      <c r="F592" t="s">
        <v>1164</v>
      </c>
      <c r="G592" t="s">
        <v>203</v>
      </c>
      <c r="H592" t="s">
        <v>319</v>
      </c>
      <c r="I592" t="s">
        <v>666</v>
      </c>
      <c r="J592">
        <v>1</v>
      </c>
      <c r="K592">
        <v>8091</v>
      </c>
      <c r="L592">
        <v>30001</v>
      </c>
      <c r="M592" t="s">
        <v>3508</v>
      </c>
      <c r="N592" s="1">
        <v>46043</v>
      </c>
      <c r="O592" s="2">
        <v>0.65125</v>
      </c>
      <c r="R592" t="str">
        <f>HYPERLINK("https://7lm.cvcrm.com.br/gestor/relatorios/associado/html?q[1|r.idreserva]=6528","SARA RODRIGUES DOS SANTOS")</f>
        <v>SARA RODRIGUES DOS SANTOS</v>
      </c>
      <c r="S592">
        <v>70925148199</v>
      </c>
      <c r="T592">
        <v>5561992179970</v>
      </c>
      <c r="V592" t="s">
        <v>3509</v>
      </c>
      <c r="W592" t="s">
        <v>187</v>
      </c>
      <c r="X592" t="s">
        <v>2401</v>
      </c>
      <c r="Y592" t="s">
        <v>189</v>
      </c>
      <c r="Z592" t="s">
        <v>190</v>
      </c>
      <c r="AA592" t="s">
        <v>806</v>
      </c>
      <c r="AB592" t="s">
        <v>2627</v>
      </c>
      <c r="AC592" t="s">
        <v>2088</v>
      </c>
      <c r="AD592" t="s">
        <v>2088</v>
      </c>
      <c r="AF592" t="s">
        <v>303</v>
      </c>
      <c r="AG592" t="s">
        <v>251</v>
      </c>
      <c r="AH592" s="3">
        <v>250214.21</v>
      </c>
      <c r="AI592" s="3">
        <v>250214.21</v>
      </c>
      <c r="AJ592" s="1">
        <v>46061</v>
      </c>
      <c r="AN592" t="s">
        <v>172</v>
      </c>
      <c r="AR592" s="7" t="s">
        <v>3279</v>
      </c>
      <c r="AT592" t="s">
        <v>196</v>
      </c>
      <c r="AU592" t="s">
        <v>292</v>
      </c>
      <c r="AW592">
        <v>0</v>
      </c>
      <c r="AX592" s="1">
        <v>46055</v>
      </c>
      <c r="AY592" s="2">
        <v>0.51818287037037036</v>
      </c>
      <c r="AZ592" t="s">
        <v>3510</v>
      </c>
      <c r="BA592" t="s">
        <v>3511</v>
      </c>
      <c r="BB592" t="s">
        <v>3512</v>
      </c>
      <c r="BC592" t="s">
        <v>1809</v>
      </c>
      <c r="BD592" t="s">
        <v>3513</v>
      </c>
      <c r="BE592" t="s">
        <v>995</v>
      </c>
      <c r="BL592" s="4">
        <v>0</v>
      </c>
      <c r="BM592" s="1">
        <v>46416</v>
      </c>
      <c r="BN592" s="1">
        <v>46053</v>
      </c>
      <c r="BO592">
        <v>0</v>
      </c>
      <c r="BP592">
        <v>27142</v>
      </c>
      <c r="BQ592" t="s">
        <v>156</v>
      </c>
      <c r="BR592" s="3">
        <v>134341.45000000001</v>
      </c>
      <c r="BS592" s="3">
        <v>29826</v>
      </c>
      <c r="BT592">
        <v>0</v>
      </c>
      <c r="BU592" s="3">
        <v>164167.45000000001</v>
      </c>
      <c r="BV592" s="3">
        <v>250214.21</v>
      </c>
      <c r="BX592">
        <v>0</v>
      </c>
      <c r="BZ592">
        <v>0</v>
      </c>
      <c r="CA592">
        <v>0</v>
      </c>
      <c r="CB592">
        <v>0</v>
      </c>
      <c r="CC592" s="3">
        <v>250214.21</v>
      </c>
      <c r="CD592" s="5">
        <v>0</v>
      </c>
      <c r="CE592" t="s">
        <v>1170</v>
      </c>
      <c r="CF592" s="6">
        <v>46023</v>
      </c>
      <c r="CH592">
        <v>0</v>
      </c>
      <c r="CI592">
        <v>0</v>
      </c>
      <c r="CJ592">
        <v>0</v>
      </c>
      <c r="CK592">
        <v>0</v>
      </c>
      <c r="CL592">
        <v>0</v>
      </c>
      <c r="CM592">
        <v>0</v>
      </c>
      <c r="CN592">
        <v>0</v>
      </c>
      <c r="CO592">
        <v>0</v>
      </c>
      <c r="CP592">
        <v>0</v>
      </c>
      <c r="CQ592">
        <v>0</v>
      </c>
      <c r="CR592">
        <v>0</v>
      </c>
      <c r="CS592" t="s">
        <v>199</v>
      </c>
      <c r="CT592" t="s">
        <v>190</v>
      </c>
      <c r="CU592" t="s">
        <v>666</v>
      </c>
      <c r="CW592">
        <v>0</v>
      </c>
      <c r="CX592" t="s">
        <v>194</v>
      </c>
      <c r="CZ592" s="1">
        <v>46030</v>
      </c>
      <c r="DA592" t="s">
        <v>172</v>
      </c>
      <c r="DB592" t="s">
        <v>172</v>
      </c>
      <c r="DC592" t="s">
        <v>172</v>
      </c>
      <c r="DD592" t="s">
        <v>172</v>
      </c>
      <c r="DG592" s="1">
        <v>46416</v>
      </c>
      <c r="DH592">
        <v>0</v>
      </c>
      <c r="DI592">
        <v>0</v>
      </c>
      <c r="DJ592" s="1">
        <v>46055</v>
      </c>
      <c r="DL592" t="s">
        <v>1171</v>
      </c>
      <c r="DM592" t="s">
        <v>172</v>
      </c>
      <c r="DN592" t="s">
        <v>201</v>
      </c>
      <c r="DV592" s="3">
        <v>250214.21</v>
      </c>
      <c r="DW592">
        <v>0</v>
      </c>
      <c r="DX592" s="3">
        <v>250214.21</v>
      </c>
      <c r="DY592">
        <v>0</v>
      </c>
      <c r="EG592" s="1">
        <v>46041</v>
      </c>
      <c r="EN592" t="s">
        <v>156</v>
      </c>
      <c r="EP592" s="1">
        <v>45672</v>
      </c>
      <c r="ER592" s="1">
        <v>45671</v>
      </c>
      <c r="EU592" s="1">
        <v>46036</v>
      </c>
      <c r="EW592" s="1">
        <v>46031</v>
      </c>
    </row>
    <row r="593" spans="1:153" x14ac:dyDescent="0.35">
      <c r="A593" t="str">
        <f>HYPERLINK("https://7lm.cvcrm.com.br/gestor/comercial/reservas/6527/administrar","6527")</f>
        <v>6527</v>
      </c>
      <c r="B593" t="s">
        <v>156</v>
      </c>
      <c r="C593" s="1">
        <v>46030</v>
      </c>
      <c r="D593" s="2">
        <v>0.66011574074074075</v>
      </c>
      <c r="E593" t="s">
        <v>294</v>
      </c>
      <c r="F593" t="s">
        <v>957</v>
      </c>
      <c r="G593" t="s">
        <v>159</v>
      </c>
      <c r="H593" t="s">
        <v>636</v>
      </c>
      <c r="I593" t="s">
        <v>3514</v>
      </c>
      <c r="J593">
        <v>1</v>
      </c>
      <c r="K593">
        <v>6340</v>
      </c>
      <c r="L593">
        <v>30121</v>
      </c>
      <c r="M593" t="s">
        <v>3515</v>
      </c>
      <c r="N593" s="1">
        <v>46045</v>
      </c>
      <c r="O593" s="2">
        <v>0.67596064814814816</v>
      </c>
      <c r="R593" t="str">
        <f>HYPERLINK("https://7lm.cvcrm.com.br/gestor/relatorios/associado/html?q[1|r.idreserva]=6527","ALINE DA CONCEICAO LOPES BRAZ")</f>
        <v>ALINE DA CONCEICAO LOPES BRAZ</v>
      </c>
      <c r="S593">
        <v>4517884198</v>
      </c>
      <c r="T593">
        <v>5561998303722</v>
      </c>
      <c r="V593" t="s">
        <v>3516</v>
      </c>
      <c r="W593" t="s">
        <v>187</v>
      </c>
      <c r="X593" t="s">
        <v>299</v>
      </c>
      <c r="Y593" t="s">
        <v>189</v>
      </c>
      <c r="Z593" t="s">
        <v>190</v>
      </c>
      <c r="AA593" t="s">
        <v>349</v>
      </c>
      <c r="AB593" t="s">
        <v>3517</v>
      </c>
      <c r="AC593" t="s">
        <v>509</v>
      </c>
      <c r="AD593" t="s">
        <v>509</v>
      </c>
      <c r="AF593" t="s">
        <v>352</v>
      </c>
      <c r="AG593" t="s">
        <v>251</v>
      </c>
      <c r="AH593" s="3">
        <v>243685.51</v>
      </c>
      <c r="AI593" s="3">
        <v>243685.51</v>
      </c>
      <c r="AJ593" s="1">
        <v>46086</v>
      </c>
      <c r="AN593" t="s">
        <v>172</v>
      </c>
      <c r="AR593" t="s">
        <v>1203</v>
      </c>
      <c r="AT593" t="s">
        <v>196</v>
      </c>
      <c r="AU593" t="s">
        <v>1755</v>
      </c>
      <c r="AW593">
        <v>0</v>
      </c>
      <c r="AX593" s="1">
        <v>46055</v>
      </c>
      <c r="AY593" s="2">
        <v>0.59094907407407404</v>
      </c>
      <c r="AZ593">
        <v>87101</v>
      </c>
      <c r="BA593" s="1">
        <v>45046</v>
      </c>
      <c r="BB593" s="1">
        <v>45395</v>
      </c>
      <c r="BC593" t="s">
        <v>0</v>
      </c>
      <c r="BD593" s="1">
        <v>46030</v>
      </c>
      <c r="BE593" t="s">
        <v>317</v>
      </c>
      <c r="BL593" s="4">
        <v>0</v>
      </c>
      <c r="BM593" s="1">
        <v>47031</v>
      </c>
      <c r="BN593" s="1">
        <v>46053</v>
      </c>
      <c r="BO593">
        <v>0</v>
      </c>
      <c r="BP593">
        <v>27172</v>
      </c>
      <c r="BQ593" t="s">
        <v>156</v>
      </c>
      <c r="BR593" s="3">
        <v>135409.79</v>
      </c>
      <c r="BS593" s="3">
        <v>26209</v>
      </c>
      <c r="BT593">
        <v>0</v>
      </c>
      <c r="BU593" s="3">
        <v>161618.79</v>
      </c>
      <c r="BV593" s="3">
        <v>243685.51</v>
      </c>
      <c r="BX593">
        <v>0</v>
      </c>
      <c r="BZ593">
        <v>0</v>
      </c>
      <c r="CA593">
        <v>0</v>
      </c>
      <c r="CB593">
        <v>0</v>
      </c>
      <c r="CC593" s="3">
        <v>243685.51</v>
      </c>
      <c r="CD593" s="5">
        <v>0</v>
      </c>
      <c r="CF593" s="6">
        <v>46023</v>
      </c>
      <c r="CH593">
        <v>0</v>
      </c>
      <c r="CI593">
        <v>0</v>
      </c>
      <c r="CJ593">
        <v>0</v>
      </c>
      <c r="CK593">
        <v>0</v>
      </c>
      <c r="CL593">
        <v>0</v>
      </c>
      <c r="CM593">
        <v>0</v>
      </c>
      <c r="CN593">
        <v>0</v>
      </c>
      <c r="CO593">
        <v>0</v>
      </c>
      <c r="CP593">
        <v>0</v>
      </c>
      <c r="CQ593">
        <v>0</v>
      </c>
      <c r="CR593">
        <v>0</v>
      </c>
      <c r="CS593" t="s">
        <v>199</v>
      </c>
      <c r="CT593" t="s">
        <v>190</v>
      </c>
      <c r="CU593" t="s">
        <v>3514</v>
      </c>
      <c r="CW593">
        <v>414.10449999999997</v>
      </c>
      <c r="CZ593" s="1">
        <v>46030</v>
      </c>
      <c r="DA593" t="s">
        <v>172</v>
      </c>
      <c r="DB593" t="s">
        <v>172</v>
      </c>
      <c r="DC593" t="s">
        <v>172</v>
      </c>
      <c r="DD593" t="s">
        <v>172</v>
      </c>
      <c r="DG593" s="1">
        <v>46030</v>
      </c>
      <c r="DH593">
        <v>0</v>
      </c>
      <c r="DI593">
        <v>0</v>
      </c>
      <c r="DJ593" s="1">
        <v>46055</v>
      </c>
      <c r="DL593" t="s">
        <v>963</v>
      </c>
      <c r="DM593" t="s">
        <v>172</v>
      </c>
      <c r="DN593" t="s">
        <v>201</v>
      </c>
      <c r="DP593" s="8">
        <v>0.01</v>
      </c>
      <c r="DU593" t="s">
        <v>1238</v>
      </c>
      <c r="DV593" s="3">
        <v>263714.49</v>
      </c>
      <c r="DW593">
        <v>-51.97</v>
      </c>
      <c r="DX593" s="3">
        <v>263714.49</v>
      </c>
      <c r="DY593">
        <v>-51.97</v>
      </c>
      <c r="EM593" s="1">
        <v>46041</v>
      </c>
      <c r="EN593" t="s">
        <v>156</v>
      </c>
      <c r="EP593" s="1">
        <v>46041</v>
      </c>
      <c r="EW593" s="1">
        <v>46030</v>
      </c>
    </row>
    <row r="594" spans="1:153" x14ac:dyDescent="0.35">
      <c r="A594" t="str">
        <f>HYPERLINK("https://7lm.cvcrm.com.br/gestor/comercial/reservas/6526/administrar","6526")</f>
        <v>6526</v>
      </c>
      <c r="B594" t="s">
        <v>156</v>
      </c>
      <c r="C594" s="1">
        <v>46030</v>
      </c>
      <c r="D594" s="2">
        <v>0.59098379629629627</v>
      </c>
      <c r="E594" t="s">
        <v>294</v>
      </c>
      <c r="F594" t="s">
        <v>957</v>
      </c>
      <c r="G594" t="s">
        <v>159</v>
      </c>
      <c r="H594" t="s">
        <v>958</v>
      </c>
      <c r="I594" t="s">
        <v>3518</v>
      </c>
      <c r="J594">
        <v>1</v>
      </c>
      <c r="L594">
        <v>30121</v>
      </c>
      <c r="M594" t="s">
        <v>3519</v>
      </c>
      <c r="N594" s="1">
        <v>46043</v>
      </c>
      <c r="O594" s="2">
        <v>0.64401620370370372</v>
      </c>
      <c r="R594" t="str">
        <f>HYPERLINK("https://7lm.cvcrm.com.br/gestor/relatorios/associado/html?q[1|r.idreserva]=6526","WANESSA ELIAS DOS SANTOS")</f>
        <v>WANESSA ELIAS DOS SANTOS</v>
      </c>
      <c r="S594">
        <v>71502000105</v>
      </c>
      <c r="T594">
        <v>5561996839477</v>
      </c>
      <c r="V594" t="s">
        <v>3520</v>
      </c>
      <c r="W594" t="s">
        <v>187</v>
      </c>
      <c r="X594" t="s">
        <v>376</v>
      </c>
      <c r="Y594" t="s">
        <v>189</v>
      </c>
      <c r="Z594" t="s">
        <v>190</v>
      </c>
      <c r="AA594" t="s">
        <v>300</v>
      </c>
      <c r="AB594" t="s">
        <v>3521</v>
      </c>
      <c r="AC594" t="s">
        <v>3104</v>
      </c>
      <c r="AD594" t="s">
        <v>3104</v>
      </c>
      <c r="AF594" t="s">
        <v>303</v>
      </c>
      <c r="AG594" t="s">
        <v>195</v>
      </c>
      <c r="AH594" s="3">
        <v>242707.23</v>
      </c>
      <c r="AI594" s="3">
        <v>242707.23</v>
      </c>
      <c r="AJ594" s="1">
        <v>46086</v>
      </c>
      <c r="AN594" t="s">
        <v>172</v>
      </c>
      <c r="AR594" t="s">
        <v>1203</v>
      </c>
      <c r="AT594" t="s">
        <v>196</v>
      </c>
      <c r="AU594" t="s">
        <v>292</v>
      </c>
      <c r="AW594">
        <v>0</v>
      </c>
      <c r="AX594" s="1">
        <v>46055</v>
      </c>
      <c r="AY594" s="2">
        <v>0.59501157407407412</v>
      </c>
      <c r="AZ594">
        <v>159853</v>
      </c>
      <c r="BA594" s="1">
        <v>45813</v>
      </c>
      <c r="BB594" s="1">
        <v>46012</v>
      </c>
      <c r="BC594" t="s">
        <v>0</v>
      </c>
      <c r="BD594" s="1">
        <v>46030</v>
      </c>
      <c r="BE594" t="s">
        <v>317</v>
      </c>
      <c r="BL594" s="4">
        <v>0</v>
      </c>
      <c r="BM594" s="1">
        <v>47031</v>
      </c>
      <c r="BN594" s="1">
        <v>46053</v>
      </c>
      <c r="BO594">
        <v>0</v>
      </c>
      <c r="BP594">
        <v>27017</v>
      </c>
      <c r="BQ594" t="s">
        <v>156</v>
      </c>
      <c r="BR594" s="3">
        <v>114532.07</v>
      </c>
      <c r="BS594" s="3">
        <v>36307</v>
      </c>
      <c r="BT594">
        <v>0</v>
      </c>
      <c r="BU594" s="3">
        <v>150839.07</v>
      </c>
      <c r="BV594" s="3">
        <v>242707.23</v>
      </c>
      <c r="BX594">
        <v>0</v>
      </c>
      <c r="BZ594">
        <v>0</v>
      </c>
      <c r="CA594">
        <v>0</v>
      </c>
      <c r="CB594">
        <v>0</v>
      </c>
      <c r="CC594" s="3">
        <v>242707.23</v>
      </c>
      <c r="CD594" s="5">
        <v>0</v>
      </c>
      <c r="CF594" s="6">
        <v>46023</v>
      </c>
      <c r="CH594">
        <v>0</v>
      </c>
      <c r="CI594">
        <v>0</v>
      </c>
      <c r="CJ594">
        <v>0</v>
      </c>
      <c r="CK594">
        <v>0</v>
      </c>
      <c r="CL594">
        <v>0</v>
      </c>
      <c r="CM594">
        <v>0</v>
      </c>
      <c r="CN594">
        <v>0</v>
      </c>
      <c r="CO594">
        <v>0</v>
      </c>
      <c r="CP594">
        <v>0</v>
      </c>
      <c r="CQ594">
        <v>0</v>
      </c>
      <c r="CR594">
        <v>0</v>
      </c>
      <c r="CS594" t="s">
        <v>199</v>
      </c>
      <c r="CT594" t="s">
        <v>190</v>
      </c>
      <c r="CU594" t="s">
        <v>3518</v>
      </c>
      <c r="CW594">
        <v>412.04059999999998</v>
      </c>
      <c r="CZ594" s="1">
        <v>46030</v>
      </c>
      <c r="DA594" t="s">
        <v>172</v>
      </c>
      <c r="DB594" t="s">
        <v>172</v>
      </c>
      <c r="DC594" t="s">
        <v>172</v>
      </c>
      <c r="DD594" t="s">
        <v>172</v>
      </c>
      <c r="DG594" s="1">
        <v>46030</v>
      </c>
      <c r="DH594">
        <v>0</v>
      </c>
      <c r="DI594">
        <v>0</v>
      </c>
      <c r="DJ594" s="1">
        <v>46055</v>
      </c>
      <c r="DL594" t="s">
        <v>963</v>
      </c>
      <c r="DM594" t="s">
        <v>172</v>
      </c>
      <c r="DN594" t="s">
        <v>201</v>
      </c>
      <c r="DP594" s="8">
        <v>0.01</v>
      </c>
      <c r="DV594" s="3">
        <v>242707.23</v>
      </c>
      <c r="DW594">
        <v>0</v>
      </c>
      <c r="DX594" s="3">
        <v>242707.23</v>
      </c>
      <c r="DY594">
        <v>0</v>
      </c>
      <c r="EG594" s="1">
        <v>46041</v>
      </c>
      <c r="EM594" s="1">
        <v>46035</v>
      </c>
      <c r="EN594" t="s">
        <v>156</v>
      </c>
      <c r="EP594" s="1">
        <v>46034</v>
      </c>
      <c r="EU594" s="1">
        <v>46036</v>
      </c>
      <c r="EW594" s="1">
        <v>46030</v>
      </c>
    </row>
    <row r="595" spans="1:153" ht="246.5" x14ac:dyDescent="0.35">
      <c r="A595" t="str">
        <f>HYPERLINK("https://7lm.cvcrm.com.br/gestor/comercial/reservas/6525/administrar","6525")</f>
        <v>6525</v>
      </c>
      <c r="B595" t="s">
        <v>156</v>
      </c>
      <c r="C595" s="1">
        <v>46029</v>
      </c>
      <c r="D595" s="2">
        <v>0.82388888888888889</v>
      </c>
      <c r="E595" t="s">
        <v>294</v>
      </c>
      <c r="F595" t="s">
        <v>458</v>
      </c>
      <c r="G595" t="s">
        <v>203</v>
      </c>
      <c r="H595" t="s">
        <v>391</v>
      </c>
      <c r="I595" t="s">
        <v>3522</v>
      </c>
      <c r="J595">
        <v>1</v>
      </c>
      <c r="L595">
        <v>20001</v>
      </c>
      <c r="M595" t="s">
        <v>3523</v>
      </c>
      <c r="N595" s="1">
        <v>46048</v>
      </c>
      <c r="O595" s="2">
        <v>0.69601851851851848</v>
      </c>
      <c r="R595" t="str">
        <f>HYPERLINK("https://7lm.cvcrm.com.br/gestor/relatorios/associado/html?q[1|r.idreserva]=6525","JOÃO VICTOR DOS SANTOS PRADO")</f>
        <v>JOÃO VICTOR DOS SANTOS PRADO</v>
      </c>
      <c r="S595">
        <v>8693470124</v>
      </c>
      <c r="T595">
        <v>5561996893182</v>
      </c>
      <c r="V595" t="s">
        <v>3524</v>
      </c>
      <c r="W595" t="s">
        <v>163</v>
      </c>
      <c r="X595" t="s">
        <v>299</v>
      </c>
      <c r="Y595" t="s">
        <v>165</v>
      </c>
      <c r="Z595" t="s">
        <v>575</v>
      </c>
      <c r="AA595" t="s">
        <v>3525</v>
      </c>
      <c r="AB595" t="s">
        <v>3526</v>
      </c>
      <c r="AC595" t="s">
        <v>2589</v>
      </c>
      <c r="AD595" t="s">
        <v>2590</v>
      </c>
      <c r="AF595" t="s">
        <v>413</v>
      </c>
      <c r="AG595" t="s">
        <v>195</v>
      </c>
      <c r="AH595" s="3">
        <v>220053.2</v>
      </c>
      <c r="AI595" s="3">
        <v>220053.2</v>
      </c>
      <c r="AJ595" s="1">
        <v>46096</v>
      </c>
      <c r="AN595" t="s">
        <v>172</v>
      </c>
      <c r="AR595" s="7" t="s">
        <v>353</v>
      </c>
      <c r="AT595" t="s">
        <v>196</v>
      </c>
      <c r="AU595" t="s">
        <v>292</v>
      </c>
      <c r="AW595">
        <v>0</v>
      </c>
      <c r="AX595" s="1">
        <v>46072</v>
      </c>
      <c r="AY595" s="2">
        <v>0.71976851851851853</v>
      </c>
      <c r="AZ595">
        <v>180803</v>
      </c>
      <c r="BA595" s="1">
        <v>46007</v>
      </c>
      <c r="BC595" t="s">
        <v>0</v>
      </c>
      <c r="BD595" s="1">
        <v>46029</v>
      </c>
      <c r="BE595" t="s">
        <v>317</v>
      </c>
      <c r="BL595" s="4">
        <v>0</v>
      </c>
      <c r="BM595" s="1">
        <v>46572</v>
      </c>
      <c r="BN595" s="1">
        <v>46072</v>
      </c>
      <c r="BO595">
        <v>0</v>
      </c>
      <c r="BP595">
        <v>26947</v>
      </c>
      <c r="BQ595" t="s">
        <v>156</v>
      </c>
      <c r="BR595" s="3">
        <v>116838.65</v>
      </c>
      <c r="BS595" s="3">
        <v>38741</v>
      </c>
      <c r="BT595">
        <v>0</v>
      </c>
      <c r="BU595" s="3">
        <v>155579.65</v>
      </c>
      <c r="BV595" s="3">
        <v>220053.2</v>
      </c>
      <c r="BX595">
        <v>0</v>
      </c>
      <c r="BZ595">
        <v>0</v>
      </c>
      <c r="CA595">
        <v>0</v>
      </c>
      <c r="CB595">
        <v>0</v>
      </c>
      <c r="CC595" s="3">
        <v>220053.2</v>
      </c>
      <c r="CD595" s="5">
        <v>0</v>
      </c>
      <c r="CE595" t="s">
        <v>467</v>
      </c>
      <c r="CF595" s="6">
        <v>46054</v>
      </c>
      <c r="CH595">
        <v>0</v>
      </c>
      <c r="CI595">
        <v>0</v>
      </c>
      <c r="CJ595">
        <v>0</v>
      </c>
      <c r="CK595">
        <v>0</v>
      </c>
      <c r="CL595">
        <v>0</v>
      </c>
      <c r="CM595">
        <v>0</v>
      </c>
      <c r="CN595">
        <v>0</v>
      </c>
      <c r="CO595">
        <v>0</v>
      </c>
      <c r="CP595">
        <v>0</v>
      </c>
      <c r="CQ595">
        <v>0</v>
      </c>
      <c r="CR595">
        <v>0</v>
      </c>
      <c r="CS595" t="s">
        <v>360</v>
      </c>
      <c r="CT595" t="s">
        <v>214</v>
      </c>
      <c r="CU595" t="s">
        <v>3522</v>
      </c>
      <c r="CW595">
        <v>390.62790000000001</v>
      </c>
      <c r="CZ595" s="1">
        <v>46029</v>
      </c>
      <c r="DA595" t="s">
        <v>172</v>
      </c>
      <c r="DB595" t="s">
        <v>172</v>
      </c>
      <c r="DC595" t="s">
        <v>172</v>
      </c>
      <c r="DD595" t="s">
        <v>172</v>
      </c>
      <c r="DG595" s="1">
        <v>46029</v>
      </c>
      <c r="DH595">
        <v>0</v>
      </c>
      <c r="DI595">
        <v>0</v>
      </c>
      <c r="DL595" t="s">
        <v>200</v>
      </c>
      <c r="DM595" t="s">
        <v>172</v>
      </c>
      <c r="DN595" t="s">
        <v>201</v>
      </c>
      <c r="DV595" s="3">
        <v>220053.2</v>
      </c>
      <c r="DW595">
        <v>0</v>
      </c>
      <c r="DX595" s="3">
        <v>220053.2</v>
      </c>
      <c r="DY595">
        <v>0</v>
      </c>
      <c r="EF595" s="1">
        <v>46048</v>
      </c>
      <c r="EG595" s="1">
        <v>46043</v>
      </c>
      <c r="EK595" s="1">
        <v>46048</v>
      </c>
      <c r="EL595" s="1">
        <v>46048</v>
      </c>
      <c r="EN595" t="s">
        <v>156</v>
      </c>
      <c r="EP595" s="1">
        <v>46064</v>
      </c>
      <c r="ET595" t="s">
        <v>1074</v>
      </c>
      <c r="EU595" s="1">
        <v>46069</v>
      </c>
      <c r="EW595" s="1">
        <v>46029</v>
      </c>
    </row>
    <row r="596" spans="1:153" ht="246.5" x14ac:dyDescent="0.35">
      <c r="A596" t="str">
        <f>HYPERLINK("https://7lm.cvcrm.com.br/gestor/comercial/reservas/6524/administrar","6524")</f>
        <v>6524</v>
      </c>
      <c r="B596" t="s">
        <v>156</v>
      </c>
      <c r="C596" s="1">
        <v>46029</v>
      </c>
      <c r="D596" s="2">
        <v>0.71796296296296291</v>
      </c>
      <c r="E596" t="s">
        <v>294</v>
      </c>
      <c r="F596" t="s">
        <v>458</v>
      </c>
      <c r="G596" t="s">
        <v>203</v>
      </c>
      <c r="H596" t="s">
        <v>306</v>
      </c>
      <c r="I596" t="s">
        <v>285</v>
      </c>
      <c r="J596">
        <v>1</v>
      </c>
      <c r="K596">
        <v>7525</v>
      </c>
      <c r="L596">
        <v>20001</v>
      </c>
      <c r="M596" t="s">
        <v>3527</v>
      </c>
      <c r="N596" s="1">
        <v>46038</v>
      </c>
      <c r="O596" s="2">
        <v>0.31081018518518516</v>
      </c>
      <c r="P596">
        <v>43632</v>
      </c>
      <c r="R596" t="str">
        <f>HYPERLINK("https://7lm.cvcrm.com.br/gestor/relatorios/associado/html?q[1|r.idreserva]=6524","JAQUELINE SOARES SOUZA")</f>
        <v>JAQUELINE SOARES SOUZA</v>
      </c>
      <c r="S596">
        <v>4284398105</v>
      </c>
      <c r="T596">
        <v>5561995975167</v>
      </c>
      <c r="V596" t="s">
        <v>3528</v>
      </c>
      <c r="W596" t="s">
        <v>187</v>
      </c>
      <c r="X596" t="s">
        <v>1348</v>
      </c>
      <c r="Y596" t="s">
        <v>189</v>
      </c>
      <c r="Z596" t="s">
        <v>214</v>
      </c>
      <c r="AA596" t="s">
        <v>3529</v>
      </c>
      <c r="AB596" t="s">
        <v>3530</v>
      </c>
      <c r="AC596" t="s">
        <v>3531</v>
      </c>
      <c r="AF596" t="s">
        <v>3429</v>
      </c>
      <c r="AG596" t="s">
        <v>195</v>
      </c>
      <c r="AH596" s="3">
        <v>212000.96</v>
      </c>
      <c r="AI596" s="3">
        <v>212000.96</v>
      </c>
      <c r="AJ596" s="1">
        <v>46096</v>
      </c>
      <c r="AN596" t="s">
        <v>172</v>
      </c>
      <c r="AR596" s="7" t="s">
        <v>353</v>
      </c>
      <c r="AT596" t="s">
        <v>196</v>
      </c>
      <c r="AU596" t="s">
        <v>316</v>
      </c>
      <c r="AW596">
        <v>0</v>
      </c>
      <c r="AX596" s="1">
        <v>46052</v>
      </c>
      <c r="AY596" s="2">
        <v>0.5992939814814815</v>
      </c>
      <c r="AZ596">
        <v>29676</v>
      </c>
      <c r="BA596" s="1">
        <v>44017</v>
      </c>
      <c r="BB596" s="1">
        <v>45983</v>
      </c>
      <c r="BC596" t="s">
        <v>275</v>
      </c>
      <c r="BD596" s="1">
        <v>46098</v>
      </c>
      <c r="BE596" t="s">
        <v>317</v>
      </c>
      <c r="BL596" s="4">
        <v>0</v>
      </c>
      <c r="BM596" s="1">
        <v>46572</v>
      </c>
      <c r="BN596" s="1">
        <v>46052</v>
      </c>
      <c r="BO596">
        <v>0</v>
      </c>
      <c r="BP596">
        <v>26975</v>
      </c>
      <c r="BQ596" t="s">
        <v>156</v>
      </c>
      <c r="BR596" s="3">
        <v>100536.48</v>
      </c>
      <c r="BS596" s="3">
        <v>54262</v>
      </c>
      <c r="BT596">
        <v>0</v>
      </c>
      <c r="BU596" s="3">
        <v>154798.48000000001</v>
      </c>
      <c r="BV596" s="3">
        <v>212000.96</v>
      </c>
      <c r="BX596">
        <v>0</v>
      </c>
      <c r="BZ596">
        <v>0</v>
      </c>
      <c r="CA596">
        <v>0</v>
      </c>
      <c r="CB596">
        <v>0</v>
      </c>
      <c r="CC596" s="3">
        <v>212000.96</v>
      </c>
      <c r="CD596" s="5">
        <v>0</v>
      </c>
      <c r="CE596" t="s">
        <v>467</v>
      </c>
      <c r="CF596" s="6">
        <v>46023</v>
      </c>
      <c r="CH596">
        <v>0</v>
      </c>
      <c r="CI596">
        <v>0</v>
      </c>
      <c r="CJ596">
        <v>0</v>
      </c>
      <c r="CK596">
        <v>0</v>
      </c>
      <c r="CL596">
        <v>0</v>
      </c>
      <c r="CM596">
        <v>0</v>
      </c>
      <c r="CN596">
        <v>0</v>
      </c>
      <c r="CO596">
        <v>0</v>
      </c>
      <c r="CP596">
        <v>0</v>
      </c>
      <c r="CQ596">
        <v>0</v>
      </c>
      <c r="CR596">
        <v>0</v>
      </c>
      <c r="CS596" t="s">
        <v>360</v>
      </c>
      <c r="CT596" t="s">
        <v>214</v>
      </c>
      <c r="CU596" t="s">
        <v>285</v>
      </c>
      <c r="CW596">
        <v>364.32659999999998</v>
      </c>
      <c r="CZ596" s="1">
        <v>46029</v>
      </c>
      <c r="DA596" t="s">
        <v>172</v>
      </c>
      <c r="DB596" t="s">
        <v>172</v>
      </c>
      <c r="DC596" t="s">
        <v>172</v>
      </c>
      <c r="DD596" t="s">
        <v>172</v>
      </c>
      <c r="DG596" s="1">
        <v>46029</v>
      </c>
      <c r="DH596">
        <v>0</v>
      </c>
      <c r="DI596">
        <v>0</v>
      </c>
      <c r="DJ596" s="1">
        <v>46052</v>
      </c>
      <c r="DL596" t="s">
        <v>200</v>
      </c>
      <c r="DM596" t="s">
        <v>172</v>
      </c>
      <c r="DN596" t="s">
        <v>201</v>
      </c>
      <c r="DP596" s="4">
        <v>1.4999999999999999E-2</v>
      </c>
      <c r="DV596" s="3">
        <v>212000.96</v>
      </c>
      <c r="DW596">
        <v>0</v>
      </c>
      <c r="DX596" s="3">
        <v>212000.96</v>
      </c>
      <c r="DY596">
        <v>0</v>
      </c>
      <c r="EF596" s="1">
        <v>46037</v>
      </c>
      <c r="EG596" s="1">
        <v>46034</v>
      </c>
      <c r="EK596" s="1">
        <v>46037</v>
      </c>
      <c r="EN596" t="s">
        <v>156</v>
      </c>
      <c r="EP596" s="1">
        <v>46035</v>
      </c>
      <c r="ET596" t="s">
        <v>3532</v>
      </c>
      <c r="EU596" s="1">
        <v>46034</v>
      </c>
      <c r="EW596" s="1">
        <v>46030</v>
      </c>
    </row>
    <row r="597" spans="1:153" ht="246.5" x14ac:dyDescent="0.35">
      <c r="A597" t="str">
        <f>HYPERLINK("https://7lm.cvcrm.com.br/gestor/comercial/reservas/6523/administrar","6523")</f>
        <v>6523</v>
      </c>
      <c r="B597" t="s">
        <v>156</v>
      </c>
      <c r="C597" s="1">
        <v>46029</v>
      </c>
      <c r="D597" s="2">
        <v>0.61370370370370375</v>
      </c>
      <c r="E597" t="s">
        <v>294</v>
      </c>
      <c r="F597" t="s">
        <v>458</v>
      </c>
      <c r="G597" t="s">
        <v>203</v>
      </c>
      <c r="H597" t="s">
        <v>336</v>
      </c>
      <c r="I597" t="s">
        <v>1068</v>
      </c>
      <c r="J597">
        <v>1</v>
      </c>
      <c r="L597">
        <v>20001</v>
      </c>
      <c r="M597" t="s">
        <v>3533</v>
      </c>
      <c r="N597" s="1">
        <v>46042</v>
      </c>
      <c r="O597" s="2">
        <v>0.58809027777777778</v>
      </c>
      <c r="R597" t="str">
        <f>HYPERLINK("https://7lm.cvcrm.com.br/gestor/relatorios/associado/html?q[1|r.idreserva]=6523","KETLEN IRENE DIAS DOS SANTOS")</f>
        <v>KETLEN IRENE DIAS DOS SANTOS</v>
      </c>
      <c r="S597">
        <v>75714736168</v>
      </c>
      <c r="T597">
        <v>5561981151797</v>
      </c>
      <c r="V597" t="s">
        <v>3534</v>
      </c>
      <c r="W597" t="s">
        <v>187</v>
      </c>
      <c r="Y597" t="s">
        <v>189</v>
      </c>
      <c r="Z597" t="s">
        <v>214</v>
      </c>
      <c r="AA597" t="s">
        <v>3535</v>
      </c>
      <c r="AB597" t="s">
        <v>3536</v>
      </c>
      <c r="AC597" t="s">
        <v>2846</v>
      </c>
      <c r="AD597" t="s">
        <v>2847</v>
      </c>
      <c r="AF597" t="s">
        <v>212</v>
      </c>
      <c r="AG597" t="s">
        <v>284</v>
      </c>
      <c r="AH597" s="3">
        <v>230002.71</v>
      </c>
      <c r="AI597" s="3">
        <v>230002.71</v>
      </c>
      <c r="AJ597" s="1">
        <v>46086</v>
      </c>
      <c r="AN597" t="s">
        <v>172</v>
      </c>
      <c r="AR597" s="7" t="s">
        <v>353</v>
      </c>
      <c r="AT597" t="s">
        <v>196</v>
      </c>
      <c r="AU597" t="s">
        <v>175</v>
      </c>
      <c r="AW597">
        <v>0</v>
      </c>
      <c r="AX597" s="1">
        <v>46052</v>
      </c>
      <c r="AY597" s="2">
        <v>0.60422453703703705</v>
      </c>
      <c r="AZ597">
        <v>182678</v>
      </c>
      <c r="BA597" s="1">
        <v>46029</v>
      </c>
      <c r="BC597" t="s">
        <v>275</v>
      </c>
      <c r="BD597" s="1">
        <v>46059</v>
      </c>
      <c r="BE597" t="s">
        <v>175</v>
      </c>
      <c r="BL597" s="4">
        <v>0</v>
      </c>
      <c r="BM597" s="1">
        <v>46572</v>
      </c>
      <c r="BN597" s="1">
        <v>46052</v>
      </c>
      <c r="BO597">
        <v>0</v>
      </c>
      <c r="BP597">
        <v>27225</v>
      </c>
      <c r="BQ597" t="s">
        <v>156</v>
      </c>
      <c r="BR597" s="3">
        <v>117026.42</v>
      </c>
      <c r="BS597" s="3">
        <v>48471</v>
      </c>
      <c r="BT597">
        <v>0</v>
      </c>
      <c r="BU597" s="3">
        <v>165497.42000000001</v>
      </c>
      <c r="BV597" s="3">
        <v>230002.71</v>
      </c>
      <c r="BX597">
        <v>0</v>
      </c>
      <c r="BZ597">
        <v>0</v>
      </c>
      <c r="CA597">
        <v>0</v>
      </c>
      <c r="CB597">
        <v>0</v>
      </c>
      <c r="CC597" s="3">
        <v>230002.71</v>
      </c>
      <c r="CD597" s="5">
        <v>0</v>
      </c>
      <c r="CE597" t="s">
        <v>467</v>
      </c>
      <c r="CF597" s="6">
        <v>46023</v>
      </c>
      <c r="CH597">
        <v>0</v>
      </c>
      <c r="CI597">
        <v>0</v>
      </c>
      <c r="CJ597">
        <v>0</v>
      </c>
      <c r="CK597">
        <v>0</v>
      </c>
      <c r="CL597">
        <v>0</v>
      </c>
      <c r="CM597">
        <v>0</v>
      </c>
      <c r="CN597">
        <v>0</v>
      </c>
      <c r="CO597">
        <v>0</v>
      </c>
      <c r="CP597">
        <v>0</v>
      </c>
      <c r="CQ597">
        <v>0</v>
      </c>
      <c r="CR597">
        <v>0</v>
      </c>
      <c r="CS597" t="s">
        <v>360</v>
      </c>
      <c r="CT597" t="s">
        <v>214</v>
      </c>
      <c r="CU597" t="s">
        <v>1068</v>
      </c>
      <c r="CW597">
        <v>421.46789999999999</v>
      </c>
      <c r="CZ597" s="1">
        <v>46029</v>
      </c>
      <c r="DA597" t="s">
        <v>172</v>
      </c>
      <c r="DB597" t="s">
        <v>172</v>
      </c>
      <c r="DC597" t="s">
        <v>172</v>
      </c>
      <c r="DD597" t="s">
        <v>172</v>
      </c>
      <c r="DG597" s="1">
        <v>46029</v>
      </c>
      <c r="DH597">
        <v>0</v>
      </c>
      <c r="DI597">
        <v>0</v>
      </c>
      <c r="DJ597" s="1">
        <v>46052</v>
      </c>
      <c r="DL597" t="s">
        <v>200</v>
      </c>
      <c r="DM597" t="s">
        <v>172</v>
      </c>
      <c r="DN597" t="s">
        <v>525</v>
      </c>
      <c r="DV597" s="3">
        <v>230002.71</v>
      </c>
      <c r="DW597">
        <v>0</v>
      </c>
      <c r="DX597" s="3">
        <v>230002.71</v>
      </c>
      <c r="DY597">
        <v>0</v>
      </c>
      <c r="EN597" t="s">
        <v>156</v>
      </c>
      <c r="EP597" s="1">
        <v>46036</v>
      </c>
      <c r="ES597" t="s">
        <v>3537</v>
      </c>
      <c r="EU597" s="1">
        <v>46041</v>
      </c>
      <c r="EW597" s="1">
        <v>46029</v>
      </c>
    </row>
    <row r="598" spans="1:153" ht="246.5" x14ac:dyDescent="0.35">
      <c r="A598" t="str">
        <f>HYPERLINK("https://7lm.cvcrm.com.br/gestor/comercial/reservas/6522/administrar","6522")</f>
        <v>6522</v>
      </c>
      <c r="B598" t="s">
        <v>156</v>
      </c>
      <c r="C598" s="1">
        <v>46028</v>
      </c>
      <c r="D598" s="2">
        <v>0.66446759259259258</v>
      </c>
      <c r="E598" t="s">
        <v>294</v>
      </c>
      <c r="F598" t="s">
        <v>458</v>
      </c>
      <c r="G598" t="s">
        <v>203</v>
      </c>
      <c r="H598" t="s">
        <v>3106</v>
      </c>
      <c r="I598" t="s">
        <v>967</v>
      </c>
      <c r="J598">
        <v>1</v>
      </c>
      <c r="L598">
        <v>20001</v>
      </c>
      <c r="M598" t="s">
        <v>3538</v>
      </c>
      <c r="N598" s="1">
        <v>46035</v>
      </c>
      <c r="O598" s="2">
        <v>0.37697916666666664</v>
      </c>
      <c r="R598" t="str">
        <f>HYPERLINK("https://7lm.cvcrm.com.br/gestor/relatorios/associado/html?q[1|r.idreserva]=6522","VANDA GOMES DAS NEVES")</f>
        <v>VANDA GOMES DAS NEVES</v>
      </c>
      <c r="S598">
        <v>189155159</v>
      </c>
      <c r="T598">
        <v>5561982756678</v>
      </c>
      <c r="V598" t="s">
        <v>3539</v>
      </c>
      <c r="W598" t="s">
        <v>187</v>
      </c>
      <c r="X598" t="s">
        <v>2809</v>
      </c>
      <c r="Y598" t="s">
        <v>189</v>
      </c>
      <c r="Z598" t="s">
        <v>214</v>
      </c>
      <c r="AA598" t="s">
        <v>611</v>
      </c>
      <c r="AB598" t="s">
        <v>3540</v>
      </c>
      <c r="AC598" t="s">
        <v>2149</v>
      </c>
      <c r="AF598" t="s">
        <v>399</v>
      </c>
      <c r="AG598" t="s">
        <v>195</v>
      </c>
      <c r="AH598" s="3">
        <v>218000</v>
      </c>
      <c r="AI598" s="3">
        <v>218000</v>
      </c>
      <c r="AJ598" s="1">
        <v>46059</v>
      </c>
      <c r="AN598" t="s">
        <v>172</v>
      </c>
      <c r="AR598" s="7" t="s">
        <v>353</v>
      </c>
      <c r="AT598" t="s">
        <v>196</v>
      </c>
      <c r="AU598" t="s">
        <v>197</v>
      </c>
      <c r="AW598">
        <v>0</v>
      </c>
      <c r="AX598" s="1">
        <v>46052</v>
      </c>
      <c r="AY598" s="2">
        <v>0.60755787037037035</v>
      </c>
      <c r="AZ598">
        <v>181434</v>
      </c>
      <c r="BA598" s="1">
        <v>46014</v>
      </c>
      <c r="BC598" t="s">
        <v>0</v>
      </c>
      <c r="BD598" s="1">
        <v>46028</v>
      </c>
      <c r="BE598" t="s">
        <v>276</v>
      </c>
      <c r="BL598" s="4">
        <v>0</v>
      </c>
      <c r="BM598" s="1">
        <v>46572</v>
      </c>
      <c r="BN598" s="1">
        <v>46052</v>
      </c>
      <c r="BO598">
        <v>0</v>
      </c>
      <c r="BP598">
        <v>27050</v>
      </c>
      <c r="BQ598" t="s">
        <v>156</v>
      </c>
      <c r="BR598" s="3">
        <v>96156.3</v>
      </c>
      <c r="BS598" s="3">
        <v>55000</v>
      </c>
      <c r="BT598">
        <v>0</v>
      </c>
      <c r="BU598" s="3">
        <v>151156.29999999999</v>
      </c>
      <c r="BV598" s="3">
        <v>218000</v>
      </c>
      <c r="BX598">
        <v>0</v>
      </c>
      <c r="BZ598">
        <v>0</v>
      </c>
      <c r="CA598">
        <v>0</v>
      </c>
      <c r="CB598">
        <v>0</v>
      </c>
      <c r="CC598" s="3">
        <v>218000</v>
      </c>
      <c r="CD598" s="5">
        <v>0</v>
      </c>
      <c r="CE598" t="s">
        <v>467</v>
      </c>
      <c r="CF598" s="6">
        <v>46023</v>
      </c>
      <c r="CH598">
        <v>0</v>
      </c>
      <c r="CI598">
        <v>0</v>
      </c>
      <c r="CJ598">
        <v>0</v>
      </c>
      <c r="CK598">
        <v>0</v>
      </c>
      <c r="CL598">
        <v>0</v>
      </c>
      <c r="CM598">
        <v>0</v>
      </c>
      <c r="CN598">
        <v>0</v>
      </c>
      <c r="CO598">
        <v>0</v>
      </c>
      <c r="CP598">
        <v>0</v>
      </c>
      <c r="CQ598">
        <v>0</v>
      </c>
      <c r="CR598">
        <v>0</v>
      </c>
      <c r="CS598" t="s">
        <v>2497</v>
      </c>
      <c r="CT598" t="s">
        <v>214</v>
      </c>
      <c r="CU598" t="s">
        <v>967</v>
      </c>
      <c r="CW598">
        <v>375.98250000000002</v>
      </c>
      <c r="CZ598" s="1">
        <v>46028</v>
      </c>
      <c r="DA598" t="s">
        <v>172</v>
      </c>
      <c r="DB598" t="s">
        <v>172</v>
      </c>
      <c r="DC598" t="s">
        <v>172</v>
      </c>
      <c r="DD598" t="s">
        <v>172</v>
      </c>
      <c r="DG598" s="1">
        <v>46028</v>
      </c>
      <c r="DH598">
        <v>0</v>
      </c>
      <c r="DI598">
        <v>0</v>
      </c>
      <c r="DJ598" s="1">
        <v>46052</v>
      </c>
      <c r="DL598" t="s">
        <v>200</v>
      </c>
      <c r="DM598" t="s">
        <v>172</v>
      </c>
      <c r="DN598" t="s">
        <v>201</v>
      </c>
      <c r="DV598" s="3">
        <v>218000</v>
      </c>
      <c r="DW598">
        <v>0</v>
      </c>
      <c r="DX598" s="3">
        <v>218000</v>
      </c>
      <c r="DY598">
        <v>0</v>
      </c>
      <c r="EF598" s="1">
        <v>46038</v>
      </c>
      <c r="EG598" s="1">
        <v>46036</v>
      </c>
      <c r="EK598" s="1">
        <v>46038</v>
      </c>
      <c r="EN598" t="s">
        <v>156</v>
      </c>
      <c r="EP598" s="1">
        <v>46037</v>
      </c>
      <c r="EU598" s="1">
        <v>46035</v>
      </c>
      <c r="EW598" s="1">
        <v>46030</v>
      </c>
    </row>
    <row r="599" spans="1:153" ht="246.5" x14ac:dyDescent="0.35">
      <c r="A599" t="str">
        <f>HYPERLINK("https://7lm.cvcrm.com.br/gestor/comercial/reservas/6521/administrar","6521")</f>
        <v>6521</v>
      </c>
      <c r="B599" t="s">
        <v>156</v>
      </c>
      <c r="C599" s="1">
        <v>46028</v>
      </c>
      <c r="D599" s="2">
        <v>0.59466435185185185</v>
      </c>
      <c r="E599" t="s">
        <v>294</v>
      </c>
      <c r="F599" t="s">
        <v>2451</v>
      </c>
      <c r="G599" t="s">
        <v>203</v>
      </c>
      <c r="H599" t="s">
        <v>391</v>
      </c>
      <c r="I599" t="s">
        <v>392</v>
      </c>
      <c r="J599">
        <v>1</v>
      </c>
      <c r="L599">
        <v>30061</v>
      </c>
      <c r="M599" t="s">
        <v>3541</v>
      </c>
      <c r="N599" s="1">
        <v>46044</v>
      </c>
      <c r="O599" s="2">
        <v>0.38422453703703702</v>
      </c>
      <c r="R599" t="str">
        <f>HYPERLINK("https://7lm.cvcrm.com.br/gestor/relatorios/associado/html?q[1|r.idreserva]=6521","RAYNARA NIKOLLY RODRIGUES DE FREITAS")</f>
        <v>RAYNARA NIKOLLY RODRIGUES DE FREITAS</v>
      </c>
      <c r="S599">
        <v>71133670113</v>
      </c>
      <c r="T599">
        <v>5561998648434</v>
      </c>
      <c r="V599" t="s">
        <v>3542</v>
      </c>
      <c r="W599" t="s">
        <v>187</v>
      </c>
      <c r="X599" t="s">
        <v>366</v>
      </c>
      <c r="Y599" t="s">
        <v>189</v>
      </c>
      <c r="Z599" t="s">
        <v>190</v>
      </c>
      <c r="AA599" t="s">
        <v>707</v>
      </c>
      <c r="AB599" t="s">
        <v>1859</v>
      </c>
      <c r="AC599" t="s">
        <v>896</v>
      </c>
      <c r="AF599" t="s">
        <v>194</v>
      </c>
      <c r="AG599" t="s">
        <v>251</v>
      </c>
      <c r="AH599" s="3">
        <v>236031.84</v>
      </c>
      <c r="AI599" s="3">
        <v>236031.84</v>
      </c>
      <c r="AJ599" s="1">
        <v>46059</v>
      </c>
      <c r="AN599" t="s">
        <v>172</v>
      </c>
      <c r="AR599" s="7" t="s">
        <v>353</v>
      </c>
      <c r="AT599" t="s">
        <v>261</v>
      </c>
      <c r="AU599" t="s">
        <v>316</v>
      </c>
      <c r="AW599">
        <v>0</v>
      </c>
      <c r="AX599" s="1">
        <v>46055</v>
      </c>
      <c r="AY599" s="2">
        <v>0.60357638888888887</v>
      </c>
      <c r="AZ599">
        <v>182366</v>
      </c>
      <c r="BA599" s="1">
        <v>46027</v>
      </c>
      <c r="BC599" t="s">
        <v>176</v>
      </c>
      <c r="BD599" s="1">
        <v>46027</v>
      </c>
      <c r="BE599" t="s">
        <v>317</v>
      </c>
      <c r="BL599" s="4">
        <v>0</v>
      </c>
      <c r="BM599" s="1">
        <v>46788</v>
      </c>
      <c r="BN599" s="1">
        <v>46053</v>
      </c>
      <c r="BO599">
        <v>0</v>
      </c>
      <c r="BP599">
        <v>27156</v>
      </c>
      <c r="BQ599" t="s">
        <v>156</v>
      </c>
      <c r="BR599" s="3">
        <v>134341.45000000001</v>
      </c>
      <c r="BS599" s="3">
        <v>29305</v>
      </c>
      <c r="BT599">
        <v>0</v>
      </c>
      <c r="BU599" s="3">
        <v>163646.45000000001</v>
      </c>
      <c r="BV599" s="3">
        <v>236031.84</v>
      </c>
      <c r="BX599">
        <v>0</v>
      </c>
      <c r="BZ599">
        <v>0</v>
      </c>
      <c r="CA599">
        <v>0</v>
      </c>
      <c r="CB599">
        <v>0</v>
      </c>
      <c r="CC599" s="3">
        <v>236031.84</v>
      </c>
      <c r="CD599" s="5">
        <v>0</v>
      </c>
      <c r="CF599" s="6">
        <v>46023</v>
      </c>
      <c r="CH599">
        <v>0</v>
      </c>
      <c r="CI599">
        <v>0</v>
      </c>
      <c r="CJ599">
        <v>0</v>
      </c>
      <c r="CK599">
        <v>0</v>
      </c>
      <c r="CL599">
        <v>0</v>
      </c>
      <c r="CM599">
        <v>0</v>
      </c>
      <c r="CN599">
        <v>0</v>
      </c>
      <c r="CO599">
        <v>0</v>
      </c>
      <c r="CP599">
        <v>0</v>
      </c>
      <c r="CQ599">
        <v>0</v>
      </c>
      <c r="CR599">
        <v>0</v>
      </c>
      <c r="CS599" t="s">
        <v>360</v>
      </c>
      <c r="CT599" t="s">
        <v>190</v>
      </c>
      <c r="CU599" t="s">
        <v>392</v>
      </c>
      <c r="CW599">
        <v>446.2285</v>
      </c>
      <c r="CZ599" s="1">
        <v>46028</v>
      </c>
      <c r="DA599" t="s">
        <v>172</v>
      </c>
      <c r="DB599" t="s">
        <v>172</v>
      </c>
      <c r="DC599" t="s">
        <v>172</v>
      </c>
      <c r="DD599" t="s">
        <v>172</v>
      </c>
      <c r="DG599" s="1">
        <v>46028</v>
      </c>
      <c r="DH599">
        <v>0</v>
      </c>
      <c r="DI599">
        <v>0</v>
      </c>
      <c r="DJ599" s="1">
        <v>46055</v>
      </c>
      <c r="DL599" t="s">
        <v>2473</v>
      </c>
      <c r="DM599" t="s">
        <v>172</v>
      </c>
      <c r="DN599" t="s">
        <v>201</v>
      </c>
      <c r="DV599" s="3">
        <v>236031.84</v>
      </c>
      <c r="DW599">
        <v>0</v>
      </c>
      <c r="DX599" s="3">
        <v>236031.84</v>
      </c>
      <c r="DY599">
        <v>0</v>
      </c>
      <c r="EH599" s="1">
        <v>46030</v>
      </c>
      <c r="EN599" t="s">
        <v>156</v>
      </c>
      <c r="EP599" s="1">
        <v>46036</v>
      </c>
      <c r="ER599" s="1">
        <v>46034</v>
      </c>
      <c r="ES599" t="s">
        <v>3543</v>
      </c>
      <c r="EU599" s="1">
        <v>46034</v>
      </c>
      <c r="EW599" s="1">
        <v>46028</v>
      </c>
    </row>
    <row r="600" spans="1:153" x14ac:dyDescent="0.35">
      <c r="A600" t="str">
        <f>HYPERLINK("https://7lm.cvcrm.com.br/gestor/comercial/reservas/6520/administrar","6520")</f>
        <v>6520</v>
      </c>
      <c r="B600" t="s">
        <v>156</v>
      </c>
      <c r="C600" s="1">
        <v>46028</v>
      </c>
      <c r="D600" s="2">
        <v>0.47390046296296295</v>
      </c>
      <c r="E600" t="s">
        <v>294</v>
      </c>
      <c r="F600" t="s">
        <v>957</v>
      </c>
      <c r="G600" t="s">
        <v>159</v>
      </c>
      <c r="H600" t="s">
        <v>2907</v>
      </c>
      <c r="I600" t="s">
        <v>3544</v>
      </c>
      <c r="J600">
        <v>1</v>
      </c>
      <c r="K600">
        <v>7524</v>
      </c>
      <c r="L600">
        <v>30121</v>
      </c>
      <c r="M600" t="s">
        <v>3545</v>
      </c>
      <c r="N600" s="1">
        <v>46043</v>
      </c>
      <c r="O600" s="2">
        <v>0.6350810185185185</v>
      </c>
      <c r="P600">
        <v>43622</v>
      </c>
      <c r="R600" t="str">
        <f>HYPERLINK("https://7lm.cvcrm.com.br/gestor/relatorios/associado/html?q[1|r.idreserva]=6520","MIRIAM CASTRO FERREIRA")</f>
        <v>MIRIAM CASTRO FERREIRA</v>
      </c>
      <c r="S600">
        <v>70968176119</v>
      </c>
      <c r="T600">
        <v>5562996606598</v>
      </c>
      <c r="V600" t="s">
        <v>3546</v>
      </c>
      <c r="W600" t="s">
        <v>187</v>
      </c>
      <c r="X600" t="s">
        <v>376</v>
      </c>
      <c r="Y600" t="s">
        <v>189</v>
      </c>
      <c r="Z600" t="s">
        <v>190</v>
      </c>
      <c r="AA600" t="s">
        <v>1739</v>
      </c>
      <c r="AB600" t="s">
        <v>3547</v>
      </c>
      <c r="AC600" t="s">
        <v>302</v>
      </c>
      <c r="AD600" t="s">
        <v>302</v>
      </c>
      <c r="AF600" t="s">
        <v>303</v>
      </c>
      <c r="AG600" t="s">
        <v>251</v>
      </c>
      <c r="AH600" s="3">
        <v>245548.84</v>
      </c>
      <c r="AI600" s="3">
        <v>245548.84</v>
      </c>
      <c r="AJ600" s="1">
        <v>46096</v>
      </c>
      <c r="AN600" t="s">
        <v>172</v>
      </c>
      <c r="AR600" t="s">
        <v>1203</v>
      </c>
      <c r="AT600" t="s">
        <v>400</v>
      </c>
      <c r="AU600" t="s">
        <v>292</v>
      </c>
      <c r="AW600">
        <v>0</v>
      </c>
      <c r="AX600" s="1">
        <v>46055</v>
      </c>
      <c r="AY600" s="2">
        <v>0.60736111111111113</v>
      </c>
      <c r="AZ600">
        <v>140457</v>
      </c>
      <c r="BA600" s="1">
        <v>45623</v>
      </c>
      <c r="BC600" t="s">
        <v>176</v>
      </c>
      <c r="BD600" s="1">
        <v>45623</v>
      </c>
      <c r="BE600" t="s">
        <v>466</v>
      </c>
      <c r="BL600" s="4">
        <v>0</v>
      </c>
      <c r="BM600" s="1">
        <v>47031</v>
      </c>
      <c r="BN600" s="1">
        <v>46053</v>
      </c>
      <c r="BO600">
        <v>0</v>
      </c>
      <c r="BP600">
        <v>27127</v>
      </c>
      <c r="BQ600" t="s">
        <v>156</v>
      </c>
      <c r="BR600" s="3">
        <v>146039.93</v>
      </c>
      <c r="BS600" s="3">
        <v>24139</v>
      </c>
      <c r="BT600">
        <v>0</v>
      </c>
      <c r="BU600" s="3">
        <v>170178.93</v>
      </c>
      <c r="BV600" s="3">
        <v>245548.84</v>
      </c>
      <c r="BX600">
        <v>0</v>
      </c>
      <c r="BZ600">
        <v>0</v>
      </c>
      <c r="CA600">
        <v>0</v>
      </c>
      <c r="CB600">
        <v>0</v>
      </c>
      <c r="CC600" s="3">
        <v>245548.84</v>
      </c>
      <c r="CD600" s="5">
        <v>0</v>
      </c>
      <c r="CF600" s="6">
        <v>46023</v>
      </c>
      <c r="CH600">
        <v>0</v>
      </c>
      <c r="CI600">
        <v>0</v>
      </c>
      <c r="CJ600">
        <v>0</v>
      </c>
      <c r="CK600">
        <v>0</v>
      </c>
      <c r="CL600">
        <v>0</v>
      </c>
      <c r="CM600">
        <v>0</v>
      </c>
      <c r="CN600">
        <v>0</v>
      </c>
      <c r="CO600">
        <v>0</v>
      </c>
      <c r="CP600">
        <v>0</v>
      </c>
      <c r="CQ600">
        <v>0</v>
      </c>
      <c r="CR600">
        <v>0</v>
      </c>
      <c r="CS600" t="s">
        <v>199</v>
      </c>
      <c r="CT600" t="s">
        <v>190</v>
      </c>
      <c r="CU600" t="s">
        <v>3544</v>
      </c>
      <c r="CW600">
        <v>418.03550000000001</v>
      </c>
      <c r="CZ600" s="1">
        <v>46028</v>
      </c>
      <c r="DA600" t="s">
        <v>172</v>
      </c>
      <c r="DB600" t="s">
        <v>172</v>
      </c>
      <c r="DC600" t="s">
        <v>172</v>
      </c>
      <c r="DD600" t="s">
        <v>172</v>
      </c>
      <c r="DG600" s="1">
        <v>46028</v>
      </c>
      <c r="DH600">
        <v>0</v>
      </c>
      <c r="DI600">
        <v>0</v>
      </c>
      <c r="DJ600" s="1">
        <v>46055</v>
      </c>
      <c r="DL600" t="s">
        <v>963</v>
      </c>
      <c r="DM600" t="s">
        <v>172</v>
      </c>
      <c r="DN600" t="s">
        <v>225</v>
      </c>
      <c r="DV600" s="3">
        <v>245548.84</v>
      </c>
      <c r="DW600">
        <v>0</v>
      </c>
      <c r="DX600" s="3">
        <v>245548.84</v>
      </c>
      <c r="DY600">
        <v>0</v>
      </c>
      <c r="EM600" s="1">
        <v>46034</v>
      </c>
      <c r="EN600" t="s">
        <v>156</v>
      </c>
      <c r="EP600" s="1">
        <v>46030</v>
      </c>
      <c r="ER600" s="1">
        <v>46030</v>
      </c>
      <c r="ES600" t="s">
        <v>3548</v>
      </c>
      <c r="EU600" s="1">
        <v>46031</v>
      </c>
      <c r="EW600" s="1">
        <v>46028</v>
      </c>
    </row>
    <row r="601" spans="1:153" ht="232" x14ac:dyDescent="0.35">
      <c r="A601" t="str">
        <f>HYPERLINK("https://7lm.cvcrm.com.br/gestor/comercial/reservas/6519/administrar","6519")</f>
        <v>6519</v>
      </c>
      <c r="B601" t="s">
        <v>156</v>
      </c>
      <c r="C601" s="1">
        <v>46028</v>
      </c>
      <c r="D601" s="2">
        <v>0.46346064814814814</v>
      </c>
      <c r="E601" t="s">
        <v>294</v>
      </c>
      <c r="F601" t="s">
        <v>1164</v>
      </c>
      <c r="G601" t="s">
        <v>203</v>
      </c>
      <c r="H601" t="s">
        <v>319</v>
      </c>
      <c r="I601" t="s">
        <v>1351</v>
      </c>
      <c r="J601">
        <v>1</v>
      </c>
      <c r="K601">
        <v>7516</v>
      </c>
      <c r="L601">
        <v>30001</v>
      </c>
      <c r="M601" t="s">
        <v>3549</v>
      </c>
      <c r="N601" s="1">
        <v>46029</v>
      </c>
      <c r="O601" s="2">
        <v>0.75918981481481485</v>
      </c>
      <c r="P601">
        <v>43573</v>
      </c>
      <c r="R601" t="str">
        <f>HYPERLINK("https://7lm.cvcrm.com.br/gestor/relatorios/associado/html?q[1|r.idreserva]=6519","ALINE VIEIRA CASSIMIRO")</f>
        <v>ALINE VIEIRA CASSIMIRO</v>
      </c>
      <c r="S601">
        <v>74098756153</v>
      </c>
      <c r="T601">
        <v>5561991676823</v>
      </c>
      <c r="V601" t="s">
        <v>3550</v>
      </c>
      <c r="W601" t="s">
        <v>187</v>
      </c>
      <c r="X601" t="s">
        <v>492</v>
      </c>
      <c r="Y601" t="s">
        <v>189</v>
      </c>
      <c r="Z601" t="s">
        <v>190</v>
      </c>
      <c r="AA601" t="s">
        <v>532</v>
      </c>
      <c r="AB601" t="s">
        <v>3551</v>
      </c>
      <c r="AC601" t="s">
        <v>534</v>
      </c>
      <c r="AF601" t="s">
        <v>352</v>
      </c>
      <c r="AG601" t="s">
        <v>195</v>
      </c>
      <c r="AH601" s="3">
        <v>250000.2</v>
      </c>
      <c r="AI601" s="3">
        <v>250000.2</v>
      </c>
      <c r="AJ601" s="1">
        <v>46096</v>
      </c>
      <c r="AN601" t="s">
        <v>172</v>
      </c>
      <c r="AR601" s="7" t="s">
        <v>3552</v>
      </c>
      <c r="AT601" t="s">
        <v>196</v>
      </c>
      <c r="AU601" t="s">
        <v>292</v>
      </c>
      <c r="AW601">
        <v>0</v>
      </c>
      <c r="AX601" s="1">
        <v>46030</v>
      </c>
      <c r="AY601" s="2">
        <v>0.69820601851851849</v>
      </c>
      <c r="AZ601" t="s">
        <v>3553</v>
      </c>
      <c r="BA601" t="s">
        <v>3554</v>
      </c>
      <c r="BB601" t="s">
        <v>356</v>
      </c>
      <c r="BC601" t="s">
        <v>3555</v>
      </c>
      <c r="BD601" t="s">
        <v>3556</v>
      </c>
      <c r="BE601" t="s">
        <v>850</v>
      </c>
      <c r="BL601" s="4">
        <v>0</v>
      </c>
      <c r="BM601" s="1">
        <v>46416</v>
      </c>
      <c r="BN601" s="1">
        <v>46030</v>
      </c>
      <c r="BO601">
        <v>0</v>
      </c>
      <c r="BP601">
        <v>27010</v>
      </c>
      <c r="BQ601" t="s">
        <v>156</v>
      </c>
      <c r="BR601" s="3">
        <v>161288.22</v>
      </c>
      <c r="BS601" s="3">
        <v>9528</v>
      </c>
      <c r="BT601">
        <v>0</v>
      </c>
      <c r="BU601" s="3">
        <v>170816.22</v>
      </c>
      <c r="BV601" s="3">
        <v>250000.2</v>
      </c>
      <c r="BX601">
        <v>0</v>
      </c>
      <c r="BZ601">
        <v>0</v>
      </c>
      <c r="CA601">
        <v>0</v>
      </c>
      <c r="CB601">
        <v>0</v>
      </c>
      <c r="CC601" s="3">
        <v>250000.2</v>
      </c>
      <c r="CD601" s="5">
        <v>0</v>
      </c>
      <c r="CE601" t="s">
        <v>1170</v>
      </c>
      <c r="CF601" s="6">
        <v>46023</v>
      </c>
      <c r="CH601">
        <v>0</v>
      </c>
      <c r="CI601">
        <v>0</v>
      </c>
      <c r="CJ601">
        <v>0</v>
      </c>
      <c r="CK601">
        <v>0</v>
      </c>
      <c r="CL601">
        <v>0</v>
      </c>
      <c r="CM601">
        <v>0</v>
      </c>
      <c r="CN601">
        <v>0</v>
      </c>
      <c r="CO601">
        <v>0</v>
      </c>
      <c r="CP601">
        <v>0</v>
      </c>
      <c r="CQ601">
        <v>0</v>
      </c>
      <c r="CR601">
        <v>0</v>
      </c>
      <c r="CS601" t="s">
        <v>199</v>
      </c>
      <c r="CT601" t="s">
        <v>190</v>
      </c>
      <c r="CU601" t="s">
        <v>1351</v>
      </c>
      <c r="CW601">
        <v>0</v>
      </c>
      <c r="CX601" t="s">
        <v>194</v>
      </c>
      <c r="CZ601" s="1">
        <v>46028</v>
      </c>
      <c r="DA601" t="s">
        <v>172</v>
      </c>
      <c r="DB601" t="s">
        <v>172</v>
      </c>
      <c r="DC601" t="s">
        <v>172</v>
      </c>
      <c r="DD601" t="s">
        <v>172</v>
      </c>
      <c r="DG601" s="1">
        <v>46028</v>
      </c>
      <c r="DH601">
        <v>0</v>
      </c>
      <c r="DI601">
        <v>0</v>
      </c>
      <c r="DJ601" s="1">
        <v>46030</v>
      </c>
      <c r="DL601" t="s">
        <v>1171</v>
      </c>
      <c r="DM601" t="s">
        <v>172</v>
      </c>
      <c r="DN601" t="s">
        <v>201</v>
      </c>
      <c r="DP601" s="4">
        <v>1.2E-2</v>
      </c>
      <c r="DV601" s="3">
        <v>250000.2</v>
      </c>
      <c r="DW601">
        <v>0</v>
      </c>
      <c r="DX601" s="3">
        <v>250000.2</v>
      </c>
      <c r="DY601">
        <v>0</v>
      </c>
      <c r="EG601" s="1">
        <v>46030</v>
      </c>
      <c r="EM601" s="1">
        <v>46034</v>
      </c>
      <c r="EN601" t="s">
        <v>156</v>
      </c>
      <c r="EP601" s="1">
        <v>46030</v>
      </c>
      <c r="ER601" s="1">
        <v>46029</v>
      </c>
      <c r="ES601" t="s">
        <v>3557</v>
      </c>
      <c r="EW601" s="1">
        <v>46028</v>
      </c>
    </row>
    <row r="602" spans="1:153" ht="246.5" x14ac:dyDescent="0.35">
      <c r="A602" t="str">
        <f>HYPERLINK("https://7lm.cvcrm.com.br/gestor/comercial/reservas/6518/administrar","6518")</f>
        <v>6518</v>
      </c>
      <c r="B602" t="s">
        <v>156</v>
      </c>
      <c r="C602" s="1">
        <v>46027</v>
      </c>
      <c r="D602" s="2">
        <v>0.83898148148148144</v>
      </c>
      <c r="E602" t="s">
        <v>294</v>
      </c>
      <c r="F602" t="s">
        <v>2451</v>
      </c>
      <c r="G602" t="s">
        <v>203</v>
      </c>
      <c r="H602" t="s">
        <v>217</v>
      </c>
      <c r="I602" t="s">
        <v>562</v>
      </c>
      <c r="J602">
        <v>1</v>
      </c>
      <c r="K602">
        <v>8367</v>
      </c>
      <c r="L602">
        <v>30061</v>
      </c>
      <c r="M602" t="s">
        <v>3558</v>
      </c>
      <c r="N602" s="1">
        <v>46140</v>
      </c>
      <c r="O602" s="2">
        <v>0.3989699074074074</v>
      </c>
      <c r="R602" t="str">
        <f>HYPERLINK("https://7lm.cvcrm.com.br/gestor/relatorios/associado/html?q[1|r.idreserva]=6518","JHONATAN LUAN DOS SANTOS")</f>
        <v>JHONATAN LUAN DOS SANTOS</v>
      </c>
      <c r="S602">
        <v>71513634194</v>
      </c>
      <c r="T602">
        <v>5561996809406</v>
      </c>
      <c r="V602" t="s">
        <v>3559</v>
      </c>
      <c r="W602" t="s">
        <v>163</v>
      </c>
      <c r="X602" t="s">
        <v>366</v>
      </c>
      <c r="Y602" t="s">
        <v>189</v>
      </c>
      <c r="Z602" t="s">
        <v>190</v>
      </c>
      <c r="AA602" t="s">
        <v>3560</v>
      </c>
      <c r="AB602" t="s">
        <v>3561</v>
      </c>
      <c r="AC602" t="s">
        <v>1741</v>
      </c>
      <c r="AF602" t="s">
        <v>194</v>
      </c>
      <c r="AG602" t="s">
        <v>251</v>
      </c>
      <c r="AH602" s="3">
        <v>240933.2</v>
      </c>
      <c r="AI602" s="3">
        <v>240933.2</v>
      </c>
      <c r="AJ602" s="1">
        <v>46058</v>
      </c>
      <c r="AN602" t="s">
        <v>172</v>
      </c>
      <c r="AR602" s="7" t="s">
        <v>353</v>
      </c>
      <c r="AT602" t="s">
        <v>261</v>
      </c>
      <c r="AU602" t="s">
        <v>316</v>
      </c>
      <c r="AW602">
        <v>0</v>
      </c>
      <c r="AX602" s="1">
        <v>46141</v>
      </c>
      <c r="AY602" s="2">
        <v>0.42952546296296296</v>
      </c>
      <c r="AZ602">
        <v>113648</v>
      </c>
      <c r="BA602" s="1">
        <v>45389</v>
      </c>
      <c r="BC602" t="s">
        <v>0</v>
      </c>
      <c r="BD602" s="1">
        <v>46027</v>
      </c>
      <c r="BE602" t="s">
        <v>317</v>
      </c>
      <c r="BL602" s="4">
        <v>0</v>
      </c>
      <c r="BM602" s="1">
        <v>46788</v>
      </c>
      <c r="BN602" s="1">
        <v>46141</v>
      </c>
      <c r="BO602">
        <v>0</v>
      </c>
      <c r="BP602">
        <v>27091</v>
      </c>
      <c r="BQ602" t="s">
        <v>156</v>
      </c>
      <c r="BR602" s="3">
        <v>146039.93</v>
      </c>
      <c r="BS602" s="3">
        <v>23341</v>
      </c>
      <c r="BT602">
        <v>0</v>
      </c>
      <c r="BU602" s="3">
        <v>169380.93</v>
      </c>
      <c r="BV602" s="3">
        <v>240933.2</v>
      </c>
      <c r="BX602">
        <v>0</v>
      </c>
      <c r="BZ602">
        <v>0</v>
      </c>
      <c r="CA602">
        <v>0</v>
      </c>
      <c r="CB602">
        <v>0</v>
      </c>
      <c r="CC602" s="3">
        <v>240933.2</v>
      </c>
      <c r="CD602" s="5">
        <v>0</v>
      </c>
      <c r="CF602" s="6">
        <v>46113</v>
      </c>
      <c r="CH602">
        <v>0</v>
      </c>
      <c r="CI602">
        <v>0</v>
      </c>
      <c r="CJ602">
        <v>0</v>
      </c>
      <c r="CK602">
        <v>0</v>
      </c>
      <c r="CL602">
        <v>0</v>
      </c>
      <c r="CM602">
        <v>0</v>
      </c>
      <c r="CN602">
        <v>0</v>
      </c>
      <c r="CO602">
        <v>0</v>
      </c>
      <c r="CP602">
        <v>0</v>
      </c>
      <c r="CQ602">
        <v>0</v>
      </c>
      <c r="CR602">
        <v>0</v>
      </c>
      <c r="CS602" t="s">
        <v>360</v>
      </c>
      <c r="CT602" t="s">
        <v>190</v>
      </c>
      <c r="CU602" t="s">
        <v>562</v>
      </c>
      <c r="CW602">
        <v>-49.295499999999997</v>
      </c>
      <c r="CZ602" s="1">
        <v>46027</v>
      </c>
      <c r="DA602" t="s">
        <v>172</v>
      </c>
      <c r="DB602" t="s">
        <v>172</v>
      </c>
      <c r="DC602" t="s">
        <v>172</v>
      </c>
      <c r="DD602" t="s">
        <v>172</v>
      </c>
      <c r="DG602" s="1">
        <v>46027</v>
      </c>
      <c r="DH602">
        <v>0</v>
      </c>
      <c r="DI602">
        <v>0</v>
      </c>
      <c r="DJ602" s="1">
        <v>46140</v>
      </c>
      <c r="DL602" t="s">
        <v>200</v>
      </c>
      <c r="DM602" t="s">
        <v>172</v>
      </c>
      <c r="DN602" t="s">
        <v>201</v>
      </c>
      <c r="DV602" s="3">
        <v>240933.2</v>
      </c>
      <c r="DW602">
        <v>0</v>
      </c>
      <c r="DX602" s="3">
        <v>240933.2</v>
      </c>
      <c r="DY602">
        <v>0</v>
      </c>
      <c r="EF602" s="1">
        <v>46087</v>
      </c>
      <c r="EG602" s="1">
        <v>46087</v>
      </c>
      <c r="EK602" s="1">
        <v>46087</v>
      </c>
      <c r="EL602" s="1">
        <v>46087</v>
      </c>
      <c r="EM602" s="1">
        <v>46092</v>
      </c>
      <c r="EN602" t="s">
        <v>172</v>
      </c>
      <c r="EP602" s="1">
        <v>46091</v>
      </c>
      <c r="ER602" s="1">
        <v>46086</v>
      </c>
      <c r="ES602" t="s">
        <v>3562</v>
      </c>
      <c r="EW602" s="1">
        <v>46027</v>
      </c>
    </row>
    <row r="603" spans="1:153" x14ac:dyDescent="0.35">
      <c r="A603" t="str">
        <f>HYPERLINK("https://7lm.cvcrm.com.br/gestor/comercial/reservas/6517/administrar","6517")</f>
        <v>6517</v>
      </c>
      <c r="B603" t="s">
        <v>156</v>
      </c>
      <c r="C603" s="1">
        <v>46027</v>
      </c>
      <c r="D603" s="2">
        <v>0.82743055555555556</v>
      </c>
      <c r="E603" t="s">
        <v>294</v>
      </c>
      <c r="F603" t="s">
        <v>957</v>
      </c>
      <c r="G603" t="s">
        <v>159</v>
      </c>
      <c r="H603" t="s">
        <v>345</v>
      </c>
      <c r="I603" t="s">
        <v>346</v>
      </c>
      <c r="J603">
        <v>1</v>
      </c>
      <c r="L603">
        <v>30121</v>
      </c>
      <c r="M603" t="s">
        <v>3563</v>
      </c>
      <c r="N603" s="1">
        <v>46044</v>
      </c>
      <c r="O603" s="2">
        <v>0.35627314814814814</v>
      </c>
      <c r="R603" t="str">
        <f>HYPERLINK("https://7lm.cvcrm.com.br/gestor/relatorios/associado/html?q[1|r.idreserva]=6517","LORRANY DA SILVA CRUZ")</f>
        <v>LORRANY DA SILVA CRUZ</v>
      </c>
      <c r="S603">
        <v>9578788185</v>
      </c>
      <c r="T603">
        <v>5561998838005</v>
      </c>
      <c r="V603" t="s">
        <v>3564</v>
      </c>
      <c r="W603" t="s">
        <v>187</v>
      </c>
      <c r="X603" t="s">
        <v>366</v>
      </c>
      <c r="Y603" t="s">
        <v>189</v>
      </c>
      <c r="Z603" t="s">
        <v>190</v>
      </c>
      <c r="AA603" t="s">
        <v>596</v>
      </c>
      <c r="AB603" t="s">
        <v>3565</v>
      </c>
      <c r="AC603" t="s">
        <v>665</v>
      </c>
      <c r="AD603" t="s">
        <v>665</v>
      </c>
      <c r="AF603" t="s">
        <v>250</v>
      </c>
      <c r="AG603" t="s">
        <v>251</v>
      </c>
      <c r="AH603" s="3">
        <v>230000.9</v>
      </c>
      <c r="AI603" s="3">
        <v>230000.9</v>
      </c>
      <c r="AJ603" s="1">
        <v>46058</v>
      </c>
      <c r="AN603" t="s">
        <v>172</v>
      </c>
      <c r="AR603" t="s">
        <v>1203</v>
      </c>
      <c r="AT603" t="s">
        <v>261</v>
      </c>
      <c r="AU603" t="s">
        <v>175</v>
      </c>
      <c r="AW603">
        <v>0</v>
      </c>
      <c r="AX603" s="1">
        <v>46055</v>
      </c>
      <c r="AY603" s="2">
        <v>0.61106481481481478</v>
      </c>
      <c r="AZ603">
        <v>182395</v>
      </c>
      <c r="BA603" s="1">
        <v>46027</v>
      </c>
      <c r="BC603" t="s">
        <v>0</v>
      </c>
      <c r="BD603" s="1">
        <v>46027</v>
      </c>
      <c r="BE603" t="s">
        <v>175</v>
      </c>
      <c r="BL603" s="4">
        <v>0</v>
      </c>
      <c r="BM603" s="1">
        <v>47031</v>
      </c>
      <c r="BN603" s="1">
        <v>46053</v>
      </c>
      <c r="BO603">
        <v>0</v>
      </c>
      <c r="BP603">
        <v>27168</v>
      </c>
      <c r="BQ603" t="s">
        <v>156</v>
      </c>
      <c r="BR603">
        <v>0</v>
      </c>
      <c r="BS603">
        <v>0</v>
      </c>
      <c r="BT603">
        <v>0</v>
      </c>
      <c r="BU603">
        <v>0</v>
      </c>
      <c r="BV603" s="3">
        <v>230000.9</v>
      </c>
      <c r="BX603">
        <v>0</v>
      </c>
      <c r="BZ603">
        <v>0</v>
      </c>
      <c r="CA603">
        <v>0</v>
      </c>
      <c r="CB603">
        <v>0</v>
      </c>
      <c r="CC603" s="3">
        <v>230000.9</v>
      </c>
      <c r="CD603" s="5">
        <v>0</v>
      </c>
      <c r="CF603" s="6">
        <v>46023</v>
      </c>
      <c r="CH603">
        <v>0</v>
      </c>
      <c r="CI603">
        <v>0</v>
      </c>
      <c r="CJ603">
        <v>0</v>
      </c>
      <c r="CK603">
        <v>0</v>
      </c>
      <c r="CL603">
        <v>0</v>
      </c>
      <c r="CM603">
        <v>0</v>
      </c>
      <c r="CN603">
        <v>0</v>
      </c>
      <c r="CO603">
        <v>0</v>
      </c>
      <c r="CP603">
        <v>0</v>
      </c>
      <c r="CQ603">
        <v>0</v>
      </c>
      <c r="CR603">
        <v>0</v>
      </c>
      <c r="CS603" t="s">
        <v>360</v>
      </c>
      <c r="CT603" t="s">
        <v>190</v>
      </c>
      <c r="CU603" t="s">
        <v>346</v>
      </c>
      <c r="CW603">
        <v>406.73779999999999</v>
      </c>
      <c r="CZ603" s="1">
        <v>46027</v>
      </c>
      <c r="DA603" t="s">
        <v>172</v>
      </c>
      <c r="DB603" t="s">
        <v>172</v>
      </c>
      <c r="DC603" t="s">
        <v>172</v>
      </c>
      <c r="DD603" t="s">
        <v>172</v>
      </c>
      <c r="DG603" s="1">
        <v>46027</v>
      </c>
      <c r="DH603">
        <v>0</v>
      </c>
      <c r="DI603">
        <v>0</v>
      </c>
      <c r="DJ603" s="1">
        <v>46055</v>
      </c>
      <c r="DL603" t="s">
        <v>963</v>
      </c>
      <c r="DM603" t="s">
        <v>172</v>
      </c>
      <c r="DN603" t="s">
        <v>201</v>
      </c>
      <c r="DV603" s="3">
        <v>230000.9</v>
      </c>
      <c r="DW603">
        <v>0</v>
      </c>
      <c r="DX603" s="3">
        <v>230000.9</v>
      </c>
      <c r="DY603">
        <v>0</v>
      </c>
      <c r="EN603" t="s">
        <v>156</v>
      </c>
      <c r="EP603" s="1">
        <v>46037</v>
      </c>
      <c r="EU603" s="1">
        <v>46035</v>
      </c>
      <c r="EW603" s="1">
        <v>46027</v>
      </c>
    </row>
    <row r="604" spans="1:153" ht="130.5" x14ac:dyDescent="0.35">
      <c r="A604" t="str">
        <f>HYPERLINK("https://7lm.cvcrm.com.br/gestor/comercial/reservas/6516/administrar","6516")</f>
        <v>6516</v>
      </c>
      <c r="B604" t="s">
        <v>172</v>
      </c>
      <c r="C604" s="1">
        <v>46027</v>
      </c>
      <c r="D604" s="2">
        <v>0.70703703703703702</v>
      </c>
      <c r="E604" t="s">
        <v>527</v>
      </c>
      <c r="F604" t="s">
        <v>957</v>
      </c>
      <c r="G604" t="s">
        <v>159</v>
      </c>
      <c r="H604" t="s">
        <v>2907</v>
      </c>
      <c r="I604" t="s">
        <v>3544</v>
      </c>
      <c r="J604">
        <v>1</v>
      </c>
      <c r="L604">
        <v>30121</v>
      </c>
      <c r="M604" t="s">
        <v>3545</v>
      </c>
      <c r="R604" t="str">
        <f>HYPERLINK("https://7lm.cvcrm.com.br/gestor/relatorios/associado/html?q[1|r.idreserva]=6516","RAQUEL PEREIRA DA SILVA")</f>
        <v>RAQUEL PEREIRA DA SILVA</v>
      </c>
      <c r="S604">
        <v>5055380160</v>
      </c>
      <c r="T604">
        <v>5561998093773</v>
      </c>
      <c r="V604" t="s">
        <v>3566</v>
      </c>
      <c r="W604" t="s">
        <v>187</v>
      </c>
      <c r="X604" t="s">
        <v>376</v>
      </c>
      <c r="Y604" t="s">
        <v>189</v>
      </c>
      <c r="Z604" t="s">
        <v>3567</v>
      </c>
      <c r="AA604" t="s">
        <v>507</v>
      </c>
      <c r="AB604" t="s">
        <v>3568</v>
      </c>
      <c r="AC604" t="s">
        <v>302</v>
      </c>
      <c r="AD604" t="s">
        <v>302</v>
      </c>
      <c r="AF604" t="s">
        <v>303</v>
      </c>
      <c r="AG604" t="s">
        <v>251</v>
      </c>
      <c r="AH604">
        <v>0</v>
      </c>
      <c r="AI604">
        <v>0</v>
      </c>
      <c r="AN604" t="s">
        <v>172</v>
      </c>
      <c r="AO604" t="s">
        <v>725</v>
      </c>
      <c r="AP604" t="s">
        <v>3569</v>
      </c>
      <c r="AR604" s="7" t="s">
        <v>3570</v>
      </c>
      <c r="AT604" t="s">
        <v>196</v>
      </c>
      <c r="AU604" t="s">
        <v>335</v>
      </c>
      <c r="AW604">
        <v>0</v>
      </c>
      <c r="AX604" s="1">
        <v>46028</v>
      </c>
      <c r="AY604" s="2">
        <v>0.44935185185185184</v>
      </c>
      <c r="AZ604">
        <v>179911</v>
      </c>
      <c r="BA604" s="1">
        <v>46001</v>
      </c>
      <c r="BB604" s="1">
        <v>46107</v>
      </c>
      <c r="BC604" t="s">
        <v>275</v>
      </c>
      <c r="BD604" s="1">
        <v>46111</v>
      </c>
      <c r="BE604" t="s">
        <v>317</v>
      </c>
      <c r="BL604" s="4">
        <v>0</v>
      </c>
      <c r="BM604" s="1">
        <v>47031</v>
      </c>
      <c r="BO604">
        <v>0</v>
      </c>
      <c r="BP604">
        <v>26929</v>
      </c>
      <c r="BQ604" t="s">
        <v>156</v>
      </c>
      <c r="BR604">
        <v>0</v>
      </c>
      <c r="BS604">
        <v>0</v>
      </c>
      <c r="BT604">
        <v>0</v>
      </c>
      <c r="BU604">
        <v>0</v>
      </c>
      <c r="BV604">
        <v>0</v>
      </c>
      <c r="BX604">
        <v>0</v>
      </c>
      <c r="BZ604">
        <v>0</v>
      </c>
      <c r="CA604">
        <v>0</v>
      </c>
      <c r="CB604">
        <v>0</v>
      </c>
      <c r="CC604">
        <v>0</v>
      </c>
      <c r="CD604" s="5">
        <v>0</v>
      </c>
      <c r="CF604" s="6">
        <v>46023</v>
      </c>
      <c r="CH604">
        <v>0</v>
      </c>
      <c r="CI604">
        <v>0</v>
      </c>
      <c r="CJ604">
        <v>0</v>
      </c>
      <c r="CK604">
        <v>0</v>
      </c>
      <c r="CL604">
        <v>0</v>
      </c>
      <c r="CM604">
        <v>0</v>
      </c>
      <c r="CN604">
        <v>0</v>
      </c>
      <c r="CO604">
        <v>0</v>
      </c>
      <c r="CP604">
        <v>0</v>
      </c>
      <c r="CQ604">
        <v>0</v>
      </c>
      <c r="CR604">
        <v>0</v>
      </c>
      <c r="CT604" t="s">
        <v>190</v>
      </c>
      <c r="CU604" t="s">
        <v>3544</v>
      </c>
      <c r="CW604">
        <v>0</v>
      </c>
      <c r="CZ604" s="1">
        <v>46027</v>
      </c>
      <c r="DA604" t="s">
        <v>172</v>
      </c>
      <c r="DB604" t="s">
        <v>172</v>
      </c>
      <c r="DC604" t="s">
        <v>172</v>
      </c>
      <c r="DD604" t="s">
        <v>172</v>
      </c>
      <c r="DG604" s="1">
        <v>46027</v>
      </c>
      <c r="DH604">
        <v>0</v>
      </c>
      <c r="DI604">
        <v>0</v>
      </c>
      <c r="DL604" t="s">
        <v>963</v>
      </c>
      <c r="DM604" t="s">
        <v>172</v>
      </c>
      <c r="DN604" t="s">
        <v>225</v>
      </c>
      <c r="DV604">
        <v>0</v>
      </c>
      <c r="DW604">
        <v>0</v>
      </c>
      <c r="DX604">
        <v>0</v>
      </c>
      <c r="DY604">
        <v>0</v>
      </c>
    </row>
    <row r="605" spans="1:153" x14ac:dyDescent="0.35">
      <c r="A605" t="str">
        <f>HYPERLINK("https://7lm.cvcrm.com.br/gestor/comercial/reservas/6515/administrar","6515")</f>
        <v>6515</v>
      </c>
      <c r="B605" t="s">
        <v>156</v>
      </c>
      <c r="C605" s="1">
        <v>46027</v>
      </c>
      <c r="D605" s="2">
        <v>0.70468750000000002</v>
      </c>
      <c r="E605" t="s">
        <v>294</v>
      </c>
      <c r="F605" t="s">
        <v>458</v>
      </c>
      <c r="G605" t="s">
        <v>203</v>
      </c>
      <c r="H605" t="s">
        <v>204</v>
      </c>
      <c r="I605" t="s">
        <v>2679</v>
      </c>
      <c r="J605">
        <v>1</v>
      </c>
      <c r="L605">
        <v>20001</v>
      </c>
      <c r="M605" t="s">
        <v>3571</v>
      </c>
      <c r="N605" s="1">
        <v>46043</v>
      </c>
      <c r="O605" s="2">
        <v>0.64762731481481484</v>
      </c>
      <c r="R605" t="str">
        <f>HYPERLINK("https://7lm.cvcrm.com.br/gestor/relatorios/associado/html?q[1|r.idreserva]=6515","RONIERIKE LISBOA DO LIVRAMENTO")</f>
        <v>RONIERIKE LISBOA DO LIVRAMENTO</v>
      </c>
      <c r="S605">
        <v>239990390</v>
      </c>
      <c r="T605">
        <v>5561996536816</v>
      </c>
      <c r="V605" t="s">
        <v>3572</v>
      </c>
      <c r="W605" t="s">
        <v>163</v>
      </c>
      <c r="Y605" t="s">
        <v>165</v>
      </c>
      <c r="Z605" t="s">
        <v>1088</v>
      </c>
      <c r="AA605" t="s">
        <v>3573</v>
      </c>
      <c r="AB605" t="s">
        <v>3574</v>
      </c>
      <c r="AC605" t="s">
        <v>326</v>
      </c>
      <c r="AD605" t="s">
        <v>327</v>
      </c>
      <c r="AF605" t="s">
        <v>212</v>
      </c>
      <c r="AG605" t="s">
        <v>284</v>
      </c>
      <c r="AH605" s="3">
        <v>217631.63</v>
      </c>
      <c r="AI605" s="3">
        <v>217631.63</v>
      </c>
      <c r="AJ605" s="1">
        <v>46086</v>
      </c>
      <c r="AN605" t="s">
        <v>172</v>
      </c>
      <c r="AR605" t="s">
        <v>2741</v>
      </c>
      <c r="AT605" t="s">
        <v>196</v>
      </c>
      <c r="AU605" t="s">
        <v>175</v>
      </c>
      <c r="AW605">
        <v>0</v>
      </c>
      <c r="AX605" s="1">
        <v>46052</v>
      </c>
      <c r="AY605" s="2">
        <v>0.6118055555555556</v>
      </c>
      <c r="AZ605">
        <v>182363</v>
      </c>
      <c r="BA605" s="1">
        <v>46027</v>
      </c>
      <c r="BC605" t="s">
        <v>0</v>
      </c>
      <c r="BD605" s="1">
        <v>46027</v>
      </c>
      <c r="BE605" t="s">
        <v>175</v>
      </c>
      <c r="BL605" s="4">
        <v>0</v>
      </c>
      <c r="BM605" s="1">
        <v>46572</v>
      </c>
      <c r="BN605" s="1">
        <v>46052</v>
      </c>
      <c r="BO605">
        <v>0</v>
      </c>
      <c r="BP605">
        <v>27153</v>
      </c>
      <c r="BQ605" t="s">
        <v>156</v>
      </c>
      <c r="BR605" s="3">
        <v>111002.99</v>
      </c>
      <c r="BS605" s="3">
        <v>51229</v>
      </c>
      <c r="BT605">
        <v>0</v>
      </c>
      <c r="BU605" s="3">
        <v>162231.99</v>
      </c>
      <c r="BV605" s="3">
        <v>217631.63</v>
      </c>
      <c r="BX605">
        <v>0</v>
      </c>
      <c r="BZ605">
        <v>0</v>
      </c>
      <c r="CA605">
        <v>0</v>
      </c>
      <c r="CB605">
        <v>0</v>
      </c>
      <c r="CC605" s="3">
        <v>217631.63</v>
      </c>
      <c r="CD605" s="5">
        <v>0</v>
      </c>
      <c r="CE605" t="s">
        <v>467</v>
      </c>
      <c r="CF605" s="6">
        <v>46023</v>
      </c>
      <c r="CH605">
        <v>0</v>
      </c>
      <c r="CI605">
        <v>0</v>
      </c>
      <c r="CJ605">
        <v>0</v>
      </c>
      <c r="CK605">
        <v>0</v>
      </c>
      <c r="CL605">
        <v>0</v>
      </c>
      <c r="CM605">
        <v>0</v>
      </c>
      <c r="CN605">
        <v>0</v>
      </c>
      <c r="CO605">
        <v>0</v>
      </c>
      <c r="CP605">
        <v>0</v>
      </c>
      <c r="CQ605">
        <v>0</v>
      </c>
      <c r="CR605">
        <v>0</v>
      </c>
      <c r="CS605" t="s">
        <v>360</v>
      </c>
      <c r="CT605" t="s">
        <v>214</v>
      </c>
      <c r="CU605" t="s">
        <v>2679</v>
      </c>
      <c r="CW605">
        <v>386.63850000000002</v>
      </c>
      <c r="CZ605" s="1">
        <v>46027</v>
      </c>
      <c r="DA605" t="s">
        <v>172</v>
      </c>
      <c r="DB605" t="s">
        <v>172</v>
      </c>
      <c r="DC605" t="s">
        <v>172</v>
      </c>
      <c r="DD605" t="s">
        <v>172</v>
      </c>
      <c r="DG605" s="1">
        <v>46027</v>
      </c>
      <c r="DH605">
        <v>0</v>
      </c>
      <c r="DI605">
        <v>0</v>
      </c>
      <c r="DJ605" s="1">
        <v>46052</v>
      </c>
      <c r="DL605" t="s">
        <v>200</v>
      </c>
      <c r="DM605" t="s">
        <v>172</v>
      </c>
      <c r="DN605" t="s">
        <v>201</v>
      </c>
      <c r="DV605" s="3">
        <v>217631.63</v>
      </c>
      <c r="DW605">
        <v>0</v>
      </c>
      <c r="DX605" s="3">
        <v>217631.63</v>
      </c>
      <c r="DY605">
        <v>0</v>
      </c>
      <c r="EG605" s="1">
        <v>46034</v>
      </c>
      <c r="EN605" t="s">
        <v>156</v>
      </c>
      <c r="EU605" s="1">
        <v>46037</v>
      </c>
      <c r="EW605" s="1">
        <v>46027</v>
      </c>
    </row>
    <row r="606" spans="1:153" ht="246.5" x14ac:dyDescent="0.35">
      <c r="A606" t="str">
        <f>HYPERLINK("https://7lm.cvcrm.com.br/gestor/comercial/reservas/6514/administrar","6514")</f>
        <v>6514</v>
      </c>
      <c r="B606" t="s">
        <v>156</v>
      </c>
      <c r="C606" s="1">
        <v>46027</v>
      </c>
      <c r="D606" s="2">
        <v>0.54591435185185189</v>
      </c>
      <c r="E606" t="s">
        <v>294</v>
      </c>
      <c r="F606" t="s">
        <v>957</v>
      </c>
      <c r="G606" t="s">
        <v>159</v>
      </c>
      <c r="H606" t="s">
        <v>643</v>
      </c>
      <c r="I606" t="s">
        <v>644</v>
      </c>
      <c r="J606">
        <v>1</v>
      </c>
      <c r="L606">
        <v>30121</v>
      </c>
      <c r="M606" t="s">
        <v>3575</v>
      </c>
      <c r="N606" s="1">
        <v>46043</v>
      </c>
      <c r="O606" s="2">
        <v>0.64271990740740736</v>
      </c>
      <c r="R606" t="str">
        <f>HYPERLINK("https://7lm.cvcrm.com.br/gestor/relatorios/associado/html?q[1|r.idreserva]=6514","MARCIA DE ASSIS AQUINO SILVA")</f>
        <v>MARCIA DE ASSIS AQUINO SILVA</v>
      </c>
      <c r="S606">
        <v>86473778187</v>
      </c>
      <c r="T606">
        <v>5562996670769</v>
      </c>
      <c r="V606" t="s">
        <v>3576</v>
      </c>
      <c r="W606" t="s">
        <v>187</v>
      </c>
      <c r="X606" t="s">
        <v>3577</v>
      </c>
      <c r="Y606" t="s">
        <v>189</v>
      </c>
      <c r="Z606" t="s">
        <v>190</v>
      </c>
      <c r="AA606" t="s">
        <v>707</v>
      </c>
      <c r="AB606" t="s">
        <v>3578</v>
      </c>
      <c r="AC606" t="s">
        <v>665</v>
      </c>
      <c r="AD606" t="s">
        <v>665</v>
      </c>
      <c r="AF606" t="s">
        <v>250</v>
      </c>
      <c r="AG606" t="s">
        <v>251</v>
      </c>
      <c r="AH606" s="3">
        <v>229717.45</v>
      </c>
      <c r="AI606" s="3">
        <v>229717.45</v>
      </c>
      <c r="AJ606" s="1">
        <v>46038</v>
      </c>
      <c r="AN606" t="s">
        <v>172</v>
      </c>
      <c r="AR606" s="7" t="s">
        <v>353</v>
      </c>
      <c r="AU606" t="s">
        <v>175</v>
      </c>
      <c r="AW606">
        <v>0</v>
      </c>
      <c r="AX606" s="1">
        <v>46055</v>
      </c>
      <c r="AY606" s="2">
        <v>0.61490740740740746</v>
      </c>
      <c r="AZ606">
        <v>181885</v>
      </c>
      <c r="BA606" s="1">
        <v>46022</v>
      </c>
      <c r="BC606" t="s">
        <v>0</v>
      </c>
      <c r="BD606" s="1">
        <v>46027</v>
      </c>
      <c r="BE606" t="s">
        <v>176</v>
      </c>
      <c r="BL606" s="4">
        <v>0</v>
      </c>
      <c r="BM606" s="1">
        <v>47031</v>
      </c>
      <c r="BN606" s="1">
        <v>46053</v>
      </c>
      <c r="BO606">
        <v>0</v>
      </c>
      <c r="BP606">
        <v>27100</v>
      </c>
      <c r="BQ606" t="s">
        <v>156</v>
      </c>
      <c r="BR606">
        <v>0</v>
      </c>
      <c r="BS606">
        <v>0</v>
      </c>
      <c r="BT606">
        <v>0</v>
      </c>
      <c r="BU606">
        <v>0</v>
      </c>
      <c r="BV606" s="3">
        <v>229717.45</v>
      </c>
      <c r="BX606">
        <v>0</v>
      </c>
      <c r="BZ606">
        <v>0</v>
      </c>
      <c r="CA606">
        <v>0</v>
      </c>
      <c r="CB606">
        <v>0</v>
      </c>
      <c r="CC606" s="3">
        <v>229717.45</v>
      </c>
      <c r="CD606" s="5">
        <v>0</v>
      </c>
      <c r="CF606" s="6">
        <v>46023</v>
      </c>
      <c r="CH606">
        <v>0</v>
      </c>
      <c r="CI606">
        <v>0</v>
      </c>
      <c r="CJ606">
        <v>0</v>
      </c>
      <c r="CK606">
        <v>0</v>
      </c>
      <c r="CL606">
        <v>0</v>
      </c>
      <c r="CM606">
        <v>0</v>
      </c>
      <c r="CN606">
        <v>0</v>
      </c>
      <c r="CO606">
        <v>0</v>
      </c>
      <c r="CP606">
        <v>0</v>
      </c>
      <c r="CQ606">
        <v>0</v>
      </c>
      <c r="CR606">
        <v>0</v>
      </c>
      <c r="CS606" t="s">
        <v>199</v>
      </c>
      <c r="CT606" t="s">
        <v>190</v>
      </c>
      <c r="CU606" t="s">
        <v>644</v>
      </c>
      <c r="CW606">
        <v>384.63600000000002</v>
      </c>
      <c r="CZ606" s="1">
        <v>46027</v>
      </c>
      <c r="DA606" t="s">
        <v>172</v>
      </c>
      <c r="DB606" t="s">
        <v>172</v>
      </c>
      <c r="DC606" t="s">
        <v>172</v>
      </c>
      <c r="DD606" t="s">
        <v>172</v>
      </c>
      <c r="DF606" t="s">
        <v>2532</v>
      </c>
      <c r="DG606" s="1">
        <v>46027</v>
      </c>
      <c r="DH606">
        <v>0</v>
      </c>
      <c r="DI606">
        <v>0</v>
      </c>
      <c r="DJ606" s="1">
        <v>46055</v>
      </c>
      <c r="DL606" t="s">
        <v>963</v>
      </c>
      <c r="DM606" t="s">
        <v>172</v>
      </c>
      <c r="DN606" t="s">
        <v>201</v>
      </c>
      <c r="DU606" t="s">
        <v>1238</v>
      </c>
      <c r="DV606" s="3">
        <v>277682.55</v>
      </c>
      <c r="DW606">
        <v>-54.73</v>
      </c>
      <c r="DX606" s="3">
        <v>277682.55</v>
      </c>
      <c r="DY606">
        <v>-54.73</v>
      </c>
      <c r="EF606" s="1">
        <v>46037</v>
      </c>
      <c r="EG606" s="1">
        <v>46031</v>
      </c>
      <c r="EK606" s="1">
        <v>46037</v>
      </c>
      <c r="EL606" s="1">
        <v>46037</v>
      </c>
      <c r="EN606" t="s">
        <v>156</v>
      </c>
      <c r="EP606" s="1">
        <v>46038</v>
      </c>
      <c r="EU606" s="1">
        <v>46034</v>
      </c>
      <c r="EW606" s="1">
        <v>45662</v>
      </c>
    </row>
    <row r="607" spans="1:153" x14ac:dyDescent="0.35">
      <c r="A607" t="str">
        <f>HYPERLINK("https://7lm.cvcrm.com.br/gestor/comercial/reservas/6513/administrar","6513")</f>
        <v>6513</v>
      </c>
      <c r="B607" t="s">
        <v>172</v>
      </c>
      <c r="C607" s="1">
        <v>46024</v>
      </c>
      <c r="D607" s="2">
        <v>0.70773148148148146</v>
      </c>
      <c r="E607" t="s">
        <v>527</v>
      </c>
      <c r="F607" t="s">
        <v>226</v>
      </c>
      <c r="G607" t="s">
        <v>159</v>
      </c>
      <c r="H607" t="s">
        <v>1143</v>
      </c>
      <c r="I607" t="s">
        <v>337</v>
      </c>
      <c r="J607">
        <v>1</v>
      </c>
      <c r="L607">
        <v>10031</v>
      </c>
      <c r="M607" t="s">
        <v>2382</v>
      </c>
      <c r="R607" t="str">
        <f>HYPERLINK("https://7lm.cvcrm.com.br/gestor/relatorios/associado/html?q[1|r.idreserva]=6513","JOAO VICTOR DE ARAUJO CIPRIANO CERQUEIRA")</f>
        <v>JOAO VICTOR DE ARAUJO CIPRIANO CERQUEIRA</v>
      </c>
      <c r="S607">
        <v>5680184788</v>
      </c>
      <c r="T607">
        <v>5561999342448</v>
      </c>
      <c r="U607">
        <v>5561999342448</v>
      </c>
      <c r="V607" t="s">
        <v>3579</v>
      </c>
      <c r="W607" t="s">
        <v>163</v>
      </c>
      <c r="X607" t="s">
        <v>3580</v>
      </c>
      <c r="Y607" t="s">
        <v>165</v>
      </c>
      <c r="Z607" t="s">
        <v>257</v>
      </c>
      <c r="AA607" t="s">
        <v>312</v>
      </c>
      <c r="AB607" t="s">
        <v>3581</v>
      </c>
      <c r="AC607" t="s">
        <v>3582</v>
      </c>
      <c r="AD607" t="s">
        <v>3582</v>
      </c>
      <c r="AE607" t="s">
        <v>815</v>
      </c>
      <c r="AF607" t="s">
        <v>170</v>
      </c>
      <c r="AG607" t="s">
        <v>195</v>
      </c>
      <c r="AH607" s="3">
        <v>350000</v>
      </c>
      <c r="AI607" s="3">
        <v>350000</v>
      </c>
      <c r="AJ607" s="1">
        <v>46032</v>
      </c>
      <c r="AN607" t="s">
        <v>172</v>
      </c>
      <c r="AO607" t="s">
        <v>816</v>
      </c>
      <c r="AR607" t="s">
        <v>3583</v>
      </c>
      <c r="AT607" t="s">
        <v>173</v>
      </c>
      <c r="AU607" t="s">
        <v>292</v>
      </c>
      <c r="AW607">
        <v>0</v>
      </c>
      <c r="AX607" s="1">
        <v>46030</v>
      </c>
      <c r="AY607" s="2">
        <v>0.47927083333333331</v>
      </c>
      <c r="AZ607">
        <v>181848</v>
      </c>
      <c r="BA607" s="1">
        <v>46021</v>
      </c>
      <c r="BC607" t="s">
        <v>0</v>
      </c>
      <c r="BD607" s="1">
        <v>46024</v>
      </c>
      <c r="BE607" t="s">
        <v>262</v>
      </c>
      <c r="BL607" s="4">
        <v>0</v>
      </c>
      <c r="BM607" s="1">
        <v>46698</v>
      </c>
      <c r="BO607">
        <v>0</v>
      </c>
      <c r="BP607">
        <v>27098</v>
      </c>
      <c r="BQ607" t="s">
        <v>156</v>
      </c>
      <c r="BR607" s="3">
        <v>280000</v>
      </c>
      <c r="BS607">
        <v>0</v>
      </c>
      <c r="BT607">
        <v>0</v>
      </c>
      <c r="BU607" s="3">
        <v>280000</v>
      </c>
      <c r="BV607" s="3">
        <v>350000</v>
      </c>
      <c r="BX607">
        <v>0</v>
      </c>
      <c r="BZ607">
        <v>0</v>
      </c>
      <c r="CA607">
        <v>0</v>
      </c>
      <c r="CB607">
        <v>0</v>
      </c>
      <c r="CC607" s="3">
        <v>350000</v>
      </c>
      <c r="CD607" s="5">
        <v>0</v>
      </c>
      <c r="CF607" s="6">
        <v>46023</v>
      </c>
      <c r="CH607">
        <v>0</v>
      </c>
      <c r="CI607">
        <v>0</v>
      </c>
      <c r="CJ607">
        <v>0</v>
      </c>
      <c r="CK607">
        <v>0</v>
      </c>
      <c r="CL607">
        <v>0</v>
      </c>
      <c r="CM607">
        <v>0</v>
      </c>
      <c r="CN607">
        <v>0</v>
      </c>
      <c r="CO607">
        <v>0</v>
      </c>
      <c r="CP607">
        <v>0</v>
      </c>
      <c r="CQ607">
        <v>0</v>
      </c>
      <c r="CR607">
        <v>0</v>
      </c>
      <c r="CT607" t="s">
        <v>238</v>
      </c>
      <c r="CU607" t="s">
        <v>337</v>
      </c>
      <c r="CW607">
        <v>0</v>
      </c>
      <c r="CX607" t="s">
        <v>170</v>
      </c>
      <c r="CZ607" s="1">
        <v>46024</v>
      </c>
      <c r="DA607" t="s">
        <v>172</v>
      </c>
      <c r="DB607" t="s">
        <v>172</v>
      </c>
      <c r="DC607" t="s">
        <v>172</v>
      </c>
      <c r="DD607" t="s">
        <v>172</v>
      </c>
      <c r="DG607" s="1">
        <v>46024</v>
      </c>
      <c r="DH607">
        <v>0</v>
      </c>
      <c r="DI607">
        <v>0</v>
      </c>
      <c r="DL607" t="s">
        <v>263</v>
      </c>
      <c r="DM607" t="s">
        <v>172</v>
      </c>
      <c r="DN607" t="s">
        <v>264</v>
      </c>
      <c r="DU607" t="s">
        <v>240</v>
      </c>
      <c r="DV607" s="3">
        <v>540000</v>
      </c>
      <c r="DW607">
        <v>-60.67</v>
      </c>
      <c r="DX607" s="3">
        <v>540000</v>
      </c>
      <c r="DY607">
        <v>-60.67</v>
      </c>
    </row>
    <row r="608" spans="1:153" x14ac:dyDescent="0.35">
      <c r="A608" t="str">
        <f>HYPERLINK("https://7lm.cvcrm.com.br/gestor/comercial/reservas/6512/administrar","6512")</f>
        <v>6512</v>
      </c>
      <c r="B608" t="s">
        <v>156</v>
      </c>
      <c r="C608" s="1">
        <v>46024</v>
      </c>
      <c r="D608" s="2">
        <v>0.70233796296296291</v>
      </c>
      <c r="E608" t="s">
        <v>294</v>
      </c>
      <c r="F608" t="s">
        <v>957</v>
      </c>
      <c r="G608" t="s">
        <v>159</v>
      </c>
      <c r="H608" t="s">
        <v>362</v>
      </c>
      <c r="I608" t="s">
        <v>1736</v>
      </c>
      <c r="J608">
        <v>1</v>
      </c>
      <c r="K608">
        <v>7520</v>
      </c>
      <c r="L608">
        <v>30121</v>
      </c>
      <c r="M608" t="s">
        <v>3584</v>
      </c>
      <c r="N608" s="1">
        <v>46029</v>
      </c>
      <c r="O608" s="2">
        <v>0.6881828703703704</v>
      </c>
      <c r="P608">
        <v>43594</v>
      </c>
      <c r="R608" t="str">
        <f>HYPERLINK("https://7lm.cvcrm.com.br/gestor/relatorios/associado/html?q[1|r.idreserva]=6512","VICTORIA EMANUELLE RIBEIRO DE OLIVEIRA")</f>
        <v>VICTORIA EMANUELLE RIBEIRO DE OLIVEIRA</v>
      </c>
      <c r="S608">
        <v>71267053100</v>
      </c>
      <c r="T608">
        <v>5561999013138</v>
      </c>
      <c r="V608" t="s">
        <v>3585</v>
      </c>
      <c r="W608" t="s">
        <v>187</v>
      </c>
      <c r="X608" t="s">
        <v>288</v>
      </c>
      <c r="Y608" t="s">
        <v>189</v>
      </c>
      <c r="Z608" t="s">
        <v>190</v>
      </c>
      <c r="AA608" t="s">
        <v>1604</v>
      </c>
      <c r="AB608" t="s">
        <v>3586</v>
      </c>
      <c r="AC608" t="s">
        <v>896</v>
      </c>
      <c r="AF608" t="s">
        <v>194</v>
      </c>
      <c r="AG608" t="s">
        <v>251</v>
      </c>
      <c r="AH608" s="3">
        <v>235000</v>
      </c>
      <c r="AI608" s="3">
        <v>235000</v>
      </c>
      <c r="AJ608" s="1">
        <v>46024</v>
      </c>
      <c r="AN608" t="s">
        <v>172</v>
      </c>
      <c r="AR608" t="s">
        <v>1203</v>
      </c>
      <c r="AT608" t="s">
        <v>196</v>
      </c>
      <c r="AU608" t="s">
        <v>590</v>
      </c>
      <c r="AW608">
        <v>0</v>
      </c>
      <c r="AX608" s="1">
        <v>46044</v>
      </c>
      <c r="AY608" s="2">
        <v>0.61655092592592597</v>
      </c>
      <c r="AZ608">
        <v>162095</v>
      </c>
      <c r="BA608" s="1">
        <v>45831</v>
      </c>
      <c r="BB608" s="1">
        <v>46009</v>
      </c>
      <c r="BC608" t="s">
        <v>0</v>
      </c>
      <c r="BD608" s="1">
        <v>46024</v>
      </c>
      <c r="BE608" t="s">
        <v>317</v>
      </c>
      <c r="BL608" s="4">
        <v>0</v>
      </c>
      <c r="BM608" s="1">
        <v>47031</v>
      </c>
      <c r="BN608" s="1">
        <v>46044</v>
      </c>
      <c r="BO608">
        <v>0</v>
      </c>
      <c r="BP608">
        <v>26981</v>
      </c>
      <c r="BQ608" t="s">
        <v>156</v>
      </c>
      <c r="BR608" s="3">
        <v>136304.85</v>
      </c>
      <c r="BS608" s="3">
        <v>20440</v>
      </c>
      <c r="BT608">
        <v>0</v>
      </c>
      <c r="BU608" s="3">
        <v>156744.85</v>
      </c>
      <c r="BV608" s="3">
        <v>235000</v>
      </c>
      <c r="BX608">
        <v>0</v>
      </c>
      <c r="BZ608">
        <v>0</v>
      </c>
      <c r="CA608">
        <v>0</v>
      </c>
      <c r="CB608">
        <v>0</v>
      </c>
      <c r="CC608" s="3">
        <v>235000</v>
      </c>
      <c r="CD608" s="5">
        <v>0</v>
      </c>
      <c r="CF608" s="6">
        <v>46023</v>
      </c>
      <c r="CH608">
        <v>0</v>
      </c>
      <c r="CI608">
        <v>0</v>
      </c>
      <c r="CJ608">
        <v>0</v>
      </c>
      <c r="CK608">
        <v>0</v>
      </c>
      <c r="CL608">
        <v>0</v>
      </c>
      <c r="CM608">
        <v>0</v>
      </c>
      <c r="CN608">
        <v>0</v>
      </c>
      <c r="CO608">
        <v>0</v>
      </c>
      <c r="CP608">
        <v>0</v>
      </c>
      <c r="CQ608">
        <v>0</v>
      </c>
      <c r="CR608">
        <v>0</v>
      </c>
      <c r="CS608" t="s">
        <v>2029</v>
      </c>
      <c r="CT608" t="s">
        <v>190</v>
      </c>
      <c r="CU608" t="s">
        <v>1736</v>
      </c>
      <c r="CW608">
        <v>395.78059999999999</v>
      </c>
      <c r="CZ608" s="1">
        <v>46024</v>
      </c>
      <c r="DA608" t="s">
        <v>172</v>
      </c>
      <c r="DB608" t="s">
        <v>172</v>
      </c>
      <c r="DC608" t="s">
        <v>172</v>
      </c>
      <c r="DD608" t="s">
        <v>172</v>
      </c>
      <c r="DG608" s="1">
        <v>46024</v>
      </c>
      <c r="DH608">
        <v>0</v>
      </c>
      <c r="DI608">
        <v>0</v>
      </c>
      <c r="DJ608" s="1">
        <v>46044</v>
      </c>
      <c r="DL608" t="s">
        <v>963</v>
      </c>
      <c r="DM608" t="s">
        <v>172</v>
      </c>
      <c r="DN608" t="s">
        <v>201</v>
      </c>
      <c r="DV608" s="3">
        <v>235000</v>
      </c>
      <c r="DW608">
        <v>0</v>
      </c>
      <c r="DX608" s="3">
        <v>235000</v>
      </c>
      <c r="DY608">
        <v>0</v>
      </c>
      <c r="EH608" s="1">
        <v>46028</v>
      </c>
      <c r="EM608" s="1">
        <v>46034</v>
      </c>
      <c r="EN608" t="s">
        <v>156</v>
      </c>
      <c r="EP608" s="1">
        <v>46030</v>
      </c>
      <c r="ES608" t="s">
        <v>3587</v>
      </c>
      <c r="EU608" s="1">
        <v>46029</v>
      </c>
      <c r="EW608" s="1">
        <v>46024</v>
      </c>
    </row>
    <row r="609" spans="34:128" x14ac:dyDescent="0.35">
      <c r="AH609" s="3">
        <v>148346374.84999999</v>
      </c>
      <c r="AI609" s="3">
        <v>148124805.31999999</v>
      </c>
      <c r="AW609">
        <v>0</v>
      </c>
      <c r="BO609">
        <v>0</v>
      </c>
      <c r="BR609" s="3">
        <v>79708766.030000001</v>
      </c>
      <c r="BS609" s="3">
        <v>13080297.1</v>
      </c>
      <c r="BT609" s="3">
        <v>168306.8</v>
      </c>
      <c r="BU609">
        <v>0</v>
      </c>
      <c r="BV609" s="3">
        <v>148346374.84999999</v>
      </c>
      <c r="CC609" s="3">
        <v>148124805.31999999</v>
      </c>
      <c r="CI609">
        <v>0</v>
      </c>
      <c r="CJ609">
        <v>0</v>
      </c>
      <c r="CK609">
        <v>0</v>
      </c>
      <c r="CL609">
        <v>0</v>
      </c>
      <c r="CM609">
        <v>0</v>
      </c>
      <c r="CN609">
        <v>0</v>
      </c>
      <c r="CO609">
        <v>0</v>
      </c>
      <c r="CP609">
        <v>0</v>
      </c>
      <c r="CQ609">
        <v>0</v>
      </c>
      <c r="CR609">
        <v>0</v>
      </c>
      <c r="DH609">
        <v>0</v>
      </c>
      <c r="DI609">
        <v>0</v>
      </c>
      <c r="DS609">
        <v>0</v>
      </c>
      <c r="DV609" s="3">
        <v>168961527.30000001</v>
      </c>
      <c r="DX609" s="3">
        <v>168961527.30000001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20260529102110_6a1992c61e73f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Gestao Comercial</dc:creator>
  <cp:lastModifiedBy>Marcelo Paiva</cp:lastModifiedBy>
  <dcterms:created xsi:type="dcterms:W3CDTF">2026-05-29T13:25:57Z</dcterms:created>
  <dcterms:modified xsi:type="dcterms:W3CDTF">2026-05-29T13:25:58Z</dcterms:modified>
</cp:coreProperties>
</file>